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aricati\AI\"/>
    </mc:Choice>
  </mc:AlternateContent>
  <xr:revisionPtr revIDLastSave="0" documentId="13_ncr:1_{3F1BEE92-BEF9-4CE4-BC05-306E74553363}" xr6:coauthVersionLast="47" xr6:coauthVersionMax="47" xr10:uidLastSave="{00000000-0000-0000-0000-000000000000}"/>
  <bookViews>
    <workbookView xWindow="-96" yWindow="-96" windowWidth="23232" windowHeight="13152" xr2:uid="{0D85357E-A2D8-4823-B84C-D25D582DC2BE}"/>
  </bookViews>
  <sheets>
    <sheet name="Palinsesto" sheetId="1" r:id="rId1"/>
    <sheet name="Partite" sheetId="3" r:id="rId2"/>
    <sheet name="Classifica" sheetId="2" r:id="rId3"/>
  </sheets>
  <definedNames>
    <definedName name="DatiEsterni_1" localSheetId="2" hidden="1">Classifica!$A$1:$Q$131</definedName>
    <definedName name="DatiEsterni_1" localSheetId="1" hidden="1">Partite!$B$1:$M$2321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13e87ae3-df36-42e4-aa21-b30fb6ef46f0" name="Sheet1" connection="Query - Sheet1"/>
          <x15:modelTable id="Sheet1  2_d01cc061-f7bf-410f-ae5c-267abd44ab07" name="Sheet1  2" connection="Query - Sheet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O3" i="3"/>
  <c r="P3" i="3"/>
  <c r="Q3" i="3"/>
  <c r="R3" i="3"/>
  <c r="S3" i="3"/>
  <c r="T3" i="3"/>
  <c r="U3" i="3"/>
  <c r="V3" i="3"/>
  <c r="W3" i="3"/>
  <c r="X3" i="3"/>
  <c r="Y3" i="3"/>
  <c r="Z3" i="3"/>
  <c r="N4" i="3"/>
  <c r="O4" i="3"/>
  <c r="P4" i="3"/>
  <c r="Q4" i="3"/>
  <c r="R4" i="3"/>
  <c r="S4" i="3"/>
  <c r="T4" i="3"/>
  <c r="U4" i="3"/>
  <c r="V4" i="3"/>
  <c r="W4" i="3"/>
  <c r="X4" i="3"/>
  <c r="Y4" i="3"/>
  <c r="Z4" i="3"/>
  <c r="N5" i="3"/>
  <c r="O5" i="3"/>
  <c r="P5" i="3"/>
  <c r="Q5" i="3"/>
  <c r="R5" i="3"/>
  <c r="S5" i="3"/>
  <c r="T5" i="3"/>
  <c r="U5" i="3"/>
  <c r="V5" i="3"/>
  <c r="W5" i="3"/>
  <c r="X5" i="3"/>
  <c r="Y5" i="3"/>
  <c r="Z5" i="3"/>
  <c r="N6" i="3"/>
  <c r="O6" i="3"/>
  <c r="P6" i="3"/>
  <c r="Q6" i="3"/>
  <c r="R6" i="3"/>
  <c r="S6" i="3"/>
  <c r="T6" i="3"/>
  <c r="U6" i="3"/>
  <c r="V6" i="3"/>
  <c r="W6" i="3"/>
  <c r="X6" i="3"/>
  <c r="Y6" i="3"/>
  <c r="Z6" i="3"/>
  <c r="N7" i="3"/>
  <c r="O7" i="3"/>
  <c r="P7" i="3"/>
  <c r="Q7" i="3"/>
  <c r="R7" i="3"/>
  <c r="S7" i="3"/>
  <c r="T7" i="3"/>
  <c r="U7" i="3"/>
  <c r="V7" i="3"/>
  <c r="W7" i="3"/>
  <c r="X7" i="3"/>
  <c r="Y7" i="3"/>
  <c r="Z7" i="3"/>
  <c r="N8" i="3"/>
  <c r="O8" i="3"/>
  <c r="P8" i="3"/>
  <c r="Q8" i="3"/>
  <c r="R8" i="3"/>
  <c r="S8" i="3"/>
  <c r="T8" i="3"/>
  <c r="U8" i="3"/>
  <c r="V8" i="3"/>
  <c r="W8" i="3"/>
  <c r="X8" i="3"/>
  <c r="Y8" i="3"/>
  <c r="Z8" i="3"/>
  <c r="N9" i="3"/>
  <c r="O9" i="3"/>
  <c r="P9" i="3"/>
  <c r="Q9" i="3"/>
  <c r="R9" i="3"/>
  <c r="S9" i="3"/>
  <c r="T9" i="3"/>
  <c r="U9" i="3"/>
  <c r="V9" i="3"/>
  <c r="W9" i="3"/>
  <c r="X9" i="3"/>
  <c r="Y9" i="3"/>
  <c r="Z9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N11" i="3"/>
  <c r="O11" i="3"/>
  <c r="P11" i="3" s="1"/>
  <c r="Q11" i="3"/>
  <c r="T11" i="3"/>
  <c r="U11" i="3"/>
  <c r="V11" i="3"/>
  <c r="W11" i="3"/>
  <c r="X11" i="3"/>
  <c r="Y11" i="3"/>
  <c r="N12" i="3"/>
  <c r="O12" i="3"/>
  <c r="P12" i="3" s="1"/>
  <c r="Q12" i="3"/>
  <c r="T12" i="3"/>
  <c r="U12" i="3"/>
  <c r="V12" i="3"/>
  <c r="W12" i="3"/>
  <c r="X12" i="3"/>
  <c r="Y12" i="3"/>
  <c r="N13" i="3"/>
  <c r="O13" i="3"/>
  <c r="P13" i="3"/>
  <c r="R13" i="3" s="1"/>
  <c r="S13" i="3" s="1"/>
  <c r="Q13" i="3"/>
  <c r="T13" i="3"/>
  <c r="U13" i="3"/>
  <c r="V13" i="3"/>
  <c r="W13" i="3"/>
  <c r="X13" i="3"/>
  <c r="Y13" i="3"/>
  <c r="Z13" i="3"/>
  <c r="N14" i="3"/>
  <c r="O14" i="3"/>
  <c r="P14" i="3"/>
  <c r="R14" i="3" s="1"/>
  <c r="S14" i="3" s="1"/>
  <c r="Q14" i="3"/>
  <c r="T14" i="3"/>
  <c r="U14" i="3"/>
  <c r="V14" i="3"/>
  <c r="W14" i="3"/>
  <c r="X14" i="3"/>
  <c r="Y14" i="3"/>
  <c r="Z14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N17" i="3"/>
  <c r="O17" i="3"/>
  <c r="P17" i="3"/>
  <c r="Q17" i="3"/>
  <c r="R17" i="3"/>
  <c r="S17" i="3" s="1"/>
  <c r="T17" i="3"/>
  <c r="U17" i="3"/>
  <c r="V17" i="3"/>
  <c r="W17" i="3"/>
  <c r="X17" i="3"/>
  <c r="Y17" i="3"/>
  <c r="Z17" i="3"/>
  <c r="N18" i="3"/>
  <c r="O18" i="3"/>
  <c r="P18" i="3" s="1"/>
  <c r="Q18" i="3"/>
  <c r="T18" i="3"/>
  <c r="U18" i="3"/>
  <c r="V18" i="3"/>
  <c r="W18" i="3"/>
  <c r="X18" i="3"/>
  <c r="Y18" i="3"/>
  <c r="N19" i="3"/>
  <c r="O19" i="3"/>
  <c r="P19" i="3"/>
  <c r="Q19" i="3"/>
  <c r="R19" i="3"/>
  <c r="S19" i="3" s="1"/>
  <c r="T19" i="3"/>
  <c r="U19" i="3"/>
  <c r="V19" i="3"/>
  <c r="W19" i="3"/>
  <c r="X19" i="3"/>
  <c r="Y19" i="3"/>
  <c r="Z19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N21" i="3"/>
  <c r="O21" i="3"/>
  <c r="P21" i="3"/>
  <c r="Q21" i="3"/>
  <c r="R21" i="3"/>
  <c r="S21" i="3" s="1"/>
  <c r="T21" i="3"/>
  <c r="U21" i="3"/>
  <c r="V21" i="3"/>
  <c r="W21" i="3"/>
  <c r="X21" i="3"/>
  <c r="Y21" i="3"/>
  <c r="Z21" i="3"/>
  <c r="N22" i="3"/>
  <c r="O22" i="3"/>
  <c r="P22" i="3"/>
  <c r="Q22" i="3"/>
  <c r="R22" i="3"/>
  <c r="S22" i="3" s="1"/>
  <c r="T22" i="3"/>
  <c r="U22" i="3"/>
  <c r="V22" i="3"/>
  <c r="W22" i="3"/>
  <c r="X22" i="3"/>
  <c r="Y22" i="3"/>
  <c r="Z22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N24" i="3"/>
  <c r="O24" i="3"/>
  <c r="P24" i="3"/>
  <c r="R24" i="3" s="1"/>
  <c r="S24" i="3" s="1"/>
  <c r="Q24" i="3"/>
  <c r="T24" i="3"/>
  <c r="U24" i="3"/>
  <c r="V24" i="3"/>
  <c r="W24" i="3"/>
  <c r="X24" i="3"/>
  <c r="Y24" i="3"/>
  <c r="Z24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N27" i="3"/>
  <c r="O27" i="3"/>
  <c r="P27" i="3"/>
  <c r="Q27" i="3"/>
  <c r="R27" i="3"/>
  <c r="S27" i="3" s="1"/>
  <c r="T27" i="3"/>
  <c r="U27" i="3"/>
  <c r="V27" i="3"/>
  <c r="W27" i="3"/>
  <c r="X27" i="3"/>
  <c r="Y27" i="3"/>
  <c r="Z27" i="3"/>
  <c r="N28" i="3"/>
  <c r="O28" i="3"/>
  <c r="P28" i="3" s="1"/>
  <c r="Q28" i="3"/>
  <c r="T28" i="3"/>
  <c r="U28" i="3"/>
  <c r="V28" i="3"/>
  <c r="W28" i="3"/>
  <c r="X28" i="3"/>
  <c r="Y28" i="3"/>
  <c r="N29" i="3"/>
  <c r="O29" i="3"/>
  <c r="P29" i="3"/>
  <c r="Q29" i="3"/>
  <c r="R29" i="3"/>
  <c r="S29" i="3" s="1"/>
  <c r="T29" i="3"/>
  <c r="U29" i="3"/>
  <c r="V29" i="3"/>
  <c r="W29" i="3"/>
  <c r="X29" i="3"/>
  <c r="Y29" i="3"/>
  <c r="Z29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N32" i="3"/>
  <c r="O32" i="3"/>
  <c r="P32" i="3"/>
  <c r="Q32" i="3"/>
  <c r="R32" i="3"/>
  <c r="S32" i="3" s="1"/>
  <c r="T32" i="3"/>
  <c r="U32" i="3"/>
  <c r="V32" i="3"/>
  <c r="W32" i="3"/>
  <c r="X32" i="3"/>
  <c r="Y32" i="3"/>
  <c r="Z32" i="3"/>
  <c r="N33" i="3"/>
  <c r="O33" i="3"/>
  <c r="P33" i="3"/>
  <c r="Q33" i="3"/>
  <c r="R33" i="3"/>
  <c r="S33" i="3" s="1"/>
  <c r="T33" i="3"/>
  <c r="U33" i="3"/>
  <c r="V33" i="3"/>
  <c r="W33" i="3"/>
  <c r="X33" i="3"/>
  <c r="Y33" i="3"/>
  <c r="Z33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N36" i="3"/>
  <c r="O36" i="3"/>
  <c r="P36" i="3"/>
  <c r="Q36" i="3"/>
  <c r="R36" i="3"/>
  <c r="S36" i="3" s="1"/>
  <c r="T36" i="3"/>
  <c r="U36" i="3"/>
  <c r="V36" i="3"/>
  <c r="W36" i="3"/>
  <c r="X36" i="3"/>
  <c r="Y36" i="3"/>
  <c r="Z36" i="3"/>
  <c r="N37" i="3"/>
  <c r="O37" i="3"/>
  <c r="P37" i="3" s="1"/>
  <c r="Q37" i="3"/>
  <c r="T37" i="3"/>
  <c r="U37" i="3"/>
  <c r="V37" i="3"/>
  <c r="W37" i="3"/>
  <c r="X37" i="3"/>
  <c r="Y37" i="3"/>
  <c r="N38" i="3"/>
  <c r="O38" i="3"/>
  <c r="P38" i="3"/>
  <c r="R38" i="3" s="1"/>
  <c r="S38" i="3" s="1"/>
  <c r="Q38" i="3"/>
  <c r="T38" i="3"/>
  <c r="U38" i="3"/>
  <c r="V38" i="3"/>
  <c r="W38" i="3"/>
  <c r="X38" i="3"/>
  <c r="Y38" i="3"/>
  <c r="Z38" i="3"/>
  <c r="N39" i="3"/>
  <c r="O39" i="3"/>
  <c r="P39" i="3"/>
  <c r="R39" i="3" s="1"/>
  <c r="S39" i="3" s="1"/>
  <c r="Q39" i="3"/>
  <c r="T39" i="3"/>
  <c r="U39" i="3"/>
  <c r="V39" i="3"/>
  <c r="W39" i="3"/>
  <c r="X39" i="3"/>
  <c r="Y39" i="3"/>
  <c r="Z39" i="3"/>
  <c r="N40" i="3"/>
  <c r="O40" i="3"/>
  <c r="P40" i="3"/>
  <c r="Q40" i="3"/>
  <c r="R40" i="3"/>
  <c r="S40" i="3" s="1"/>
  <c r="T40" i="3"/>
  <c r="U40" i="3"/>
  <c r="V40" i="3"/>
  <c r="W40" i="3"/>
  <c r="X40" i="3"/>
  <c r="Y40" i="3"/>
  <c r="Z40" i="3"/>
  <c r="N41" i="3"/>
  <c r="O41" i="3"/>
  <c r="P41" i="3"/>
  <c r="Q41" i="3"/>
  <c r="R41" i="3"/>
  <c r="S41" i="3" s="1"/>
  <c r="T41" i="3"/>
  <c r="U41" i="3"/>
  <c r="V41" i="3"/>
  <c r="W41" i="3"/>
  <c r="X41" i="3"/>
  <c r="Y41" i="3"/>
  <c r="Z41" i="3"/>
  <c r="N42" i="3"/>
  <c r="O42" i="3"/>
  <c r="P42" i="3"/>
  <c r="Q42" i="3"/>
  <c r="R42" i="3"/>
  <c r="S42" i="3" s="1"/>
  <c r="T42" i="3"/>
  <c r="U42" i="3"/>
  <c r="V42" i="3"/>
  <c r="W42" i="3"/>
  <c r="X42" i="3"/>
  <c r="Y42" i="3"/>
  <c r="Z42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N44" i="3"/>
  <c r="O44" i="3"/>
  <c r="P44" i="3"/>
  <c r="Q44" i="3"/>
  <c r="R44" i="3"/>
  <c r="S44" i="3" s="1"/>
  <c r="T44" i="3"/>
  <c r="U44" i="3"/>
  <c r="V44" i="3"/>
  <c r="W44" i="3"/>
  <c r="X44" i="3"/>
  <c r="Y44" i="3"/>
  <c r="Z44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N47" i="3"/>
  <c r="O47" i="3"/>
  <c r="P47" i="3" s="1"/>
  <c r="Q47" i="3"/>
  <c r="T47" i="3"/>
  <c r="U47" i="3"/>
  <c r="V47" i="3"/>
  <c r="W47" i="3"/>
  <c r="X47" i="3"/>
  <c r="Y47" i="3"/>
  <c r="N48" i="3"/>
  <c r="O48" i="3"/>
  <c r="P48" i="3" s="1"/>
  <c r="Q48" i="3"/>
  <c r="T48" i="3"/>
  <c r="U48" i="3"/>
  <c r="V48" i="3"/>
  <c r="W48" i="3"/>
  <c r="X48" i="3"/>
  <c r="Y48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N50" i="3"/>
  <c r="O50" i="3"/>
  <c r="P50" i="3"/>
  <c r="Q50" i="3"/>
  <c r="R50" i="3"/>
  <c r="S50" i="3" s="1"/>
  <c r="T50" i="3"/>
  <c r="U50" i="3"/>
  <c r="V50" i="3"/>
  <c r="W50" i="3"/>
  <c r="X50" i="3"/>
  <c r="Y50" i="3"/>
  <c r="Z50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N52" i="3"/>
  <c r="O52" i="3"/>
  <c r="P52" i="3" s="1"/>
  <c r="Q52" i="3"/>
  <c r="T52" i="3"/>
  <c r="U52" i="3"/>
  <c r="V52" i="3"/>
  <c r="W52" i="3"/>
  <c r="X52" i="3"/>
  <c r="Y52" i="3"/>
  <c r="N53" i="3"/>
  <c r="O53" i="3"/>
  <c r="P53" i="3"/>
  <c r="Q53" i="3"/>
  <c r="R53" i="3"/>
  <c r="S53" i="3" s="1"/>
  <c r="T53" i="3"/>
  <c r="U53" i="3"/>
  <c r="V53" i="3"/>
  <c r="W53" i="3"/>
  <c r="X53" i="3"/>
  <c r="Y53" i="3"/>
  <c r="Z53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N61" i="3"/>
  <c r="O61" i="3"/>
  <c r="P61" i="3"/>
  <c r="Q61" i="3"/>
  <c r="R61" i="3"/>
  <c r="S61" i="3" s="1"/>
  <c r="T61" i="3"/>
  <c r="U61" i="3"/>
  <c r="V61" i="3"/>
  <c r="W61" i="3"/>
  <c r="X61" i="3"/>
  <c r="Y61" i="3"/>
  <c r="Z61" i="3"/>
  <c r="N62" i="3"/>
  <c r="O62" i="3"/>
  <c r="P62" i="3"/>
  <c r="Q62" i="3"/>
  <c r="R62" i="3"/>
  <c r="S62" i="3" s="1"/>
  <c r="T62" i="3"/>
  <c r="U62" i="3"/>
  <c r="V62" i="3"/>
  <c r="W62" i="3"/>
  <c r="X62" i="3"/>
  <c r="Y62" i="3"/>
  <c r="Z62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N64" i="3"/>
  <c r="O64" i="3"/>
  <c r="P64" i="3"/>
  <c r="Q64" i="3"/>
  <c r="R64" i="3"/>
  <c r="S64" i="3" s="1"/>
  <c r="T64" i="3"/>
  <c r="U64" i="3"/>
  <c r="V64" i="3"/>
  <c r="W64" i="3"/>
  <c r="X64" i="3"/>
  <c r="Y64" i="3"/>
  <c r="Z64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N66" i="3"/>
  <c r="O66" i="3"/>
  <c r="P66" i="3"/>
  <c r="Q66" i="3"/>
  <c r="R66" i="3"/>
  <c r="S66" i="3" s="1"/>
  <c r="T66" i="3"/>
  <c r="U66" i="3"/>
  <c r="V66" i="3"/>
  <c r="W66" i="3"/>
  <c r="X66" i="3"/>
  <c r="Y66" i="3"/>
  <c r="Z66" i="3"/>
  <c r="N67" i="3"/>
  <c r="O67" i="3"/>
  <c r="P67" i="3"/>
  <c r="Q67" i="3"/>
  <c r="R67" i="3"/>
  <c r="S67" i="3" s="1"/>
  <c r="T67" i="3"/>
  <c r="U67" i="3"/>
  <c r="V67" i="3"/>
  <c r="W67" i="3"/>
  <c r="X67" i="3"/>
  <c r="Y67" i="3"/>
  <c r="Z67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N69" i="3"/>
  <c r="O69" i="3"/>
  <c r="P69" i="3"/>
  <c r="R69" i="3" s="1"/>
  <c r="S69" i="3" s="1"/>
  <c r="Q69" i="3"/>
  <c r="T69" i="3"/>
  <c r="U69" i="3"/>
  <c r="V69" i="3"/>
  <c r="W69" i="3"/>
  <c r="X69" i="3"/>
  <c r="Y69" i="3"/>
  <c r="Z69" i="3"/>
  <c r="N70" i="3"/>
  <c r="O70" i="3"/>
  <c r="P70" i="3"/>
  <c r="Q70" i="3"/>
  <c r="R70" i="3"/>
  <c r="S70" i="3" s="1"/>
  <c r="T70" i="3"/>
  <c r="U70" i="3"/>
  <c r="V70" i="3"/>
  <c r="W70" i="3"/>
  <c r="X70" i="3"/>
  <c r="Y70" i="3"/>
  <c r="Z70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N72" i="3"/>
  <c r="O72" i="3"/>
  <c r="P72" i="3"/>
  <c r="Q72" i="3"/>
  <c r="R72" i="3"/>
  <c r="S72" i="3" s="1"/>
  <c r="T72" i="3"/>
  <c r="U72" i="3"/>
  <c r="V72" i="3"/>
  <c r="W72" i="3"/>
  <c r="X72" i="3"/>
  <c r="Y72" i="3"/>
  <c r="Z72" i="3"/>
  <c r="N73" i="3"/>
  <c r="O73" i="3"/>
  <c r="P73" i="3" s="1"/>
  <c r="Q73" i="3"/>
  <c r="T73" i="3"/>
  <c r="U73" i="3"/>
  <c r="V73" i="3"/>
  <c r="W73" i="3"/>
  <c r="X73" i="3"/>
  <c r="Y73" i="3"/>
  <c r="N74" i="3"/>
  <c r="O74" i="3"/>
  <c r="P74" i="3"/>
  <c r="Q74" i="3"/>
  <c r="R74" i="3"/>
  <c r="S74" i="3" s="1"/>
  <c r="T74" i="3"/>
  <c r="U74" i="3"/>
  <c r="V74" i="3"/>
  <c r="W74" i="3"/>
  <c r="X74" i="3"/>
  <c r="Y74" i="3"/>
  <c r="Z74" i="3"/>
  <c r="N75" i="3"/>
  <c r="O75" i="3"/>
  <c r="P75" i="3" s="1"/>
  <c r="Q75" i="3"/>
  <c r="T75" i="3"/>
  <c r="U75" i="3"/>
  <c r="V75" i="3"/>
  <c r="W75" i="3"/>
  <c r="X75" i="3"/>
  <c r="Y75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N80" i="3"/>
  <c r="O80" i="3"/>
  <c r="P80" i="3" s="1"/>
  <c r="Q80" i="3"/>
  <c r="T80" i="3"/>
  <c r="U80" i="3"/>
  <c r="V80" i="3"/>
  <c r="W80" i="3"/>
  <c r="X80" i="3"/>
  <c r="Y80" i="3"/>
  <c r="N81" i="3"/>
  <c r="O81" i="3"/>
  <c r="P81" i="3"/>
  <c r="Q81" i="3"/>
  <c r="R81" i="3"/>
  <c r="S81" i="3" s="1"/>
  <c r="T81" i="3"/>
  <c r="U81" i="3"/>
  <c r="V81" i="3"/>
  <c r="W81" i="3"/>
  <c r="X81" i="3"/>
  <c r="Y81" i="3"/>
  <c r="Z81" i="3"/>
  <c r="N82" i="3"/>
  <c r="O82" i="3"/>
  <c r="P82" i="3"/>
  <c r="R82" i="3" s="1"/>
  <c r="S82" i="3" s="1"/>
  <c r="Q82" i="3"/>
  <c r="T82" i="3"/>
  <c r="U82" i="3"/>
  <c r="V82" i="3"/>
  <c r="W82" i="3"/>
  <c r="X82" i="3"/>
  <c r="Y82" i="3"/>
  <c r="Z82" i="3"/>
  <c r="N83" i="3"/>
  <c r="O83" i="3"/>
  <c r="P83" i="3"/>
  <c r="Q83" i="3"/>
  <c r="R83" i="3"/>
  <c r="S83" i="3" s="1"/>
  <c r="T83" i="3"/>
  <c r="U83" i="3"/>
  <c r="V83" i="3"/>
  <c r="W83" i="3"/>
  <c r="X83" i="3"/>
  <c r="Y83" i="3"/>
  <c r="Z83" i="3"/>
  <c r="N84" i="3"/>
  <c r="O84" i="3"/>
  <c r="P84" i="3"/>
  <c r="Q84" i="3"/>
  <c r="R84" i="3"/>
  <c r="S84" i="3" s="1"/>
  <c r="T84" i="3"/>
  <c r="U84" i="3"/>
  <c r="V84" i="3"/>
  <c r="W84" i="3"/>
  <c r="X84" i="3"/>
  <c r="Y84" i="3"/>
  <c r="Z84" i="3"/>
  <c r="N85" i="3"/>
  <c r="O85" i="3"/>
  <c r="P85" i="3"/>
  <c r="R85" i="3" s="1"/>
  <c r="S85" i="3" s="1"/>
  <c r="Q85" i="3"/>
  <c r="T85" i="3"/>
  <c r="U85" i="3"/>
  <c r="V85" i="3"/>
  <c r="W85" i="3"/>
  <c r="X85" i="3"/>
  <c r="Y85" i="3"/>
  <c r="Z85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N90" i="3"/>
  <c r="O90" i="3"/>
  <c r="P90" i="3"/>
  <c r="R90" i="3" s="1"/>
  <c r="S90" i="3" s="1"/>
  <c r="Q90" i="3"/>
  <c r="T90" i="3"/>
  <c r="U90" i="3"/>
  <c r="V90" i="3"/>
  <c r="W90" i="3"/>
  <c r="X90" i="3"/>
  <c r="Y90" i="3"/>
  <c r="Z90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N94" i="3"/>
  <c r="O94" i="3"/>
  <c r="P94" i="3"/>
  <c r="Q94" i="3"/>
  <c r="R94" i="3"/>
  <c r="S94" i="3" s="1"/>
  <c r="T94" i="3"/>
  <c r="U94" i="3"/>
  <c r="V94" i="3"/>
  <c r="W94" i="3"/>
  <c r="X94" i="3"/>
  <c r="Y94" i="3"/>
  <c r="Z94" i="3"/>
  <c r="N95" i="3"/>
  <c r="O95" i="3"/>
  <c r="P95" i="3" s="1"/>
  <c r="Q95" i="3"/>
  <c r="T95" i="3"/>
  <c r="U95" i="3"/>
  <c r="V95" i="3"/>
  <c r="W95" i="3"/>
  <c r="X95" i="3"/>
  <c r="Y95" i="3"/>
  <c r="N96" i="3"/>
  <c r="O96" i="3"/>
  <c r="P96" i="3" s="1"/>
  <c r="Q96" i="3"/>
  <c r="T96" i="3"/>
  <c r="U96" i="3"/>
  <c r="V96" i="3"/>
  <c r="W96" i="3"/>
  <c r="X96" i="3"/>
  <c r="Y96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N98" i="3"/>
  <c r="O98" i="3"/>
  <c r="P98" i="3"/>
  <c r="Q98" i="3"/>
  <c r="R98" i="3"/>
  <c r="S98" i="3" s="1"/>
  <c r="T98" i="3"/>
  <c r="U98" i="3"/>
  <c r="V98" i="3"/>
  <c r="W98" i="3"/>
  <c r="X98" i="3"/>
  <c r="Y98" i="3"/>
  <c r="Z98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N101" i="3"/>
  <c r="O101" i="3"/>
  <c r="P101" i="3"/>
  <c r="Q101" i="3"/>
  <c r="R101" i="3"/>
  <c r="S101" i="3" s="1"/>
  <c r="T101" i="3"/>
  <c r="U101" i="3"/>
  <c r="V101" i="3"/>
  <c r="W101" i="3"/>
  <c r="X101" i="3"/>
  <c r="Y101" i="3"/>
  <c r="Z101" i="3"/>
  <c r="N102" i="3"/>
  <c r="O102" i="3"/>
  <c r="P102" i="3" s="1"/>
  <c r="Q102" i="3"/>
  <c r="T102" i="3"/>
  <c r="U102" i="3"/>
  <c r="V102" i="3"/>
  <c r="W102" i="3"/>
  <c r="X102" i="3"/>
  <c r="Y102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N104" i="3"/>
  <c r="O104" i="3"/>
  <c r="P104" i="3" s="1"/>
  <c r="Q104" i="3"/>
  <c r="T104" i="3"/>
  <c r="U104" i="3"/>
  <c r="V104" i="3"/>
  <c r="W104" i="3"/>
  <c r="X104" i="3"/>
  <c r="Y104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N106" i="3"/>
  <c r="O106" i="3"/>
  <c r="P106" i="3" s="1"/>
  <c r="Q106" i="3"/>
  <c r="T106" i="3"/>
  <c r="U106" i="3"/>
  <c r="V106" i="3"/>
  <c r="W106" i="3"/>
  <c r="X106" i="3"/>
  <c r="Y106" i="3"/>
  <c r="N107" i="3"/>
  <c r="O107" i="3"/>
  <c r="P107" i="3"/>
  <c r="Q107" i="3"/>
  <c r="R107" i="3"/>
  <c r="S107" i="3" s="1"/>
  <c r="T107" i="3"/>
  <c r="U107" i="3"/>
  <c r="V107" i="3"/>
  <c r="W107" i="3"/>
  <c r="X107" i="3"/>
  <c r="Y107" i="3"/>
  <c r="Z107" i="3"/>
  <c r="N108" i="3"/>
  <c r="O108" i="3"/>
  <c r="P108" i="3" s="1"/>
  <c r="Q108" i="3"/>
  <c r="T108" i="3"/>
  <c r="U108" i="3"/>
  <c r="V108" i="3"/>
  <c r="W108" i="3"/>
  <c r="X108" i="3"/>
  <c r="Y108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N111" i="3"/>
  <c r="O111" i="3"/>
  <c r="P111" i="3"/>
  <c r="Q111" i="3"/>
  <c r="R111" i="3"/>
  <c r="S111" i="3" s="1"/>
  <c r="T111" i="3"/>
  <c r="U111" i="3"/>
  <c r="V111" i="3"/>
  <c r="W111" i="3"/>
  <c r="X111" i="3"/>
  <c r="Y111" i="3"/>
  <c r="Z111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N115" i="3"/>
  <c r="O115" i="3"/>
  <c r="P115" i="3"/>
  <c r="Q115" i="3"/>
  <c r="R115" i="3"/>
  <c r="S115" i="3" s="1"/>
  <c r="T115" i="3"/>
  <c r="U115" i="3"/>
  <c r="V115" i="3"/>
  <c r="W115" i="3"/>
  <c r="X115" i="3"/>
  <c r="Y115" i="3"/>
  <c r="Z115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N119" i="3"/>
  <c r="O119" i="3"/>
  <c r="P119" i="3"/>
  <c r="Q119" i="3"/>
  <c r="R119" i="3"/>
  <c r="S119" i="3" s="1"/>
  <c r="T119" i="3"/>
  <c r="U119" i="3"/>
  <c r="V119" i="3"/>
  <c r="W119" i="3"/>
  <c r="X119" i="3"/>
  <c r="Y119" i="3"/>
  <c r="Z119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N121" i="3"/>
  <c r="O121" i="3"/>
  <c r="P121" i="3"/>
  <c r="Q121" i="3"/>
  <c r="R121" i="3"/>
  <c r="S121" i="3" s="1"/>
  <c r="T121" i="3"/>
  <c r="U121" i="3"/>
  <c r="V121" i="3"/>
  <c r="W121" i="3"/>
  <c r="X121" i="3"/>
  <c r="Y121" i="3"/>
  <c r="Z121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N124" i="3"/>
  <c r="O124" i="3"/>
  <c r="P124" i="3"/>
  <c r="Q124" i="3"/>
  <c r="R124" i="3"/>
  <c r="S124" i="3" s="1"/>
  <c r="T124" i="3"/>
  <c r="U124" i="3"/>
  <c r="V124" i="3"/>
  <c r="W124" i="3"/>
  <c r="X124" i="3"/>
  <c r="Y124" i="3"/>
  <c r="Z124" i="3"/>
  <c r="N125" i="3"/>
  <c r="O125" i="3"/>
  <c r="P125" i="3" s="1"/>
  <c r="Q125" i="3"/>
  <c r="T125" i="3"/>
  <c r="U125" i="3"/>
  <c r="V125" i="3"/>
  <c r="W125" i="3"/>
  <c r="X125" i="3"/>
  <c r="Y125" i="3"/>
  <c r="N126" i="3"/>
  <c r="O126" i="3"/>
  <c r="P126" i="3"/>
  <c r="Q126" i="3"/>
  <c r="R126" i="3"/>
  <c r="S126" i="3" s="1"/>
  <c r="T126" i="3"/>
  <c r="U126" i="3"/>
  <c r="V126" i="3"/>
  <c r="W126" i="3"/>
  <c r="X126" i="3"/>
  <c r="Y126" i="3"/>
  <c r="Z126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N128" i="3"/>
  <c r="O128" i="3"/>
  <c r="P128" i="3"/>
  <c r="R128" i="3" s="1"/>
  <c r="S128" i="3" s="1"/>
  <c r="Q128" i="3"/>
  <c r="T128" i="3"/>
  <c r="U128" i="3"/>
  <c r="V128" i="3"/>
  <c r="W128" i="3"/>
  <c r="X128" i="3"/>
  <c r="Y128" i="3"/>
  <c r="Z128" i="3"/>
  <c r="N129" i="3"/>
  <c r="O129" i="3"/>
  <c r="P129" i="3"/>
  <c r="Q129" i="3"/>
  <c r="R129" i="3"/>
  <c r="S129" i="3" s="1"/>
  <c r="T129" i="3"/>
  <c r="U129" i="3"/>
  <c r="V129" i="3"/>
  <c r="W129" i="3"/>
  <c r="X129" i="3"/>
  <c r="Y129" i="3"/>
  <c r="Z129" i="3"/>
  <c r="N130" i="3"/>
  <c r="O130" i="3"/>
  <c r="P130" i="3"/>
  <c r="Q130" i="3"/>
  <c r="R130" i="3"/>
  <c r="S130" i="3" s="1"/>
  <c r="T130" i="3"/>
  <c r="U130" i="3"/>
  <c r="V130" i="3"/>
  <c r="W130" i="3"/>
  <c r="X130" i="3"/>
  <c r="Y130" i="3"/>
  <c r="Z130" i="3"/>
  <c r="N131" i="3"/>
  <c r="O131" i="3"/>
  <c r="P131" i="3" s="1"/>
  <c r="Q131" i="3"/>
  <c r="T131" i="3"/>
  <c r="U131" i="3"/>
  <c r="V131" i="3"/>
  <c r="W131" i="3"/>
  <c r="X131" i="3"/>
  <c r="Y131" i="3"/>
  <c r="N132" i="3"/>
  <c r="O132" i="3"/>
  <c r="P132" i="3" s="1"/>
  <c r="Q132" i="3"/>
  <c r="T132" i="3"/>
  <c r="U132" i="3"/>
  <c r="V132" i="3"/>
  <c r="W132" i="3"/>
  <c r="X132" i="3"/>
  <c r="Y132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N136" i="3"/>
  <c r="O136" i="3"/>
  <c r="P136" i="3"/>
  <c r="Q136" i="3"/>
  <c r="R136" i="3"/>
  <c r="S136" i="3" s="1"/>
  <c r="T136" i="3"/>
  <c r="U136" i="3"/>
  <c r="V136" i="3"/>
  <c r="W136" i="3"/>
  <c r="X136" i="3"/>
  <c r="Y136" i="3"/>
  <c r="Z136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N138" i="3"/>
  <c r="O138" i="3"/>
  <c r="P138" i="3"/>
  <c r="Q138" i="3"/>
  <c r="R138" i="3"/>
  <c r="S138" i="3" s="1"/>
  <c r="T138" i="3"/>
  <c r="U138" i="3"/>
  <c r="V138" i="3"/>
  <c r="W138" i="3"/>
  <c r="X138" i="3"/>
  <c r="Y138" i="3"/>
  <c r="Z138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N142" i="3"/>
  <c r="O142" i="3"/>
  <c r="P142" i="3"/>
  <c r="Q142" i="3"/>
  <c r="R142" i="3"/>
  <c r="S142" i="3" s="1"/>
  <c r="T142" i="3"/>
  <c r="U142" i="3"/>
  <c r="V142" i="3"/>
  <c r="W142" i="3"/>
  <c r="X142" i="3"/>
  <c r="Y142" i="3"/>
  <c r="Z142" i="3"/>
  <c r="N143" i="3"/>
  <c r="O143" i="3"/>
  <c r="P143" i="3"/>
  <c r="Q143" i="3"/>
  <c r="R143" i="3"/>
  <c r="S143" i="3" s="1"/>
  <c r="T143" i="3"/>
  <c r="U143" i="3"/>
  <c r="V143" i="3"/>
  <c r="W143" i="3"/>
  <c r="X143" i="3"/>
  <c r="Y143" i="3"/>
  <c r="Z143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N145" i="3"/>
  <c r="O145" i="3"/>
  <c r="P145" i="3"/>
  <c r="Q145" i="3"/>
  <c r="R145" i="3"/>
  <c r="S145" i="3" s="1"/>
  <c r="T145" i="3"/>
  <c r="U145" i="3"/>
  <c r="V145" i="3"/>
  <c r="W145" i="3"/>
  <c r="X145" i="3"/>
  <c r="Y145" i="3"/>
  <c r="Z145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N147" i="3"/>
  <c r="O147" i="3"/>
  <c r="P147" i="3"/>
  <c r="Q147" i="3"/>
  <c r="R147" i="3"/>
  <c r="S147" i="3" s="1"/>
  <c r="T147" i="3"/>
  <c r="U147" i="3"/>
  <c r="V147" i="3"/>
  <c r="W147" i="3"/>
  <c r="X147" i="3"/>
  <c r="Y147" i="3"/>
  <c r="Z147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N149" i="3"/>
  <c r="O149" i="3"/>
  <c r="P149" i="3"/>
  <c r="Q149" i="3"/>
  <c r="R149" i="3"/>
  <c r="S149" i="3" s="1"/>
  <c r="T149" i="3"/>
  <c r="U149" i="3"/>
  <c r="V149" i="3"/>
  <c r="W149" i="3"/>
  <c r="X149" i="3"/>
  <c r="Y149" i="3"/>
  <c r="Z149" i="3"/>
  <c r="N150" i="3"/>
  <c r="O150" i="3"/>
  <c r="P150" i="3" s="1"/>
  <c r="Q150" i="3"/>
  <c r="T150" i="3"/>
  <c r="U150" i="3"/>
  <c r="V150" i="3"/>
  <c r="W150" i="3"/>
  <c r="X150" i="3"/>
  <c r="Y150" i="3"/>
  <c r="N151" i="3"/>
  <c r="O151" i="3"/>
  <c r="P151" i="3"/>
  <c r="Q151" i="3"/>
  <c r="R151" i="3"/>
  <c r="S151" i="3" s="1"/>
  <c r="T151" i="3"/>
  <c r="U151" i="3"/>
  <c r="V151" i="3"/>
  <c r="W151" i="3"/>
  <c r="X151" i="3"/>
  <c r="Y151" i="3"/>
  <c r="Z151" i="3"/>
  <c r="N152" i="3"/>
  <c r="O152" i="3"/>
  <c r="P152" i="3" s="1"/>
  <c r="Q152" i="3"/>
  <c r="T152" i="3"/>
  <c r="U152" i="3"/>
  <c r="V152" i="3"/>
  <c r="W152" i="3"/>
  <c r="X152" i="3"/>
  <c r="Y152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N154" i="3"/>
  <c r="O154" i="3"/>
  <c r="P154" i="3"/>
  <c r="Q154" i="3"/>
  <c r="R154" i="3"/>
  <c r="S154" i="3" s="1"/>
  <c r="T154" i="3"/>
  <c r="U154" i="3"/>
  <c r="V154" i="3"/>
  <c r="W154" i="3"/>
  <c r="X154" i="3"/>
  <c r="Y154" i="3"/>
  <c r="Z154" i="3"/>
  <c r="N155" i="3"/>
  <c r="O155" i="3"/>
  <c r="P155" i="3"/>
  <c r="Q155" i="3"/>
  <c r="R155" i="3"/>
  <c r="S155" i="3" s="1"/>
  <c r="T155" i="3"/>
  <c r="U155" i="3"/>
  <c r="V155" i="3"/>
  <c r="W155" i="3"/>
  <c r="X155" i="3"/>
  <c r="Y155" i="3"/>
  <c r="Z155" i="3"/>
  <c r="N156" i="3"/>
  <c r="O156" i="3"/>
  <c r="P156" i="3"/>
  <c r="Q156" i="3"/>
  <c r="R156" i="3"/>
  <c r="S156" i="3" s="1"/>
  <c r="T156" i="3"/>
  <c r="U156" i="3"/>
  <c r="V156" i="3"/>
  <c r="W156" i="3"/>
  <c r="X156" i="3"/>
  <c r="Y156" i="3"/>
  <c r="Z156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N159" i="3"/>
  <c r="O159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N242" i="3"/>
  <c r="O242" i="3"/>
  <c r="P242" i="3"/>
  <c r="R242" i="3" s="1"/>
  <c r="S242" i="3" s="1"/>
  <c r="Q242" i="3"/>
  <c r="T242" i="3"/>
  <c r="U242" i="3"/>
  <c r="V242" i="3"/>
  <c r="W242" i="3"/>
  <c r="X242" i="3"/>
  <c r="Y242" i="3"/>
  <c r="Z242" i="3"/>
  <c r="N243" i="3"/>
  <c r="O243" i="3"/>
  <c r="T243" i="3"/>
  <c r="U243" i="3"/>
  <c r="V243" i="3"/>
  <c r="W243" i="3"/>
  <c r="X243" i="3"/>
  <c r="Y243" i="3"/>
  <c r="N244" i="3"/>
  <c r="P244" i="3" s="1"/>
  <c r="O244" i="3"/>
  <c r="Q244" i="3"/>
  <c r="T244" i="3"/>
  <c r="U244" i="3"/>
  <c r="V244" i="3"/>
  <c r="W244" i="3"/>
  <c r="X244" i="3"/>
  <c r="Y244" i="3"/>
  <c r="N245" i="3"/>
  <c r="O245" i="3"/>
  <c r="T245" i="3"/>
  <c r="U245" i="3"/>
  <c r="V245" i="3"/>
  <c r="W245" i="3"/>
  <c r="X245" i="3"/>
  <c r="Y245" i="3"/>
  <c r="N246" i="3"/>
  <c r="O246" i="3"/>
  <c r="T246" i="3"/>
  <c r="U246" i="3"/>
  <c r="V246" i="3"/>
  <c r="W246" i="3"/>
  <c r="X246" i="3"/>
  <c r="Y246" i="3"/>
  <c r="N247" i="3"/>
  <c r="O247" i="3"/>
  <c r="T247" i="3"/>
  <c r="U247" i="3"/>
  <c r="V247" i="3"/>
  <c r="W247" i="3"/>
  <c r="X247" i="3"/>
  <c r="Y247" i="3"/>
  <c r="N248" i="3"/>
  <c r="O248" i="3"/>
  <c r="Q248" i="3" s="1"/>
  <c r="P248" i="3"/>
  <c r="R248" i="3" s="1"/>
  <c r="T248" i="3"/>
  <c r="U248" i="3"/>
  <c r="V248" i="3"/>
  <c r="W248" i="3"/>
  <c r="X248" i="3"/>
  <c r="Y248" i="3"/>
  <c r="Z248" i="3"/>
  <c r="N249" i="3"/>
  <c r="O249" i="3"/>
  <c r="T249" i="3"/>
  <c r="U249" i="3"/>
  <c r="V249" i="3"/>
  <c r="W249" i="3"/>
  <c r="X249" i="3"/>
  <c r="Y249" i="3"/>
  <c r="N250" i="3"/>
  <c r="P250" i="3" s="1"/>
  <c r="O250" i="3"/>
  <c r="Q250" i="3"/>
  <c r="T250" i="3"/>
  <c r="U250" i="3"/>
  <c r="V250" i="3"/>
  <c r="W250" i="3"/>
  <c r="X250" i="3"/>
  <c r="Y250" i="3"/>
  <c r="N251" i="3"/>
  <c r="P251" i="3" s="1"/>
  <c r="O251" i="3"/>
  <c r="Q251" i="3"/>
  <c r="T251" i="3"/>
  <c r="U251" i="3"/>
  <c r="V251" i="3"/>
  <c r="W251" i="3"/>
  <c r="X251" i="3"/>
  <c r="Y251" i="3"/>
  <c r="N252" i="3"/>
  <c r="O252" i="3"/>
  <c r="T252" i="3"/>
  <c r="U252" i="3"/>
  <c r="V252" i="3"/>
  <c r="W252" i="3"/>
  <c r="X252" i="3"/>
  <c r="Y252" i="3"/>
  <c r="N253" i="3"/>
  <c r="P253" i="3" s="1"/>
  <c r="O253" i="3"/>
  <c r="Q253" i="3"/>
  <c r="T253" i="3"/>
  <c r="U253" i="3"/>
  <c r="V253" i="3"/>
  <c r="W253" i="3"/>
  <c r="X253" i="3"/>
  <c r="Y253" i="3"/>
  <c r="N254" i="3"/>
  <c r="P254" i="3" s="1"/>
  <c r="O254" i="3"/>
  <c r="Q254" i="3" s="1"/>
  <c r="T254" i="3"/>
  <c r="U254" i="3"/>
  <c r="V254" i="3"/>
  <c r="W254" i="3"/>
  <c r="X254" i="3"/>
  <c r="Y254" i="3"/>
  <c r="N255" i="3"/>
  <c r="O255" i="3"/>
  <c r="T255" i="3"/>
  <c r="U255" i="3"/>
  <c r="V255" i="3"/>
  <c r="W255" i="3"/>
  <c r="X255" i="3"/>
  <c r="Y255" i="3"/>
  <c r="N256" i="3"/>
  <c r="P256" i="3" s="1"/>
  <c r="O256" i="3"/>
  <c r="Q256" i="3"/>
  <c r="T256" i="3"/>
  <c r="U256" i="3"/>
  <c r="V256" i="3"/>
  <c r="W256" i="3"/>
  <c r="X256" i="3"/>
  <c r="Y256" i="3"/>
  <c r="N257" i="3"/>
  <c r="P257" i="3" s="1"/>
  <c r="O257" i="3"/>
  <c r="Q257" i="3"/>
  <c r="T257" i="3"/>
  <c r="U257" i="3"/>
  <c r="V257" i="3"/>
  <c r="W257" i="3"/>
  <c r="X257" i="3"/>
  <c r="Y257" i="3"/>
  <c r="N258" i="3"/>
  <c r="O258" i="3"/>
  <c r="Q258" i="3" s="1"/>
  <c r="S258" i="3" s="1"/>
  <c r="P258" i="3"/>
  <c r="R258" i="3" s="1"/>
  <c r="T258" i="3"/>
  <c r="U258" i="3"/>
  <c r="V258" i="3"/>
  <c r="W258" i="3"/>
  <c r="X258" i="3"/>
  <c r="Y258" i="3"/>
  <c r="Z258" i="3"/>
  <c r="N259" i="3"/>
  <c r="P259" i="3" s="1"/>
  <c r="O259" i="3"/>
  <c r="Q259" i="3" s="1"/>
  <c r="T259" i="3"/>
  <c r="U259" i="3"/>
  <c r="V259" i="3"/>
  <c r="W259" i="3"/>
  <c r="X259" i="3"/>
  <c r="Y259" i="3"/>
  <c r="N260" i="3"/>
  <c r="O260" i="3"/>
  <c r="T260" i="3"/>
  <c r="U260" i="3"/>
  <c r="V260" i="3"/>
  <c r="W260" i="3"/>
  <c r="X260" i="3"/>
  <c r="Y260" i="3"/>
  <c r="N261" i="3"/>
  <c r="O261" i="3"/>
  <c r="P261" i="3"/>
  <c r="Q261" i="3"/>
  <c r="R261" i="3"/>
  <c r="S261" i="3" s="1"/>
  <c r="T261" i="3"/>
  <c r="U261" i="3"/>
  <c r="V261" i="3"/>
  <c r="W261" i="3"/>
  <c r="X261" i="3"/>
  <c r="Y261" i="3"/>
  <c r="Z261" i="3"/>
  <c r="N262" i="3"/>
  <c r="O262" i="3"/>
  <c r="T262" i="3"/>
  <c r="U262" i="3"/>
  <c r="V262" i="3"/>
  <c r="W262" i="3"/>
  <c r="X262" i="3"/>
  <c r="Y262" i="3"/>
  <c r="N263" i="3"/>
  <c r="O263" i="3"/>
  <c r="T263" i="3"/>
  <c r="U263" i="3"/>
  <c r="V263" i="3"/>
  <c r="W263" i="3"/>
  <c r="X263" i="3"/>
  <c r="Y263" i="3"/>
  <c r="N264" i="3"/>
  <c r="O264" i="3"/>
  <c r="T264" i="3"/>
  <c r="U264" i="3"/>
  <c r="V264" i="3"/>
  <c r="W264" i="3"/>
  <c r="X264" i="3"/>
  <c r="Y264" i="3"/>
  <c r="N265" i="3"/>
  <c r="O265" i="3"/>
  <c r="W265" i="3"/>
  <c r="X265" i="3"/>
  <c r="Y265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N267" i="3"/>
  <c r="O267" i="3"/>
  <c r="T267" i="3"/>
  <c r="U267" i="3"/>
  <c r="V267" i="3"/>
  <c r="W267" i="3"/>
  <c r="X267" i="3"/>
  <c r="Y267" i="3"/>
  <c r="N268" i="3"/>
  <c r="O268" i="3"/>
  <c r="T268" i="3"/>
  <c r="U268" i="3"/>
  <c r="V268" i="3"/>
  <c r="W268" i="3"/>
  <c r="X268" i="3"/>
  <c r="Y268" i="3"/>
  <c r="N269" i="3"/>
  <c r="P269" i="3" s="1"/>
  <c r="O269" i="3"/>
  <c r="Q269" i="3" s="1"/>
  <c r="T269" i="3"/>
  <c r="U269" i="3"/>
  <c r="V269" i="3"/>
  <c r="W269" i="3"/>
  <c r="X269" i="3"/>
  <c r="Y269" i="3"/>
  <c r="N270" i="3"/>
  <c r="O270" i="3"/>
  <c r="Q270" i="3" s="1"/>
  <c r="P270" i="3"/>
  <c r="R270" i="3" s="1"/>
  <c r="T270" i="3"/>
  <c r="U270" i="3"/>
  <c r="V270" i="3"/>
  <c r="W270" i="3"/>
  <c r="X270" i="3"/>
  <c r="Y270" i="3"/>
  <c r="Z270" i="3"/>
  <c r="N271" i="3"/>
  <c r="O271" i="3"/>
  <c r="T271" i="3"/>
  <c r="U271" i="3"/>
  <c r="V271" i="3"/>
  <c r="W271" i="3"/>
  <c r="X271" i="3"/>
  <c r="Y271" i="3"/>
  <c r="N272" i="3"/>
  <c r="P272" i="3" s="1"/>
  <c r="O272" i="3"/>
  <c r="Q272" i="3"/>
  <c r="T272" i="3"/>
  <c r="U272" i="3"/>
  <c r="V272" i="3"/>
  <c r="W272" i="3"/>
  <c r="X272" i="3"/>
  <c r="Y272" i="3"/>
  <c r="N273" i="3"/>
  <c r="O273" i="3"/>
  <c r="T273" i="3"/>
  <c r="U273" i="3"/>
  <c r="V273" i="3"/>
  <c r="W273" i="3"/>
  <c r="X273" i="3"/>
  <c r="Y273" i="3"/>
  <c r="N274" i="3"/>
  <c r="O274" i="3"/>
  <c r="P274" i="3"/>
  <c r="Q274" i="3"/>
  <c r="R274" i="3"/>
  <c r="S274" i="3" s="1"/>
  <c r="T274" i="3"/>
  <c r="U274" i="3"/>
  <c r="V274" i="3"/>
  <c r="W274" i="3"/>
  <c r="X274" i="3"/>
  <c r="Y274" i="3"/>
  <c r="Z274" i="3"/>
  <c r="N275" i="3"/>
  <c r="O275" i="3"/>
  <c r="T275" i="3"/>
  <c r="U275" i="3"/>
  <c r="V275" i="3"/>
  <c r="W275" i="3"/>
  <c r="X275" i="3"/>
  <c r="Y275" i="3"/>
  <c r="N276" i="3"/>
  <c r="P276" i="3" s="1"/>
  <c r="O276" i="3"/>
  <c r="Q276" i="3"/>
  <c r="T276" i="3"/>
  <c r="U276" i="3"/>
  <c r="V276" i="3"/>
  <c r="W276" i="3"/>
  <c r="X276" i="3"/>
  <c r="Y276" i="3"/>
  <c r="N277" i="3"/>
  <c r="O277" i="3"/>
  <c r="T277" i="3"/>
  <c r="U277" i="3"/>
  <c r="V277" i="3"/>
  <c r="W277" i="3"/>
  <c r="X277" i="3"/>
  <c r="Y277" i="3"/>
  <c r="N278" i="3"/>
  <c r="O278" i="3"/>
  <c r="T278" i="3"/>
  <c r="U278" i="3"/>
  <c r="V278" i="3"/>
  <c r="W278" i="3"/>
  <c r="X278" i="3"/>
  <c r="Y278" i="3"/>
  <c r="N279" i="3"/>
  <c r="O279" i="3"/>
  <c r="P279" i="3"/>
  <c r="R279" i="3" s="1"/>
  <c r="S279" i="3" s="1"/>
  <c r="Q279" i="3"/>
  <c r="T279" i="3"/>
  <c r="U279" i="3"/>
  <c r="V279" i="3"/>
  <c r="W279" i="3"/>
  <c r="X279" i="3"/>
  <c r="Y279" i="3"/>
  <c r="Z279" i="3"/>
  <c r="N280" i="3"/>
  <c r="P280" i="3" s="1"/>
  <c r="O280" i="3"/>
  <c r="Q280" i="3" s="1"/>
  <c r="T280" i="3"/>
  <c r="U280" i="3"/>
  <c r="V280" i="3"/>
  <c r="W280" i="3"/>
  <c r="X280" i="3"/>
  <c r="Y280" i="3"/>
  <c r="N281" i="3"/>
  <c r="O281" i="3"/>
  <c r="T281" i="3"/>
  <c r="U281" i="3"/>
  <c r="V281" i="3"/>
  <c r="W281" i="3"/>
  <c r="X281" i="3"/>
  <c r="Y281" i="3"/>
  <c r="N282" i="3"/>
  <c r="O282" i="3"/>
  <c r="T282" i="3"/>
  <c r="U282" i="3"/>
  <c r="V282" i="3"/>
  <c r="W282" i="3"/>
  <c r="X282" i="3"/>
  <c r="Y282" i="3"/>
  <c r="N283" i="3"/>
  <c r="O283" i="3"/>
  <c r="P283" i="3"/>
  <c r="R283" i="3" s="1"/>
  <c r="S283" i="3" s="1"/>
  <c r="Q283" i="3"/>
  <c r="T283" i="3"/>
  <c r="U283" i="3"/>
  <c r="V283" i="3"/>
  <c r="W283" i="3"/>
  <c r="X283" i="3"/>
  <c r="Y283" i="3"/>
  <c r="Z283" i="3"/>
  <c r="N284" i="3"/>
  <c r="P284" i="3" s="1"/>
  <c r="O284" i="3"/>
  <c r="Q284" i="3" s="1"/>
  <c r="T284" i="3"/>
  <c r="U284" i="3"/>
  <c r="V284" i="3"/>
  <c r="W284" i="3"/>
  <c r="X284" i="3"/>
  <c r="Y284" i="3"/>
  <c r="N285" i="3"/>
  <c r="P285" i="3" s="1"/>
  <c r="O285" i="3"/>
  <c r="Q285" i="3"/>
  <c r="T285" i="3"/>
  <c r="U285" i="3"/>
  <c r="V285" i="3"/>
  <c r="W285" i="3"/>
  <c r="X285" i="3"/>
  <c r="Y285" i="3"/>
  <c r="N286" i="3"/>
  <c r="O286" i="3"/>
  <c r="T286" i="3"/>
  <c r="U286" i="3"/>
  <c r="V286" i="3"/>
  <c r="W286" i="3"/>
  <c r="X286" i="3"/>
  <c r="Y286" i="3"/>
  <c r="N287" i="3"/>
  <c r="O287" i="3"/>
  <c r="Q287" i="3" s="1"/>
  <c r="P287" i="3"/>
  <c r="R287" i="3" s="1"/>
  <c r="T287" i="3"/>
  <c r="U287" i="3"/>
  <c r="V287" i="3"/>
  <c r="W287" i="3"/>
  <c r="X287" i="3"/>
  <c r="Y287" i="3"/>
  <c r="Z287" i="3"/>
  <c r="N288" i="3"/>
  <c r="O288" i="3"/>
  <c r="T288" i="3"/>
  <c r="U288" i="3"/>
  <c r="V288" i="3"/>
  <c r="W288" i="3"/>
  <c r="X288" i="3"/>
  <c r="Y288" i="3"/>
  <c r="N289" i="3"/>
  <c r="P289" i="3" s="1"/>
  <c r="O289" i="3"/>
  <c r="Q289" i="3"/>
  <c r="T289" i="3"/>
  <c r="U289" i="3"/>
  <c r="V289" i="3"/>
  <c r="W289" i="3"/>
  <c r="X289" i="3"/>
  <c r="Y289" i="3"/>
  <c r="N290" i="3"/>
  <c r="O290" i="3"/>
  <c r="T290" i="3"/>
  <c r="U290" i="3"/>
  <c r="V290" i="3"/>
  <c r="W290" i="3"/>
  <c r="X290" i="3"/>
  <c r="Y290" i="3"/>
  <c r="N291" i="3"/>
  <c r="O291" i="3"/>
  <c r="T291" i="3"/>
  <c r="U291" i="3"/>
  <c r="V291" i="3"/>
  <c r="W291" i="3"/>
  <c r="X291" i="3"/>
  <c r="Y291" i="3"/>
  <c r="N292" i="3"/>
  <c r="P292" i="3" s="1"/>
  <c r="O292" i="3"/>
  <c r="Q292" i="3" s="1"/>
  <c r="T292" i="3"/>
  <c r="U292" i="3"/>
  <c r="V292" i="3"/>
  <c r="W292" i="3"/>
  <c r="X292" i="3"/>
  <c r="Y292" i="3"/>
  <c r="N293" i="3"/>
  <c r="O293" i="3"/>
  <c r="P293" i="3"/>
  <c r="Q293" i="3"/>
  <c r="R293" i="3"/>
  <c r="S293" i="3" s="1"/>
  <c r="T293" i="3"/>
  <c r="U293" i="3"/>
  <c r="V293" i="3"/>
  <c r="W293" i="3"/>
  <c r="X293" i="3"/>
  <c r="Y293" i="3"/>
  <c r="Z293" i="3"/>
  <c r="N294" i="3"/>
  <c r="P294" i="3" s="1"/>
  <c r="O294" i="3"/>
  <c r="Q294" i="3"/>
  <c r="T294" i="3"/>
  <c r="U294" i="3"/>
  <c r="V294" i="3"/>
  <c r="W294" i="3"/>
  <c r="X294" i="3"/>
  <c r="Y294" i="3"/>
  <c r="N295" i="3"/>
  <c r="O295" i="3"/>
  <c r="T295" i="3"/>
  <c r="U295" i="3"/>
  <c r="V295" i="3"/>
  <c r="W295" i="3"/>
  <c r="X295" i="3"/>
  <c r="Y295" i="3"/>
  <c r="N296" i="3"/>
  <c r="O296" i="3"/>
  <c r="T296" i="3"/>
  <c r="U296" i="3"/>
  <c r="V296" i="3"/>
  <c r="W296" i="3"/>
  <c r="X296" i="3"/>
  <c r="Y296" i="3"/>
  <c r="N297" i="3"/>
  <c r="P297" i="3" s="1"/>
  <c r="O297" i="3"/>
  <c r="Q297" i="3"/>
  <c r="T297" i="3"/>
  <c r="U297" i="3"/>
  <c r="V297" i="3"/>
  <c r="W297" i="3"/>
  <c r="X297" i="3"/>
  <c r="Y297" i="3"/>
  <c r="N298" i="3"/>
  <c r="O298" i="3"/>
  <c r="T298" i="3"/>
  <c r="U298" i="3"/>
  <c r="V298" i="3"/>
  <c r="W298" i="3"/>
  <c r="X298" i="3"/>
  <c r="Y298" i="3"/>
  <c r="N299" i="3"/>
  <c r="O299" i="3"/>
  <c r="Q299" i="3" s="1"/>
  <c r="P299" i="3"/>
  <c r="R299" i="3" s="1"/>
  <c r="T299" i="3"/>
  <c r="U299" i="3"/>
  <c r="V299" i="3"/>
  <c r="W299" i="3"/>
  <c r="X299" i="3"/>
  <c r="Y299" i="3"/>
  <c r="Z299" i="3"/>
  <c r="N300" i="3"/>
  <c r="O300" i="3"/>
  <c r="T300" i="3"/>
  <c r="U300" i="3"/>
  <c r="V300" i="3"/>
  <c r="W300" i="3"/>
  <c r="X300" i="3"/>
  <c r="Y300" i="3"/>
  <c r="N301" i="3"/>
  <c r="P301" i="3" s="1"/>
  <c r="O301" i="3"/>
  <c r="Q301" i="3" s="1"/>
  <c r="T301" i="3"/>
  <c r="U301" i="3"/>
  <c r="V301" i="3"/>
  <c r="W301" i="3"/>
  <c r="X301" i="3"/>
  <c r="Y301" i="3"/>
  <c r="N302" i="3"/>
  <c r="P302" i="3" s="1"/>
  <c r="O302" i="3"/>
  <c r="Q302" i="3" s="1"/>
  <c r="T302" i="3"/>
  <c r="U302" i="3"/>
  <c r="V302" i="3"/>
  <c r="W302" i="3"/>
  <c r="X302" i="3"/>
  <c r="Y302" i="3"/>
  <c r="N303" i="3"/>
  <c r="P303" i="3" s="1"/>
  <c r="O303" i="3"/>
  <c r="Q303" i="3"/>
  <c r="T303" i="3"/>
  <c r="U303" i="3"/>
  <c r="V303" i="3"/>
  <c r="W303" i="3"/>
  <c r="X303" i="3"/>
  <c r="Y303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N305" i="3"/>
  <c r="P305" i="3" s="1"/>
  <c r="O305" i="3"/>
  <c r="Q305" i="3" s="1"/>
  <c r="T305" i="3"/>
  <c r="U305" i="3"/>
  <c r="V305" i="3"/>
  <c r="W305" i="3"/>
  <c r="X305" i="3"/>
  <c r="Y305" i="3"/>
  <c r="N306" i="3"/>
  <c r="O306" i="3"/>
  <c r="T306" i="3"/>
  <c r="U306" i="3"/>
  <c r="V306" i="3"/>
  <c r="W306" i="3"/>
  <c r="X306" i="3"/>
  <c r="Y306" i="3"/>
  <c r="N307" i="3"/>
  <c r="P307" i="3" s="1"/>
  <c r="O307" i="3"/>
  <c r="Q307" i="3" s="1"/>
  <c r="T307" i="3"/>
  <c r="U307" i="3"/>
  <c r="V307" i="3"/>
  <c r="W307" i="3"/>
  <c r="X307" i="3"/>
  <c r="Y307" i="3"/>
  <c r="N308" i="3"/>
  <c r="O308" i="3"/>
  <c r="T308" i="3"/>
  <c r="U308" i="3"/>
  <c r="V308" i="3"/>
  <c r="W308" i="3"/>
  <c r="X308" i="3"/>
  <c r="Y308" i="3"/>
  <c r="N309" i="3"/>
  <c r="O309" i="3"/>
  <c r="T309" i="3"/>
  <c r="U309" i="3"/>
  <c r="V309" i="3"/>
  <c r="W309" i="3"/>
  <c r="X309" i="3"/>
  <c r="Y309" i="3"/>
  <c r="N310" i="3"/>
  <c r="P310" i="3" s="1"/>
  <c r="O310" i="3"/>
  <c r="Q310" i="3"/>
  <c r="T310" i="3"/>
  <c r="U310" i="3"/>
  <c r="V310" i="3"/>
  <c r="W310" i="3"/>
  <c r="X310" i="3"/>
  <c r="Y310" i="3"/>
  <c r="N311" i="3"/>
  <c r="O311" i="3"/>
  <c r="T311" i="3"/>
  <c r="U311" i="3"/>
  <c r="V311" i="3"/>
  <c r="W311" i="3"/>
  <c r="X311" i="3"/>
  <c r="Y311" i="3"/>
  <c r="N312" i="3"/>
  <c r="O312" i="3"/>
  <c r="T312" i="3"/>
  <c r="U312" i="3"/>
  <c r="V312" i="3"/>
  <c r="W312" i="3"/>
  <c r="X312" i="3"/>
  <c r="Y312" i="3"/>
  <c r="N313" i="3"/>
  <c r="O313" i="3"/>
  <c r="T313" i="3"/>
  <c r="U313" i="3"/>
  <c r="V313" i="3"/>
  <c r="W313" i="3"/>
  <c r="X313" i="3"/>
  <c r="Y313" i="3"/>
  <c r="N314" i="3"/>
  <c r="P314" i="3" s="1"/>
  <c r="O314" i="3"/>
  <c r="Q314" i="3"/>
  <c r="T314" i="3"/>
  <c r="U314" i="3"/>
  <c r="V314" i="3"/>
  <c r="W314" i="3"/>
  <c r="X314" i="3"/>
  <c r="Y314" i="3"/>
  <c r="N315" i="3"/>
  <c r="O315" i="3"/>
  <c r="P315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N418" i="3"/>
  <c r="O418" i="3"/>
  <c r="T418" i="3"/>
  <c r="U418" i="3"/>
  <c r="V418" i="3"/>
  <c r="W418" i="3"/>
  <c r="X418" i="3"/>
  <c r="Y418" i="3"/>
  <c r="N419" i="3"/>
  <c r="O419" i="3"/>
  <c r="T419" i="3"/>
  <c r="U419" i="3"/>
  <c r="V419" i="3"/>
  <c r="W419" i="3"/>
  <c r="X419" i="3"/>
  <c r="Y419" i="3"/>
  <c r="N420" i="3"/>
  <c r="O420" i="3"/>
  <c r="T420" i="3"/>
  <c r="U420" i="3"/>
  <c r="V420" i="3"/>
  <c r="W420" i="3"/>
  <c r="X420" i="3"/>
  <c r="Y420" i="3"/>
  <c r="N421" i="3"/>
  <c r="O421" i="3"/>
  <c r="T421" i="3"/>
  <c r="U421" i="3"/>
  <c r="V421" i="3"/>
  <c r="W421" i="3"/>
  <c r="X421" i="3"/>
  <c r="Y421" i="3"/>
  <c r="N422" i="3"/>
  <c r="O422" i="3"/>
  <c r="T422" i="3"/>
  <c r="U422" i="3"/>
  <c r="V422" i="3"/>
  <c r="W422" i="3"/>
  <c r="X422" i="3"/>
  <c r="Y422" i="3"/>
  <c r="N423" i="3"/>
  <c r="O423" i="3"/>
  <c r="T423" i="3"/>
  <c r="U423" i="3"/>
  <c r="V423" i="3"/>
  <c r="W423" i="3"/>
  <c r="X423" i="3"/>
  <c r="Y423" i="3"/>
  <c r="N424" i="3"/>
  <c r="O424" i="3"/>
  <c r="U424" i="3"/>
  <c r="V424" i="3"/>
  <c r="N425" i="3"/>
  <c r="O425" i="3"/>
  <c r="T425" i="3"/>
  <c r="U425" i="3"/>
  <c r="V425" i="3"/>
  <c r="W425" i="3"/>
  <c r="X425" i="3"/>
  <c r="Y425" i="3"/>
  <c r="N426" i="3"/>
  <c r="O426" i="3"/>
  <c r="T426" i="3"/>
  <c r="U426" i="3"/>
  <c r="V426" i="3"/>
  <c r="W426" i="3"/>
  <c r="X426" i="3"/>
  <c r="Y426" i="3"/>
  <c r="N427" i="3"/>
  <c r="O427" i="3"/>
  <c r="T427" i="3"/>
  <c r="U427" i="3"/>
  <c r="V427" i="3"/>
  <c r="W427" i="3"/>
  <c r="X427" i="3"/>
  <c r="Y427" i="3"/>
  <c r="N428" i="3"/>
  <c r="O428" i="3"/>
  <c r="T428" i="3"/>
  <c r="U428" i="3"/>
  <c r="V428" i="3"/>
  <c r="W428" i="3"/>
  <c r="X428" i="3"/>
  <c r="Y428" i="3"/>
  <c r="N429" i="3"/>
  <c r="O429" i="3"/>
  <c r="T429" i="3"/>
  <c r="U429" i="3"/>
  <c r="V429" i="3"/>
  <c r="W429" i="3"/>
  <c r="X429" i="3"/>
  <c r="Y429" i="3"/>
  <c r="N430" i="3"/>
  <c r="O430" i="3"/>
  <c r="U430" i="3"/>
  <c r="V430" i="3"/>
  <c r="W430" i="3"/>
  <c r="X430" i="3"/>
  <c r="Y430" i="3"/>
  <c r="N431" i="3"/>
  <c r="O431" i="3"/>
  <c r="T431" i="3"/>
  <c r="U431" i="3"/>
  <c r="V431" i="3"/>
  <c r="W431" i="3"/>
  <c r="X431" i="3"/>
  <c r="Y431" i="3"/>
  <c r="N432" i="3"/>
  <c r="O432" i="3"/>
  <c r="T432" i="3"/>
  <c r="U432" i="3"/>
  <c r="V432" i="3"/>
  <c r="W432" i="3"/>
  <c r="X432" i="3"/>
  <c r="Y432" i="3"/>
  <c r="N433" i="3"/>
  <c r="O433" i="3"/>
  <c r="V433" i="3"/>
  <c r="W433" i="3"/>
  <c r="X433" i="3"/>
  <c r="Y433" i="3"/>
  <c r="N434" i="3"/>
  <c r="O434" i="3"/>
  <c r="T434" i="3"/>
  <c r="U434" i="3"/>
  <c r="V434" i="3"/>
  <c r="W434" i="3"/>
  <c r="X434" i="3"/>
  <c r="Y434" i="3"/>
  <c r="N435" i="3"/>
  <c r="O435" i="3"/>
  <c r="T435" i="3"/>
  <c r="U435" i="3"/>
  <c r="V435" i="3"/>
  <c r="W435" i="3"/>
  <c r="X435" i="3"/>
  <c r="Y435" i="3"/>
  <c r="N436" i="3"/>
  <c r="O436" i="3"/>
  <c r="V436" i="3"/>
  <c r="W436" i="3"/>
  <c r="X436" i="3"/>
  <c r="Y436" i="3"/>
  <c r="N437" i="3"/>
  <c r="O437" i="3"/>
  <c r="T437" i="3"/>
  <c r="U437" i="3"/>
  <c r="V437" i="3"/>
  <c r="W437" i="3"/>
  <c r="X437" i="3"/>
  <c r="Y437" i="3"/>
  <c r="N438" i="3"/>
  <c r="O438" i="3"/>
  <c r="T438" i="3"/>
  <c r="U438" i="3"/>
  <c r="V438" i="3"/>
  <c r="W438" i="3"/>
  <c r="X438" i="3"/>
  <c r="Y438" i="3"/>
  <c r="N439" i="3"/>
  <c r="O439" i="3"/>
  <c r="T439" i="3"/>
  <c r="U439" i="3"/>
  <c r="V439" i="3"/>
  <c r="W439" i="3"/>
  <c r="X439" i="3"/>
  <c r="Y439" i="3"/>
  <c r="N440" i="3"/>
  <c r="O440" i="3"/>
  <c r="T440" i="3"/>
  <c r="U440" i="3"/>
  <c r="V440" i="3"/>
  <c r="W440" i="3"/>
  <c r="X440" i="3"/>
  <c r="Y440" i="3"/>
  <c r="N441" i="3"/>
  <c r="O441" i="3"/>
  <c r="T441" i="3"/>
  <c r="U441" i="3"/>
  <c r="V441" i="3"/>
  <c r="W441" i="3"/>
  <c r="X441" i="3"/>
  <c r="Y441" i="3"/>
  <c r="N442" i="3"/>
  <c r="O442" i="3"/>
  <c r="T442" i="3"/>
  <c r="U442" i="3"/>
  <c r="V442" i="3"/>
  <c r="W442" i="3"/>
  <c r="X442" i="3"/>
  <c r="Y442" i="3"/>
  <c r="N443" i="3"/>
  <c r="O443" i="3"/>
  <c r="T443" i="3"/>
  <c r="U443" i="3"/>
  <c r="V443" i="3"/>
  <c r="W443" i="3"/>
  <c r="X443" i="3"/>
  <c r="Y443" i="3"/>
  <c r="N444" i="3"/>
  <c r="O444" i="3"/>
  <c r="T444" i="3"/>
  <c r="U444" i="3"/>
  <c r="V444" i="3"/>
  <c r="W444" i="3"/>
  <c r="X444" i="3"/>
  <c r="Y444" i="3"/>
  <c r="N445" i="3"/>
  <c r="O445" i="3"/>
  <c r="V445" i="3"/>
  <c r="W445" i="3"/>
  <c r="X445" i="3"/>
  <c r="Y445" i="3"/>
  <c r="N446" i="3"/>
  <c r="O446" i="3"/>
  <c r="T446" i="3"/>
  <c r="U446" i="3"/>
  <c r="V446" i="3"/>
  <c r="W446" i="3"/>
  <c r="X446" i="3"/>
  <c r="Y446" i="3"/>
  <c r="N447" i="3"/>
  <c r="O447" i="3"/>
  <c r="T447" i="3"/>
  <c r="U447" i="3"/>
  <c r="V447" i="3"/>
  <c r="W447" i="3"/>
  <c r="X447" i="3"/>
  <c r="Y447" i="3"/>
  <c r="N448" i="3"/>
  <c r="O448" i="3"/>
  <c r="W448" i="3"/>
  <c r="X448" i="3"/>
  <c r="Y448" i="3"/>
  <c r="N449" i="3"/>
  <c r="Q449" i="3" s="1"/>
  <c r="O449" i="3"/>
  <c r="P449" i="3"/>
  <c r="R449" i="3" s="1"/>
  <c r="T449" i="3"/>
  <c r="U449" i="3"/>
  <c r="V449" i="3"/>
  <c r="W449" i="3"/>
  <c r="X449" i="3"/>
  <c r="Y449" i="3"/>
  <c r="Z449" i="3"/>
  <c r="N450" i="3"/>
  <c r="O450" i="3"/>
  <c r="W450" i="3" s="1"/>
  <c r="V450" i="3"/>
  <c r="X450" i="3"/>
  <c r="Y450" i="3"/>
  <c r="N451" i="3"/>
  <c r="O451" i="3"/>
  <c r="V451" i="3"/>
  <c r="W451" i="3"/>
  <c r="X451" i="3"/>
  <c r="Y451" i="3"/>
  <c r="N452" i="3"/>
  <c r="O452" i="3"/>
  <c r="T452" i="3"/>
  <c r="U452" i="3"/>
  <c r="V452" i="3"/>
  <c r="W452" i="3"/>
  <c r="X452" i="3"/>
  <c r="Y452" i="3"/>
  <c r="N453" i="3"/>
  <c r="O453" i="3"/>
  <c r="T453" i="3"/>
  <c r="U453" i="3"/>
  <c r="V453" i="3"/>
  <c r="W453" i="3"/>
  <c r="X453" i="3"/>
  <c r="Y453" i="3"/>
  <c r="N454" i="3"/>
  <c r="O454" i="3"/>
  <c r="T454" i="3"/>
  <c r="U454" i="3"/>
  <c r="V454" i="3"/>
  <c r="W454" i="3"/>
  <c r="X454" i="3"/>
  <c r="Y454" i="3"/>
  <c r="N455" i="3"/>
  <c r="O455" i="3"/>
  <c r="T455" i="3"/>
  <c r="U455" i="3"/>
  <c r="V455" i="3"/>
  <c r="W455" i="3"/>
  <c r="X455" i="3"/>
  <c r="Y455" i="3"/>
  <c r="N456" i="3"/>
  <c r="O456" i="3"/>
  <c r="U456" i="3"/>
  <c r="V456" i="3"/>
  <c r="W456" i="3"/>
  <c r="X456" i="3"/>
  <c r="Y456" i="3"/>
  <c r="N457" i="3"/>
  <c r="O457" i="3"/>
  <c r="U457" i="3"/>
  <c r="V457" i="3"/>
  <c r="W457" i="3"/>
  <c r="X457" i="3"/>
  <c r="Y457" i="3"/>
  <c r="N458" i="3"/>
  <c r="O458" i="3"/>
  <c r="V458" i="3"/>
  <c r="W458" i="3"/>
  <c r="X458" i="3"/>
  <c r="Y458" i="3"/>
  <c r="N459" i="3"/>
  <c r="Q459" i="3" s="1"/>
  <c r="O459" i="3"/>
  <c r="P459" i="3" s="1"/>
  <c r="T459" i="3"/>
  <c r="U459" i="3"/>
  <c r="V459" i="3"/>
  <c r="W459" i="3"/>
  <c r="X459" i="3"/>
  <c r="Y459" i="3"/>
  <c r="N460" i="3"/>
  <c r="O460" i="3"/>
  <c r="T460" i="3"/>
  <c r="U460" i="3"/>
  <c r="V460" i="3"/>
  <c r="W460" i="3"/>
  <c r="X460" i="3"/>
  <c r="Y460" i="3"/>
  <c r="N461" i="3"/>
  <c r="O461" i="3"/>
  <c r="V461" i="3"/>
  <c r="W461" i="3"/>
  <c r="X461" i="3"/>
  <c r="Y461" i="3"/>
  <c r="N462" i="3"/>
  <c r="Q462" i="3" s="1"/>
  <c r="O462" i="3"/>
  <c r="P462" i="3" s="1"/>
  <c r="T462" i="3"/>
  <c r="U462" i="3"/>
  <c r="V462" i="3"/>
  <c r="W462" i="3"/>
  <c r="X462" i="3"/>
  <c r="Y462" i="3"/>
  <c r="N463" i="3"/>
  <c r="Q463" i="3" s="1"/>
  <c r="O463" i="3"/>
  <c r="P463" i="3" s="1"/>
  <c r="T463" i="3"/>
  <c r="U463" i="3"/>
  <c r="V463" i="3"/>
  <c r="W463" i="3"/>
  <c r="X463" i="3"/>
  <c r="Y463" i="3"/>
  <c r="N464" i="3"/>
  <c r="O464" i="3"/>
  <c r="U464" i="3"/>
  <c r="V464" i="3"/>
  <c r="W464" i="3"/>
  <c r="X464" i="3"/>
  <c r="Y464" i="3"/>
  <c r="N465" i="3"/>
  <c r="O465" i="3"/>
  <c r="T465" i="3"/>
  <c r="U465" i="3"/>
  <c r="V465" i="3"/>
  <c r="W465" i="3"/>
  <c r="X465" i="3"/>
  <c r="Y465" i="3"/>
  <c r="N466" i="3"/>
  <c r="O466" i="3"/>
  <c r="T466" i="3"/>
  <c r="U466" i="3"/>
  <c r="V466" i="3"/>
  <c r="W466" i="3"/>
  <c r="X466" i="3"/>
  <c r="Y466" i="3"/>
  <c r="N467" i="3"/>
  <c r="O467" i="3"/>
  <c r="T467" i="3"/>
  <c r="U467" i="3"/>
  <c r="V467" i="3"/>
  <c r="W467" i="3"/>
  <c r="X467" i="3"/>
  <c r="Y467" i="3"/>
  <c r="N468" i="3"/>
  <c r="O468" i="3"/>
  <c r="T468" i="3"/>
  <c r="U468" i="3"/>
  <c r="V468" i="3"/>
  <c r="W468" i="3"/>
  <c r="X468" i="3"/>
  <c r="Y468" i="3"/>
  <c r="N469" i="3"/>
  <c r="O469" i="3"/>
  <c r="U469" i="3"/>
  <c r="V469" i="3"/>
  <c r="W469" i="3"/>
  <c r="X469" i="3"/>
  <c r="Y469" i="3"/>
  <c r="N470" i="3"/>
  <c r="O470" i="3"/>
  <c r="U470" i="3"/>
  <c r="V470" i="3"/>
  <c r="W470" i="3"/>
  <c r="X470" i="3"/>
  <c r="Y470" i="3"/>
  <c r="N471" i="3"/>
  <c r="O471" i="3"/>
  <c r="T471" i="3"/>
  <c r="U471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N555" i="3"/>
  <c r="O555" i="3"/>
  <c r="P555" i="3"/>
  <c r="Q555" i="3"/>
  <c r="R555" i="3"/>
  <c r="S555" i="3"/>
  <c r="T555" i="3"/>
  <c r="U555" i="3"/>
  <c r="V555" i="3"/>
  <c r="W555" i="3"/>
  <c r="X555" i="3"/>
  <c r="Y555" i="3"/>
  <c r="Z555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N596" i="3"/>
  <c r="O596" i="3"/>
  <c r="P596" i="3"/>
  <c r="R596" i="3" s="1"/>
  <c r="Q596" i="3"/>
  <c r="S596" i="3" s="1"/>
  <c r="T596" i="3"/>
  <c r="U596" i="3"/>
  <c r="V596" i="3"/>
  <c r="W596" i="3"/>
  <c r="X596" i="3"/>
  <c r="Y596" i="3"/>
  <c r="Z596" i="3"/>
  <c r="N597" i="3"/>
  <c r="O597" i="3"/>
  <c r="T597" i="3"/>
  <c r="U597" i="3"/>
  <c r="V597" i="3"/>
  <c r="W597" i="3"/>
  <c r="X597" i="3"/>
  <c r="Y597" i="3"/>
  <c r="N598" i="3"/>
  <c r="O598" i="3"/>
  <c r="U598" i="3"/>
  <c r="V598" i="3"/>
  <c r="W598" i="3"/>
  <c r="X598" i="3"/>
  <c r="Y598" i="3"/>
  <c r="N599" i="3"/>
  <c r="O599" i="3"/>
  <c r="T599" i="3"/>
  <c r="U599" i="3"/>
  <c r="V599" i="3"/>
  <c r="W599" i="3"/>
  <c r="X599" i="3"/>
  <c r="Y599" i="3"/>
  <c r="N600" i="3"/>
  <c r="O600" i="3"/>
  <c r="T600" i="3"/>
  <c r="U600" i="3"/>
  <c r="V600" i="3"/>
  <c r="W600" i="3"/>
  <c r="X600" i="3"/>
  <c r="Y600" i="3"/>
  <c r="N601" i="3"/>
  <c r="O601" i="3"/>
  <c r="N602" i="3"/>
  <c r="O602" i="3"/>
  <c r="T602" i="3"/>
  <c r="U602" i="3"/>
  <c r="V602" i="3"/>
  <c r="W602" i="3"/>
  <c r="X602" i="3"/>
  <c r="Y602" i="3"/>
  <c r="N603" i="3"/>
  <c r="O603" i="3"/>
  <c r="U603" i="3"/>
  <c r="V603" i="3"/>
  <c r="W603" i="3"/>
  <c r="X603" i="3"/>
  <c r="Y603" i="3"/>
  <c r="N604" i="3"/>
  <c r="O604" i="3"/>
  <c r="V604" i="3"/>
  <c r="W604" i="3"/>
  <c r="X604" i="3"/>
  <c r="Y604" i="3"/>
  <c r="N605" i="3"/>
  <c r="Q605" i="3" s="1"/>
  <c r="O605" i="3"/>
  <c r="P605" i="3" s="1"/>
  <c r="T605" i="3"/>
  <c r="U605" i="3"/>
  <c r="V605" i="3"/>
  <c r="W605" i="3"/>
  <c r="X605" i="3"/>
  <c r="Y605" i="3"/>
  <c r="N606" i="3"/>
  <c r="O606" i="3"/>
  <c r="T606" i="3"/>
  <c r="U606" i="3"/>
  <c r="V606" i="3"/>
  <c r="W606" i="3"/>
  <c r="X606" i="3"/>
  <c r="Y606" i="3"/>
  <c r="N607" i="3"/>
  <c r="O607" i="3"/>
  <c r="T607" i="3"/>
  <c r="U607" i="3"/>
  <c r="V607" i="3"/>
  <c r="W607" i="3"/>
  <c r="X607" i="3"/>
  <c r="Y607" i="3"/>
  <c r="N608" i="3"/>
  <c r="O608" i="3"/>
  <c r="W608" i="3"/>
  <c r="X608" i="3"/>
  <c r="Y608" i="3"/>
  <c r="N609" i="3"/>
  <c r="O609" i="3"/>
  <c r="U609" i="3"/>
  <c r="V609" i="3"/>
  <c r="W609" i="3"/>
  <c r="X609" i="3"/>
  <c r="Y609" i="3"/>
  <c r="N610" i="3"/>
  <c r="O610" i="3"/>
  <c r="T610" i="3"/>
  <c r="U610" i="3"/>
  <c r="V610" i="3"/>
  <c r="W610" i="3"/>
  <c r="X610" i="3"/>
  <c r="Y610" i="3"/>
  <c r="N611" i="3"/>
  <c r="Q611" i="3" s="1"/>
  <c r="O611" i="3"/>
  <c r="P611" i="3" s="1"/>
  <c r="T611" i="3"/>
  <c r="U611" i="3"/>
  <c r="V611" i="3"/>
  <c r="W611" i="3"/>
  <c r="X611" i="3"/>
  <c r="Y611" i="3"/>
  <c r="N612" i="3"/>
  <c r="O612" i="3"/>
  <c r="V612" i="3"/>
  <c r="W612" i="3"/>
  <c r="X612" i="3"/>
  <c r="Y612" i="3"/>
  <c r="N613" i="3"/>
  <c r="O613" i="3"/>
  <c r="T613" i="3"/>
  <c r="U613" i="3"/>
  <c r="V613" i="3"/>
  <c r="W613" i="3"/>
  <c r="X613" i="3"/>
  <c r="Y613" i="3"/>
  <c r="N614" i="3"/>
  <c r="O614" i="3"/>
  <c r="T614" i="3"/>
  <c r="U614" i="3"/>
  <c r="V614" i="3"/>
  <c r="W614" i="3"/>
  <c r="X614" i="3"/>
  <c r="Y614" i="3"/>
  <c r="N615" i="3"/>
  <c r="O615" i="3"/>
  <c r="T615" i="3"/>
  <c r="U615" i="3"/>
  <c r="V615" i="3"/>
  <c r="W615" i="3"/>
  <c r="X615" i="3"/>
  <c r="Y615" i="3"/>
  <c r="N616" i="3"/>
  <c r="O616" i="3"/>
  <c r="T616" i="3"/>
  <c r="U616" i="3"/>
  <c r="V616" i="3"/>
  <c r="W616" i="3"/>
  <c r="X616" i="3"/>
  <c r="Y616" i="3"/>
  <c r="N617" i="3"/>
  <c r="O617" i="3"/>
  <c r="U617" i="3"/>
  <c r="V617" i="3"/>
  <c r="W617" i="3"/>
  <c r="X617" i="3"/>
  <c r="Y617" i="3"/>
  <c r="N618" i="3"/>
  <c r="O618" i="3"/>
  <c r="T618" i="3"/>
  <c r="U618" i="3"/>
  <c r="V618" i="3"/>
  <c r="W618" i="3"/>
  <c r="X618" i="3"/>
  <c r="Y618" i="3"/>
  <c r="N619" i="3"/>
  <c r="O619" i="3"/>
  <c r="T619" i="3"/>
  <c r="U619" i="3"/>
  <c r="V619" i="3"/>
  <c r="W619" i="3"/>
  <c r="X619" i="3"/>
  <c r="Y619" i="3"/>
  <c r="N620" i="3"/>
  <c r="Q620" i="3" s="1"/>
  <c r="O620" i="3"/>
  <c r="P620" i="3" s="1"/>
  <c r="T620" i="3"/>
  <c r="U620" i="3"/>
  <c r="V620" i="3"/>
  <c r="W620" i="3"/>
  <c r="X620" i="3"/>
  <c r="Y620" i="3"/>
  <c r="N621" i="3"/>
  <c r="O621" i="3"/>
  <c r="T621" i="3"/>
  <c r="U621" i="3"/>
  <c r="V621" i="3"/>
  <c r="W621" i="3"/>
  <c r="X621" i="3"/>
  <c r="Y621" i="3"/>
  <c r="N622" i="3"/>
  <c r="O622" i="3"/>
  <c r="T622" i="3"/>
  <c r="U622" i="3"/>
  <c r="V622" i="3"/>
  <c r="W622" i="3"/>
  <c r="X622" i="3"/>
  <c r="Y622" i="3"/>
  <c r="N623" i="3"/>
  <c r="O623" i="3"/>
  <c r="W623" i="3"/>
  <c r="X623" i="3"/>
  <c r="Y623" i="3"/>
  <c r="N624" i="3"/>
  <c r="O624" i="3"/>
  <c r="T624" i="3"/>
  <c r="U624" i="3"/>
  <c r="V624" i="3"/>
  <c r="W624" i="3"/>
  <c r="X624" i="3"/>
  <c r="Y624" i="3"/>
  <c r="N625" i="3"/>
  <c r="O625" i="3"/>
  <c r="Y625" i="3"/>
  <c r="N626" i="3"/>
  <c r="O626" i="3"/>
  <c r="W626" i="3"/>
  <c r="X626" i="3"/>
  <c r="Y626" i="3"/>
  <c r="N627" i="3"/>
  <c r="O627" i="3"/>
  <c r="T627" i="3"/>
  <c r="U627" i="3"/>
  <c r="V627" i="3"/>
  <c r="W627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N649" i="3"/>
  <c r="O649" i="3"/>
  <c r="P649" i="3"/>
  <c r="Q649" i="3"/>
  <c r="R649" i="3"/>
  <c r="S649" i="3"/>
  <c r="T649" i="3"/>
  <c r="U649" i="3"/>
  <c r="V649" i="3"/>
  <c r="W649" i="3"/>
  <c r="X649" i="3"/>
  <c r="Y649" i="3"/>
  <c r="Z649" i="3"/>
  <c r="N650" i="3"/>
  <c r="O650" i="3"/>
  <c r="P650" i="3"/>
  <c r="Q650" i="3"/>
  <c r="R650" i="3"/>
  <c r="S650" i="3"/>
  <c r="T650" i="3"/>
  <c r="U650" i="3"/>
  <c r="V650" i="3"/>
  <c r="W650" i="3"/>
  <c r="X650" i="3"/>
  <c r="Y650" i="3"/>
  <c r="Z650" i="3"/>
  <c r="N651" i="3"/>
  <c r="O651" i="3"/>
  <c r="P651" i="3"/>
  <c r="Q651" i="3"/>
  <c r="R651" i="3"/>
  <c r="S651" i="3"/>
  <c r="T651" i="3"/>
  <c r="U651" i="3"/>
  <c r="V651" i="3"/>
  <c r="W651" i="3"/>
  <c r="X651" i="3"/>
  <c r="Y651" i="3"/>
  <c r="Z651" i="3"/>
  <c r="N652" i="3"/>
  <c r="O652" i="3"/>
  <c r="P652" i="3"/>
  <c r="Q652" i="3"/>
  <c r="R652" i="3"/>
  <c r="S652" i="3"/>
  <c r="T652" i="3"/>
  <c r="U652" i="3"/>
  <c r="V652" i="3"/>
  <c r="W652" i="3"/>
  <c r="X652" i="3"/>
  <c r="Y652" i="3"/>
  <c r="Z652" i="3"/>
  <c r="N653" i="3"/>
  <c r="O653" i="3"/>
  <c r="P653" i="3"/>
  <c r="Q653" i="3"/>
  <c r="R653" i="3"/>
  <c r="S653" i="3"/>
  <c r="T653" i="3"/>
  <c r="U653" i="3"/>
  <c r="V653" i="3"/>
  <c r="W653" i="3"/>
  <c r="X653" i="3"/>
  <c r="Y653" i="3"/>
  <c r="Z653" i="3"/>
  <c r="N654" i="3"/>
  <c r="O654" i="3"/>
  <c r="P654" i="3"/>
  <c r="Q654" i="3"/>
  <c r="R654" i="3"/>
  <c r="S654" i="3"/>
  <c r="T654" i="3"/>
  <c r="U654" i="3"/>
  <c r="V654" i="3"/>
  <c r="W654" i="3"/>
  <c r="X654" i="3"/>
  <c r="Y654" i="3"/>
  <c r="Z654" i="3"/>
  <c r="N655" i="3"/>
  <c r="O655" i="3"/>
  <c r="P655" i="3"/>
  <c r="Q655" i="3"/>
  <c r="R655" i="3"/>
  <c r="S655" i="3"/>
  <c r="T655" i="3"/>
  <c r="U655" i="3"/>
  <c r="V655" i="3"/>
  <c r="W655" i="3"/>
  <c r="X655" i="3"/>
  <c r="Y655" i="3"/>
  <c r="Z655" i="3"/>
  <c r="N656" i="3"/>
  <c r="O656" i="3"/>
  <c r="P656" i="3"/>
  <c r="Q656" i="3"/>
  <c r="R656" i="3"/>
  <c r="S656" i="3"/>
  <c r="T656" i="3"/>
  <c r="U656" i="3"/>
  <c r="V656" i="3"/>
  <c r="W656" i="3"/>
  <c r="X656" i="3"/>
  <c r="Y656" i="3"/>
  <c r="Z656" i="3"/>
  <c r="N657" i="3"/>
  <c r="O657" i="3"/>
  <c r="P657" i="3"/>
  <c r="Q657" i="3"/>
  <c r="R657" i="3"/>
  <c r="S657" i="3"/>
  <c r="T657" i="3"/>
  <c r="U657" i="3"/>
  <c r="V657" i="3"/>
  <c r="W657" i="3"/>
  <c r="X657" i="3"/>
  <c r="Y657" i="3"/>
  <c r="Z657" i="3"/>
  <c r="N658" i="3"/>
  <c r="O658" i="3"/>
  <c r="P658" i="3"/>
  <c r="Q658" i="3"/>
  <c r="R658" i="3"/>
  <c r="S658" i="3"/>
  <c r="T658" i="3"/>
  <c r="U658" i="3"/>
  <c r="V658" i="3"/>
  <c r="W658" i="3"/>
  <c r="X658" i="3"/>
  <c r="Y658" i="3"/>
  <c r="Z658" i="3"/>
  <c r="N659" i="3"/>
  <c r="O659" i="3"/>
  <c r="P659" i="3"/>
  <c r="Q659" i="3"/>
  <c r="R659" i="3"/>
  <c r="S659" i="3"/>
  <c r="T659" i="3"/>
  <c r="U659" i="3"/>
  <c r="V659" i="3"/>
  <c r="W659" i="3"/>
  <c r="X659" i="3"/>
  <c r="Y659" i="3"/>
  <c r="Z659" i="3"/>
  <c r="N660" i="3"/>
  <c r="O660" i="3"/>
  <c r="P660" i="3"/>
  <c r="Q660" i="3"/>
  <c r="R660" i="3"/>
  <c r="S660" i="3"/>
  <c r="T660" i="3"/>
  <c r="U660" i="3"/>
  <c r="V660" i="3"/>
  <c r="W660" i="3"/>
  <c r="X660" i="3"/>
  <c r="Y660" i="3"/>
  <c r="Z660" i="3"/>
  <c r="N661" i="3"/>
  <c r="O661" i="3"/>
  <c r="P661" i="3"/>
  <c r="Q661" i="3"/>
  <c r="R661" i="3"/>
  <c r="S661" i="3"/>
  <c r="T661" i="3"/>
  <c r="U661" i="3"/>
  <c r="V661" i="3"/>
  <c r="W661" i="3"/>
  <c r="X661" i="3"/>
  <c r="Y661" i="3"/>
  <c r="Z661" i="3"/>
  <c r="N662" i="3"/>
  <c r="O662" i="3"/>
  <c r="P662" i="3"/>
  <c r="Q662" i="3"/>
  <c r="R662" i="3"/>
  <c r="S662" i="3"/>
  <c r="T662" i="3"/>
  <c r="U662" i="3"/>
  <c r="V662" i="3"/>
  <c r="W662" i="3"/>
  <c r="X662" i="3"/>
  <c r="Y662" i="3"/>
  <c r="Z662" i="3"/>
  <c r="N663" i="3"/>
  <c r="O663" i="3"/>
  <c r="P663" i="3"/>
  <c r="Q663" i="3"/>
  <c r="R663" i="3"/>
  <c r="S663" i="3"/>
  <c r="T663" i="3"/>
  <c r="U663" i="3"/>
  <c r="V663" i="3"/>
  <c r="W663" i="3"/>
  <c r="X663" i="3"/>
  <c r="Y663" i="3"/>
  <c r="Z663" i="3"/>
  <c r="N664" i="3"/>
  <c r="O664" i="3"/>
  <c r="P664" i="3"/>
  <c r="Q664" i="3"/>
  <c r="R664" i="3"/>
  <c r="S664" i="3"/>
  <c r="T664" i="3"/>
  <c r="U664" i="3"/>
  <c r="V664" i="3"/>
  <c r="W664" i="3"/>
  <c r="X664" i="3"/>
  <c r="Y664" i="3"/>
  <c r="Z664" i="3"/>
  <c r="N665" i="3"/>
  <c r="O665" i="3"/>
  <c r="P665" i="3"/>
  <c r="Q665" i="3"/>
  <c r="R665" i="3"/>
  <c r="S665" i="3"/>
  <c r="T665" i="3"/>
  <c r="U665" i="3"/>
  <c r="V665" i="3"/>
  <c r="W665" i="3"/>
  <c r="X665" i="3"/>
  <c r="Y665" i="3"/>
  <c r="Z665" i="3"/>
  <c r="N666" i="3"/>
  <c r="O666" i="3"/>
  <c r="P666" i="3"/>
  <c r="Q666" i="3"/>
  <c r="R666" i="3"/>
  <c r="S666" i="3"/>
  <c r="T666" i="3"/>
  <c r="U666" i="3"/>
  <c r="V666" i="3"/>
  <c r="W666" i="3"/>
  <c r="X666" i="3"/>
  <c r="Y666" i="3"/>
  <c r="Z666" i="3"/>
  <c r="N667" i="3"/>
  <c r="O667" i="3"/>
  <c r="P667" i="3"/>
  <c r="Q667" i="3"/>
  <c r="R667" i="3"/>
  <c r="S667" i="3"/>
  <c r="T667" i="3"/>
  <c r="U667" i="3"/>
  <c r="V667" i="3"/>
  <c r="W667" i="3"/>
  <c r="X667" i="3"/>
  <c r="Y667" i="3"/>
  <c r="Z667" i="3"/>
  <c r="N668" i="3"/>
  <c r="O668" i="3"/>
  <c r="P668" i="3"/>
  <c r="Q668" i="3"/>
  <c r="R668" i="3"/>
  <c r="S668" i="3"/>
  <c r="T668" i="3"/>
  <c r="U668" i="3"/>
  <c r="V668" i="3"/>
  <c r="W668" i="3"/>
  <c r="X668" i="3"/>
  <c r="Y668" i="3"/>
  <c r="Z668" i="3"/>
  <c r="N669" i="3"/>
  <c r="O669" i="3"/>
  <c r="P669" i="3"/>
  <c r="Q669" i="3"/>
  <c r="R669" i="3"/>
  <c r="S669" i="3"/>
  <c r="T669" i="3"/>
  <c r="U669" i="3"/>
  <c r="V669" i="3"/>
  <c r="W669" i="3"/>
  <c r="X669" i="3"/>
  <c r="Y669" i="3"/>
  <c r="Z669" i="3"/>
  <c r="N670" i="3"/>
  <c r="O670" i="3"/>
  <c r="P670" i="3"/>
  <c r="Q670" i="3"/>
  <c r="R670" i="3"/>
  <c r="S670" i="3"/>
  <c r="T670" i="3"/>
  <c r="U670" i="3"/>
  <c r="V670" i="3"/>
  <c r="W670" i="3"/>
  <c r="X670" i="3"/>
  <c r="Y670" i="3"/>
  <c r="Z670" i="3"/>
  <c r="N671" i="3"/>
  <c r="O671" i="3"/>
  <c r="P671" i="3"/>
  <c r="Q671" i="3"/>
  <c r="R671" i="3"/>
  <c r="S671" i="3"/>
  <c r="T671" i="3"/>
  <c r="U671" i="3"/>
  <c r="V671" i="3"/>
  <c r="W671" i="3"/>
  <c r="X671" i="3"/>
  <c r="Y671" i="3"/>
  <c r="Z671" i="3"/>
  <c r="N672" i="3"/>
  <c r="O672" i="3"/>
  <c r="P672" i="3"/>
  <c r="Q672" i="3"/>
  <c r="R672" i="3"/>
  <c r="S672" i="3"/>
  <c r="T672" i="3"/>
  <c r="U672" i="3"/>
  <c r="V672" i="3"/>
  <c r="W672" i="3"/>
  <c r="X672" i="3"/>
  <c r="Y672" i="3"/>
  <c r="Z672" i="3"/>
  <c r="N673" i="3"/>
  <c r="O673" i="3"/>
  <c r="P673" i="3"/>
  <c r="Q673" i="3"/>
  <c r="R673" i="3"/>
  <c r="S673" i="3"/>
  <c r="T673" i="3"/>
  <c r="U673" i="3"/>
  <c r="V673" i="3"/>
  <c r="W673" i="3"/>
  <c r="X673" i="3"/>
  <c r="Y673" i="3"/>
  <c r="Z673" i="3"/>
  <c r="N674" i="3"/>
  <c r="O674" i="3"/>
  <c r="P674" i="3"/>
  <c r="Q674" i="3"/>
  <c r="R674" i="3"/>
  <c r="S674" i="3"/>
  <c r="T674" i="3"/>
  <c r="U674" i="3"/>
  <c r="V674" i="3"/>
  <c r="W674" i="3"/>
  <c r="X674" i="3"/>
  <c r="Y674" i="3"/>
  <c r="Z674" i="3"/>
  <c r="N675" i="3"/>
  <c r="O675" i="3"/>
  <c r="P675" i="3"/>
  <c r="Q675" i="3"/>
  <c r="R675" i="3"/>
  <c r="S675" i="3"/>
  <c r="T675" i="3"/>
  <c r="U675" i="3"/>
  <c r="V675" i="3"/>
  <c r="W675" i="3"/>
  <c r="X675" i="3"/>
  <c r="Y675" i="3"/>
  <c r="Z675" i="3"/>
  <c r="N676" i="3"/>
  <c r="O676" i="3"/>
  <c r="P676" i="3"/>
  <c r="Q676" i="3"/>
  <c r="R676" i="3"/>
  <c r="S676" i="3"/>
  <c r="T676" i="3"/>
  <c r="U676" i="3"/>
  <c r="V676" i="3"/>
  <c r="W676" i="3"/>
  <c r="X676" i="3"/>
  <c r="Y676" i="3"/>
  <c r="Z676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N678" i="3"/>
  <c r="O678" i="3"/>
  <c r="P678" i="3"/>
  <c r="Q678" i="3"/>
  <c r="R678" i="3"/>
  <c r="S678" i="3"/>
  <c r="T678" i="3"/>
  <c r="U678" i="3"/>
  <c r="V678" i="3"/>
  <c r="W678" i="3"/>
  <c r="X678" i="3"/>
  <c r="Y678" i="3"/>
  <c r="Z678" i="3"/>
  <c r="N679" i="3"/>
  <c r="O679" i="3"/>
  <c r="P679" i="3"/>
  <c r="Q679" i="3"/>
  <c r="R679" i="3"/>
  <c r="S679" i="3"/>
  <c r="T679" i="3"/>
  <c r="U679" i="3"/>
  <c r="V679" i="3"/>
  <c r="W679" i="3"/>
  <c r="X679" i="3"/>
  <c r="Y679" i="3"/>
  <c r="Z679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Z680" i="3"/>
  <c r="N681" i="3"/>
  <c r="O681" i="3"/>
  <c r="P681" i="3"/>
  <c r="Q681" i="3"/>
  <c r="R681" i="3"/>
  <c r="S681" i="3"/>
  <c r="T681" i="3"/>
  <c r="U681" i="3"/>
  <c r="V681" i="3"/>
  <c r="W681" i="3"/>
  <c r="X681" i="3"/>
  <c r="Y681" i="3"/>
  <c r="Z681" i="3"/>
  <c r="N682" i="3"/>
  <c r="O682" i="3"/>
  <c r="P682" i="3"/>
  <c r="Q682" i="3"/>
  <c r="R682" i="3"/>
  <c r="S682" i="3"/>
  <c r="T682" i="3"/>
  <c r="U682" i="3"/>
  <c r="V682" i="3"/>
  <c r="W682" i="3"/>
  <c r="X682" i="3"/>
  <c r="Y682" i="3"/>
  <c r="Z682" i="3"/>
  <c r="N683" i="3"/>
  <c r="O683" i="3"/>
  <c r="P683" i="3"/>
  <c r="Q683" i="3"/>
  <c r="R683" i="3"/>
  <c r="S683" i="3"/>
  <c r="T683" i="3"/>
  <c r="U683" i="3"/>
  <c r="V683" i="3"/>
  <c r="W683" i="3"/>
  <c r="X683" i="3"/>
  <c r="Y683" i="3"/>
  <c r="Z683" i="3"/>
  <c r="N684" i="3"/>
  <c r="O684" i="3"/>
  <c r="P684" i="3"/>
  <c r="Q684" i="3"/>
  <c r="R684" i="3"/>
  <c r="S684" i="3"/>
  <c r="T684" i="3"/>
  <c r="U684" i="3"/>
  <c r="V684" i="3"/>
  <c r="W684" i="3"/>
  <c r="X684" i="3"/>
  <c r="Y684" i="3"/>
  <c r="Z684" i="3"/>
  <c r="N685" i="3"/>
  <c r="O685" i="3"/>
  <c r="P685" i="3"/>
  <c r="Q685" i="3"/>
  <c r="R685" i="3"/>
  <c r="S685" i="3"/>
  <c r="T685" i="3"/>
  <c r="U685" i="3"/>
  <c r="V685" i="3"/>
  <c r="W685" i="3"/>
  <c r="X685" i="3"/>
  <c r="Y685" i="3"/>
  <c r="Z685" i="3"/>
  <c r="N686" i="3"/>
  <c r="O686" i="3"/>
  <c r="P686" i="3"/>
  <c r="Q686" i="3"/>
  <c r="R686" i="3"/>
  <c r="S686" i="3"/>
  <c r="T686" i="3"/>
  <c r="U686" i="3"/>
  <c r="V686" i="3"/>
  <c r="W686" i="3"/>
  <c r="X686" i="3"/>
  <c r="Y686" i="3"/>
  <c r="Z686" i="3"/>
  <c r="N687" i="3"/>
  <c r="O687" i="3"/>
  <c r="P687" i="3"/>
  <c r="Q687" i="3"/>
  <c r="R687" i="3"/>
  <c r="S687" i="3"/>
  <c r="T687" i="3"/>
  <c r="U687" i="3"/>
  <c r="V687" i="3"/>
  <c r="W687" i="3"/>
  <c r="X687" i="3"/>
  <c r="Y687" i="3"/>
  <c r="Z687" i="3"/>
  <c r="N688" i="3"/>
  <c r="O688" i="3"/>
  <c r="P688" i="3"/>
  <c r="Q688" i="3"/>
  <c r="R688" i="3"/>
  <c r="S688" i="3"/>
  <c r="T688" i="3"/>
  <c r="U688" i="3"/>
  <c r="V688" i="3"/>
  <c r="W688" i="3"/>
  <c r="X688" i="3"/>
  <c r="Y688" i="3"/>
  <c r="Z688" i="3"/>
  <c r="N689" i="3"/>
  <c r="O689" i="3"/>
  <c r="P689" i="3"/>
  <c r="Q689" i="3"/>
  <c r="R689" i="3"/>
  <c r="S689" i="3"/>
  <c r="T689" i="3"/>
  <c r="U689" i="3"/>
  <c r="V689" i="3"/>
  <c r="W689" i="3"/>
  <c r="X689" i="3"/>
  <c r="Y689" i="3"/>
  <c r="Z689" i="3"/>
  <c r="N690" i="3"/>
  <c r="O690" i="3"/>
  <c r="P690" i="3"/>
  <c r="Q690" i="3"/>
  <c r="R690" i="3"/>
  <c r="S690" i="3"/>
  <c r="T690" i="3"/>
  <c r="U690" i="3"/>
  <c r="V690" i="3"/>
  <c r="W690" i="3"/>
  <c r="X690" i="3"/>
  <c r="Y690" i="3"/>
  <c r="Z690" i="3"/>
  <c r="N691" i="3"/>
  <c r="O691" i="3"/>
  <c r="P691" i="3"/>
  <c r="Q691" i="3"/>
  <c r="R691" i="3"/>
  <c r="S691" i="3"/>
  <c r="T691" i="3"/>
  <c r="U691" i="3"/>
  <c r="V691" i="3"/>
  <c r="W691" i="3"/>
  <c r="X691" i="3"/>
  <c r="Y691" i="3"/>
  <c r="Z691" i="3"/>
  <c r="N692" i="3"/>
  <c r="O692" i="3"/>
  <c r="P692" i="3"/>
  <c r="Q692" i="3"/>
  <c r="R692" i="3"/>
  <c r="S692" i="3"/>
  <c r="T692" i="3"/>
  <c r="U692" i="3"/>
  <c r="V692" i="3"/>
  <c r="W692" i="3"/>
  <c r="X692" i="3"/>
  <c r="Y692" i="3"/>
  <c r="Z692" i="3"/>
  <c r="N693" i="3"/>
  <c r="O693" i="3"/>
  <c r="P693" i="3"/>
  <c r="Q693" i="3"/>
  <c r="R693" i="3"/>
  <c r="S693" i="3"/>
  <c r="T693" i="3"/>
  <c r="U693" i="3"/>
  <c r="V693" i="3"/>
  <c r="W693" i="3"/>
  <c r="X693" i="3"/>
  <c r="Y693" i="3"/>
  <c r="Z693" i="3"/>
  <c r="N694" i="3"/>
  <c r="O694" i="3"/>
  <c r="P694" i="3"/>
  <c r="Q694" i="3"/>
  <c r="R694" i="3"/>
  <c r="S694" i="3"/>
  <c r="T694" i="3"/>
  <c r="U694" i="3"/>
  <c r="V694" i="3"/>
  <c r="W694" i="3"/>
  <c r="X694" i="3"/>
  <c r="Y694" i="3"/>
  <c r="Z694" i="3"/>
  <c r="N695" i="3"/>
  <c r="O695" i="3"/>
  <c r="P695" i="3"/>
  <c r="Q695" i="3"/>
  <c r="R695" i="3"/>
  <c r="S695" i="3"/>
  <c r="T695" i="3"/>
  <c r="U695" i="3"/>
  <c r="V695" i="3"/>
  <c r="W695" i="3"/>
  <c r="X695" i="3"/>
  <c r="Y695" i="3"/>
  <c r="Z695" i="3"/>
  <c r="N696" i="3"/>
  <c r="O696" i="3"/>
  <c r="P696" i="3"/>
  <c r="Q696" i="3"/>
  <c r="R696" i="3"/>
  <c r="S696" i="3"/>
  <c r="T696" i="3"/>
  <c r="U696" i="3"/>
  <c r="V696" i="3"/>
  <c r="W696" i="3"/>
  <c r="X696" i="3"/>
  <c r="Y696" i="3"/>
  <c r="Z696" i="3"/>
  <c r="N697" i="3"/>
  <c r="O697" i="3"/>
  <c r="P697" i="3"/>
  <c r="Q697" i="3"/>
  <c r="R697" i="3"/>
  <c r="S697" i="3"/>
  <c r="T697" i="3"/>
  <c r="U697" i="3"/>
  <c r="V697" i="3"/>
  <c r="W697" i="3"/>
  <c r="X697" i="3"/>
  <c r="Y697" i="3"/>
  <c r="Z697" i="3"/>
  <c r="N698" i="3"/>
  <c r="O698" i="3"/>
  <c r="P698" i="3"/>
  <c r="Q698" i="3"/>
  <c r="R698" i="3"/>
  <c r="S698" i="3"/>
  <c r="T698" i="3"/>
  <c r="U698" i="3"/>
  <c r="V698" i="3"/>
  <c r="W698" i="3"/>
  <c r="X698" i="3"/>
  <c r="Y698" i="3"/>
  <c r="Z698" i="3"/>
  <c r="N699" i="3"/>
  <c r="O699" i="3"/>
  <c r="P699" i="3"/>
  <c r="Q699" i="3"/>
  <c r="R699" i="3"/>
  <c r="S699" i="3"/>
  <c r="T699" i="3"/>
  <c r="U699" i="3"/>
  <c r="V699" i="3"/>
  <c r="W699" i="3"/>
  <c r="X699" i="3"/>
  <c r="Y699" i="3"/>
  <c r="Z699" i="3"/>
  <c r="N700" i="3"/>
  <c r="O700" i="3"/>
  <c r="P700" i="3"/>
  <c r="Q700" i="3"/>
  <c r="R700" i="3"/>
  <c r="S700" i="3"/>
  <c r="T700" i="3"/>
  <c r="U700" i="3"/>
  <c r="V700" i="3"/>
  <c r="W700" i="3"/>
  <c r="X700" i="3"/>
  <c r="Y700" i="3"/>
  <c r="Z700" i="3"/>
  <c r="N701" i="3"/>
  <c r="O701" i="3"/>
  <c r="P701" i="3"/>
  <c r="Q701" i="3"/>
  <c r="R701" i="3"/>
  <c r="S701" i="3"/>
  <c r="T701" i="3"/>
  <c r="U701" i="3"/>
  <c r="V701" i="3"/>
  <c r="W701" i="3"/>
  <c r="X701" i="3"/>
  <c r="Y701" i="3"/>
  <c r="Z701" i="3"/>
  <c r="N702" i="3"/>
  <c r="O702" i="3"/>
  <c r="P702" i="3"/>
  <c r="Q702" i="3"/>
  <c r="R702" i="3"/>
  <c r="S702" i="3"/>
  <c r="T702" i="3"/>
  <c r="U702" i="3"/>
  <c r="V702" i="3"/>
  <c r="W702" i="3"/>
  <c r="X702" i="3"/>
  <c r="Y702" i="3"/>
  <c r="Z702" i="3"/>
  <c r="N703" i="3"/>
  <c r="O703" i="3"/>
  <c r="P703" i="3"/>
  <c r="Q703" i="3"/>
  <c r="R703" i="3"/>
  <c r="S703" i="3"/>
  <c r="T703" i="3"/>
  <c r="U703" i="3"/>
  <c r="V703" i="3"/>
  <c r="W703" i="3"/>
  <c r="X703" i="3"/>
  <c r="Y703" i="3"/>
  <c r="Z703" i="3"/>
  <c r="N704" i="3"/>
  <c r="O704" i="3"/>
  <c r="P704" i="3"/>
  <c r="Q704" i="3"/>
  <c r="R704" i="3"/>
  <c r="S704" i="3"/>
  <c r="T704" i="3"/>
  <c r="U704" i="3"/>
  <c r="V704" i="3"/>
  <c r="W704" i="3"/>
  <c r="X704" i="3"/>
  <c r="Y704" i="3"/>
  <c r="Z704" i="3"/>
  <c r="N705" i="3"/>
  <c r="O705" i="3"/>
  <c r="P705" i="3"/>
  <c r="Q705" i="3"/>
  <c r="R705" i="3"/>
  <c r="S705" i="3"/>
  <c r="T705" i="3"/>
  <c r="U705" i="3"/>
  <c r="V705" i="3"/>
  <c r="W705" i="3"/>
  <c r="X705" i="3"/>
  <c r="Y705" i="3"/>
  <c r="Z705" i="3"/>
  <c r="N706" i="3"/>
  <c r="O706" i="3"/>
  <c r="P706" i="3"/>
  <c r="Q706" i="3"/>
  <c r="R706" i="3"/>
  <c r="S706" i="3"/>
  <c r="T706" i="3"/>
  <c r="U706" i="3"/>
  <c r="V706" i="3"/>
  <c r="W706" i="3"/>
  <c r="X706" i="3"/>
  <c r="Y706" i="3"/>
  <c r="Z706" i="3"/>
  <c r="N707" i="3"/>
  <c r="O707" i="3"/>
  <c r="P707" i="3"/>
  <c r="Q707" i="3"/>
  <c r="R707" i="3"/>
  <c r="S707" i="3"/>
  <c r="T707" i="3"/>
  <c r="U707" i="3"/>
  <c r="V707" i="3"/>
  <c r="W707" i="3"/>
  <c r="X707" i="3"/>
  <c r="Y707" i="3"/>
  <c r="Z707" i="3"/>
  <c r="N708" i="3"/>
  <c r="O708" i="3"/>
  <c r="P708" i="3"/>
  <c r="Q708" i="3"/>
  <c r="R708" i="3"/>
  <c r="S708" i="3"/>
  <c r="T708" i="3"/>
  <c r="U708" i="3"/>
  <c r="V708" i="3"/>
  <c r="W708" i="3"/>
  <c r="X708" i="3"/>
  <c r="Y708" i="3"/>
  <c r="Z708" i="3"/>
  <c r="N709" i="3"/>
  <c r="O709" i="3"/>
  <c r="P709" i="3"/>
  <c r="Q709" i="3"/>
  <c r="R709" i="3"/>
  <c r="S709" i="3"/>
  <c r="T709" i="3"/>
  <c r="U709" i="3"/>
  <c r="V709" i="3"/>
  <c r="W709" i="3"/>
  <c r="X709" i="3"/>
  <c r="Y709" i="3"/>
  <c r="Z709" i="3"/>
  <c r="N710" i="3"/>
  <c r="O710" i="3"/>
  <c r="P710" i="3"/>
  <c r="Q710" i="3"/>
  <c r="R710" i="3"/>
  <c r="S710" i="3"/>
  <c r="T710" i="3"/>
  <c r="U710" i="3"/>
  <c r="V710" i="3"/>
  <c r="W710" i="3"/>
  <c r="X710" i="3"/>
  <c r="Y710" i="3"/>
  <c r="Z710" i="3"/>
  <c r="N711" i="3"/>
  <c r="O711" i="3"/>
  <c r="P711" i="3"/>
  <c r="Q711" i="3"/>
  <c r="R711" i="3"/>
  <c r="S711" i="3"/>
  <c r="T711" i="3"/>
  <c r="U711" i="3"/>
  <c r="V711" i="3"/>
  <c r="W711" i="3"/>
  <c r="X711" i="3"/>
  <c r="Y711" i="3"/>
  <c r="Z711" i="3"/>
  <c r="N712" i="3"/>
  <c r="O712" i="3"/>
  <c r="P712" i="3"/>
  <c r="Q712" i="3"/>
  <c r="R712" i="3"/>
  <c r="S712" i="3"/>
  <c r="T712" i="3"/>
  <c r="U712" i="3"/>
  <c r="V712" i="3"/>
  <c r="W712" i="3"/>
  <c r="X712" i="3"/>
  <c r="Y712" i="3"/>
  <c r="Z712" i="3"/>
  <c r="N713" i="3"/>
  <c r="O713" i="3"/>
  <c r="P713" i="3"/>
  <c r="Q713" i="3"/>
  <c r="R713" i="3"/>
  <c r="S713" i="3"/>
  <c r="T713" i="3"/>
  <c r="U713" i="3"/>
  <c r="V713" i="3"/>
  <c r="W713" i="3"/>
  <c r="X713" i="3"/>
  <c r="Y713" i="3"/>
  <c r="Z713" i="3"/>
  <c r="N714" i="3"/>
  <c r="O714" i="3"/>
  <c r="P714" i="3"/>
  <c r="Q714" i="3"/>
  <c r="R714" i="3"/>
  <c r="S714" i="3"/>
  <c r="T714" i="3"/>
  <c r="U714" i="3"/>
  <c r="V714" i="3"/>
  <c r="W714" i="3"/>
  <c r="X714" i="3"/>
  <c r="Y714" i="3"/>
  <c r="Z714" i="3"/>
  <c r="N715" i="3"/>
  <c r="O715" i="3"/>
  <c r="P715" i="3"/>
  <c r="Q715" i="3"/>
  <c r="R715" i="3"/>
  <c r="S715" i="3"/>
  <c r="T715" i="3"/>
  <c r="U715" i="3"/>
  <c r="V715" i="3"/>
  <c r="W715" i="3"/>
  <c r="X715" i="3"/>
  <c r="Y715" i="3"/>
  <c r="Z715" i="3"/>
  <c r="N716" i="3"/>
  <c r="O716" i="3"/>
  <c r="P716" i="3"/>
  <c r="Q716" i="3"/>
  <c r="R716" i="3"/>
  <c r="S716" i="3"/>
  <c r="T716" i="3"/>
  <c r="U716" i="3"/>
  <c r="V716" i="3"/>
  <c r="W716" i="3"/>
  <c r="X716" i="3"/>
  <c r="Y716" i="3"/>
  <c r="Z716" i="3"/>
  <c r="N717" i="3"/>
  <c r="O717" i="3"/>
  <c r="P717" i="3"/>
  <c r="Q717" i="3"/>
  <c r="R717" i="3"/>
  <c r="S717" i="3"/>
  <c r="T717" i="3"/>
  <c r="U717" i="3"/>
  <c r="V717" i="3"/>
  <c r="W717" i="3"/>
  <c r="X717" i="3"/>
  <c r="Y717" i="3"/>
  <c r="Z717" i="3"/>
  <c r="N718" i="3"/>
  <c r="O718" i="3"/>
  <c r="P718" i="3"/>
  <c r="Q718" i="3"/>
  <c r="R718" i="3"/>
  <c r="S718" i="3"/>
  <c r="T718" i="3"/>
  <c r="U718" i="3"/>
  <c r="V718" i="3"/>
  <c r="W718" i="3"/>
  <c r="X718" i="3"/>
  <c r="Y718" i="3"/>
  <c r="Z718" i="3"/>
  <c r="N719" i="3"/>
  <c r="O719" i="3"/>
  <c r="P719" i="3"/>
  <c r="Q719" i="3"/>
  <c r="R719" i="3"/>
  <c r="S719" i="3"/>
  <c r="T719" i="3"/>
  <c r="U719" i="3"/>
  <c r="V719" i="3"/>
  <c r="W719" i="3"/>
  <c r="X719" i="3"/>
  <c r="Y719" i="3"/>
  <c r="Z719" i="3"/>
  <c r="N720" i="3"/>
  <c r="O720" i="3"/>
  <c r="P720" i="3"/>
  <c r="Q720" i="3"/>
  <c r="R720" i="3"/>
  <c r="S720" i="3"/>
  <c r="T720" i="3"/>
  <c r="U720" i="3"/>
  <c r="V720" i="3"/>
  <c r="W720" i="3"/>
  <c r="X720" i="3"/>
  <c r="Y720" i="3"/>
  <c r="Z720" i="3"/>
  <c r="N721" i="3"/>
  <c r="O721" i="3"/>
  <c r="P721" i="3"/>
  <c r="Q721" i="3"/>
  <c r="R721" i="3"/>
  <c r="S721" i="3"/>
  <c r="T721" i="3"/>
  <c r="U721" i="3"/>
  <c r="V721" i="3"/>
  <c r="W721" i="3"/>
  <c r="X721" i="3"/>
  <c r="Y721" i="3"/>
  <c r="Z721" i="3"/>
  <c r="N722" i="3"/>
  <c r="O722" i="3"/>
  <c r="P722" i="3"/>
  <c r="Q722" i="3"/>
  <c r="R722" i="3"/>
  <c r="S722" i="3"/>
  <c r="T722" i="3"/>
  <c r="U722" i="3"/>
  <c r="V722" i="3"/>
  <c r="W722" i="3"/>
  <c r="X722" i="3"/>
  <c r="Y722" i="3"/>
  <c r="Z722" i="3"/>
  <c r="N723" i="3"/>
  <c r="O723" i="3"/>
  <c r="P723" i="3"/>
  <c r="Q723" i="3"/>
  <c r="R723" i="3"/>
  <c r="S723" i="3"/>
  <c r="T723" i="3"/>
  <c r="U723" i="3"/>
  <c r="V723" i="3"/>
  <c r="W723" i="3"/>
  <c r="X723" i="3"/>
  <c r="Y723" i="3"/>
  <c r="Z723" i="3"/>
  <c r="N724" i="3"/>
  <c r="O724" i="3"/>
  <c r="P724" i="3"/>
  <c r="Q724" i="3"/>
  <c r="R724" i="3"/>
  <c r="S724" i="3"/>
  <c r="T724" i="3"/>
  <c r="U724" i="3"/>
  <c r="V724" i="3"/>
  <c r="W724" i="3"/>
  <c r="X724" i="3"/>
  <c r="Y724" i="3"/>
  <c r="Z724" i="3"/>
  <c r="N725" i="3"/>
  <c r="O725" i="3"/>
  <c r="P725" i="3"/>
  <c r="Q725" i="3"/>
  <c r="R725" i="3"/>
  <c r="S725" i="3"/>
  <c r="T725" i="3"/>
  <c r="U725" i="3"/>
  <c r="V725" i="3"/>
  <c r="W725" i="3"/>
  <c r="X725" i="3"/>
  <c r="Y725" i="3"/>
  <c r="Z725" i="3"/>
  <c r="N726" i="3"/>
  <c r="O726" i="3"/>
  <c r="P726" i="3"/>
  <c r="Q726" i="3"/>
  <c r="R726" i="3"/>
  <c r="S726" i="3"/>
  <c r="T726" i="3"/>
  <c r="U726" i="3"/>
  <c r="V726" i="3"/>
  <c r="W726" i="3"/>
  <c r="X726" i="3"/>
  <c r="Y726" i="3"/>
  <c r="Z726" i="3"/>
  <c r="N727" i="3"/>
  <c r="O727" i="3"/>
  <c r="P727" i="3"/>
  <c r="Q727" i="3"/>
  <c r="R727" i="3"/>
  <c r="S727" i="3"/>
  <c r="T727" i="3"/>
  <c r="U727" i="3"/>
  <c r="V727" i="3"/>
  <c r="W727" i="3"/>
  <c r="X727" i="3"/>
  <c r="Y727" i="3"/>
  <c r="Z727" i="3"/>
  <c r="N728" i="3"/>
  <c r="O728" i="3"/>
  <c r="P728" i="3"/>
  <c r="Q728" i="3"/>
  <c r="R728" i="3"/>
  <c r="S728" i="3"/>
  <c r="T728" i="3"/>
  <c r="U728" i="3"/>
  <c r="V728" i="3"/>
  <c r="W728" i="3"/>
  <c r="X728" i="3"/>
  <c r="Y728" i="3"/>
  <c r="Z728" i="3"/>
  <c r="N729" i="3"/>
  <c r="O729" i="3"/>
  <c r="P729" i="3"/>
  <c r="Q729" i="3"/>
  <c r="R729" i="3"/>
  <c r="S729" i="3"/>
  <c r="T729" i="3"/>
  <c r="U729" i="3"/>
  <c r="V729" i="3"/>
  <c r="W729" i="3"/>
  <c r="X729" i="3"/>
  <c r="Y729" i="3"/>
  <c r="Z729" i="3"/>
  <c r="N730" i="3"/>
  <c r="O730" i="3"/>
  <c r="P730" i="3"/>
  <c r="Q730" i="3"/>
  <c r="R730" i="3"/>
  <c r="S730" i="3"/>
  <c r="T730" i="3"/>
  <c r="U730" i="3"/>
  <c r="V730" i="3"/>
  <c r="W730" i="3"/>
  <c r="X730" i="3"/>
  <c r="Y730" i="3"/>
  <c r="Z730" i="3"/>
  <c r="N731" i="3"/>
  <c r="O731" i="3"/>
  <c r="P731" i="3"/>
  <c r="Q731" i="3"/>
  <c r="R731" i="3"/>
  <c r="S731" i="3"/>
  <c r="T731" i="3"/>
  <c r="U731" i="3"/>
  <c r="V731" i="3"/>
  <c r="W731" i="3"/>
  <c r="X731" i="3"/>
  <c r="Y731" i="3"/>
  <c r="Z731" i="3"/>
  <c r="N732" i="3"/>
  <c r="O732" i="3"/>
  <c r="P732" i="3"/>
  <c r="Q732" i="3"/>
  <c r="R732" i="3"/>
  <c r="S732" i="3"/>
  <c r="T732" i="3"/>
  <c r="U732" i="3"/>
  <c r="V732" i="3"/>
  <c r="W732" i="3"/>
  <c r="X732" i="3"/>
  <c r="Y732" i="3"/>
  <c r="Z732" i="3"/>
  <c r="N733" i="3"/>
  <c r="O733" i="3"/>
  <c r="P733" i="3"/>
  <c r="Q733" i="3"/>
  <c r="R733" i="3"/>
  <c r="S733" i="3"/>
  <c r="T733" i="3"/>
  <c r="U733" i="3"/>
  <c r="V733" i="3"/>
  <c r="W733" i="3"/>
  <c r="X733" i="3"/>
  <c r="Y733" i="3"/>
  <c r="Z733" i="3"/>
  <c r="N734" i="3"/>
  <c r="O734" i="3"/>
  <c r="P734" i="3"/>
  <c r="Q734" i="3"/>
  <c r="R734" i="3"/>
  <c r="S734" i="3"/>
  <c r="T734" i="3"/>
  <c r="U734" i="3"/>
  <c r="V734" i="3"/>
  <c r="W734" i="3"/>
  <c r="X734" i="3"/>
  <c r="Y734" i="3"/>
  <c r="Z734" i="3"/>
  <c r="N735" i="3"/>
  <c r="O735" i="3"/>
  <c r="P735" i="3"/>
  <c r="Q735" i="3"/>
  <c r="R735" i="3"/>
  <c r="S735" i="3"/>
  <c r="T735" i="3"/>
  <c r="U735" i="3"/>
  <c r="V735" i="3"/>
  <c r="W735" i="3"/>
  <c r="X735" i="3"/>
  <c r="Y735" i="3"/>
  <c r="Z735" i="3"/>
  <c r="N736" i="3"/>
  <c r="O736" i="3"/>
  <c r="P736" i="3"/>
  <c r="Q736" i="3"/>
  <c r="R736" i="3"/>
  <c r="S736" i="3"/>
  <c r="T736" i="3"/>
  <c r="U736" i="3"/>
  <c r="V736" i="3"/>
  <c r="W736" i="3"/>
  <c r="X736" i="3"/>
  <c r="Y736" i="3"/>
  <c r="Z736" i="3"/>
  <c r="N737" i="3"/>
  <c r="O737" i="3"/>
  <c r="P737" i="3"/>
  <c r="Q737" i="3"/>
  <c r="R737" i="3"/>
  <c r="S737" i="3"/>
  <c r="T737" i="3"/>
  <c r="U737" i="3"/>
  <c r="V737" i="3"/>
  <c r="W737" i="3"/>
  <c r="X737" i="3"/>
  <c r="Y737" i="3"/>
  <c r="Z737" i="3"/>
  <c r="N738" i="3"/>
  <c r="O738" i="3"/>
  <c r="P738" i="3"/>
  <c r="Q738" i="3"/>
  <c r="R738" i="3"/>
  <c r="S738" i="3"/>
  <c r="T738" i="3"/>
  <c r="U738" i="3"/>
  <c r="V738" i="3"/>
  <c r="W738" i="3"/>
  <c r="X738" i="3"/>
  <c r="Y738" i="3"/>
  <c r="Z738" i="3"/>
  <c r="N739" i="3"/>
  <c r="O739" i="3"/>
  <c r="P739" i="3"/>
  <c r="Q739" i="3"/>
  <c r="R739" i="3"/>
  <c r="S739" i="3"/>
  <c r="T739" i="3"/>
  <c r="U739" i="3"/>
  <c r="V739" i="3"/>
  <c r="W739" i="3"/>
  <c r="X739" i="3"/>
  <c r="Y739" i="3"/>
  <c r="Z739" i="3"/>
  <c r="N740" i="3"/>
  <c r="O740" i="3"/>
  <c r="P740" i="3"/>
  <c r="Q740" i="3"/>
  <c r="R740" i="3"/>
  <c r="S740" i="3"/>
  <c r="T740" i="3"/>
  <c r="U740" i="3"/>
  <c r="V740" i="3"/>
  <c r="W740" i="3"/>
  <c r="X740" i="3"/>
  <c r="Y740" i="3"/>
  <c r="Z740" i="3"/>
  <c r="N741" i="3"/>
  <c r="O741" i="3"/>
  <c r="P741" i="3"/>
  <c r="Q741" i="3"/>
  <c r="R741" i="3"/>
  <c r="S741" i="3"/>
  <c r="T741" i="3"/>
  <c r="U741" i="3"/>
  <c r="V741" i="3"/>
  <c r="W741" i="3"/>
  <c r="X741" i="3"/>
  <c r="Y741" i="3"/>
  <c r="Z741" i="3"/>
  <c r="N742" i="3"/>
  <c r="O742" i="3"/>
  <c r="P742" i="3"/>
  <c r="Q742" i="3"/>
  <c r="R742" i="3"/>
  <c r="S742" i="3"/>
  <c r="T742" i="3"/>
  <c r="U742" i="3"/>
  <c r="V742" i="3"/>
  <c r="W742" i="3"/>
  <c r="X742" i="3"/>
  <c r="Y742" i="3"/>
  <c r="Z742" i="3"/>
  <c r="N743" i="3"/>
  <c r="O743" i="3"/>
  <c r="P743" i="3"/>
  <c r="Q743" i="3"/>
  <c r="R743" i="3"/>
  <c r="S743" i="3"/>
  <c r="T743" i="3"/>
  <c r="U743" i="3"/>
  <c r="V743" i="3"/>
  <c r="W743" i="3"/>
  <c r="X743" i="3"/>
  <c r="Y743" i="3"/>
  <c r="Z743" i="3"/>
  <c r="N744" i="3"/>
  <c r="O744" i="3"/>
  <c r="P744" i="3"/>
  <c r="Q744" i="3"/>
  <c r="R744" i="3"/>
  <c r="S744" i="3"/>
  <c r="T744" i="3"/>
  <c r="U744" i="3"/>
  <c r="V744" i="3"/>
  <c r="W744" i="3"/>
  <c r="X744" i="3"/>
  <c r="Y744" i="3"/>
  <c r="Z744" i="3"/>
  <c r="N745" i="3"/>
  <c r="O745" i="3"/>
  <c r="P745" i="3"/>
  <c r="Q745" i="3"/>
  <c r="R745" i="3"/>
  <c r="S745" i="3"/>
  <c r="T745" i="3"/>
  <c r="U745" i="3"/>
  <c r="V745" i="3"/>
  <c r="W745" i="3"/>
  <c r="X745" i="3"/>
  <c r="Y745" i="3"/>
  <c r="Z745" i="3"/>
  <c r="N746" i="3"/>
  <c r="O746" i="3"/>
  <c r="P746" i="3"/>
  <c r="Q746" i="3"/>
  <c r="R746" i="3"/>
  <c r="S746" i="3"/>
  <c r="T746" i="3"/>
  <c r="U746" i="3"/>
  <c r="V746" i="3"/>
  <c r="W746" i="3"/>
  <c r="X746" i="3"/>
  <c r="Y746" i="3"/>
  <c r="Z746" i="3"/>
  <c r="N747" i="3"/>
  <c r="O747" i="3"/>
  <c r="P747" i="3"/>
  <c r="Q747" i="3"/>
  <c r="R747" i="3"/>
  <c r="S747" i="3"/>
  <c r="T747" i="3"/>
  <c r="U747" i="3"/>
  <c r="V747" i="3"/>
  <c r="W747" i="3"/>
  <c r="X747" i="3"/>
  <c r="Y747" i="3"/>
  <c r="Z747" i="3"/>
  <c r="N748" i="3"/>
  <c r="O748" i="3"/>
  <c r="P748" i="3"/>
  <c r="Q748" i="3"/>
  <c r="R748" i="3"/>
  <c r="S748" i="3"/>
  <c r="T748" i="3"/>
  <c r="U748" i="3"/>
  <c r="V748" i="3"/>
  <c r="W748" i="3"/>
  <c r="X748" i="3"/>
  <c r="Y748" i="3"/>
  <c r="Z748" i="3"/>
  <c r="N749" i="3"/>
  <c r="O749" i="3"/>
  <c r="P749" i="3"/>
  <c r="Q749" i="3"/>
  <c r="R749" i="3"/>
  <c r="S749" i="3"/>
  <c r="T749" i="3"/>
  <c r="U749" i="3"/>
  <c r="V749" i="3"/>
  <c r="W749" i="3"/>
  <c r="X749" i="3"/>
  <c r="Y749" i="3"/>
  <c r="Z749" i="3"/>
  <c r="N750" i="3"/>
  <c r="O750" i="3"/>
  <c r="P750" i="3"/>
  <c r="Q750" i="3"/>
  <c r="R750" i="3"/>
  <c r="S750" i="3"/>
  <c r="T750" i="3"/>
  <c r="U750" i="3"/>
  <c r="V750" i="3"/>
  <c r="W750" i="3"/>
  <c r="X750" i="3"/>
  <c r="Y750" i="3"/>
  <c r="Z750" i="3"/>
  <c r="N751" i="3"/>
  <c r="O751" i="3"/>
  <c r="P751" i="3"/>
  <c r="Q751" i="3"/>
  <c r="R751" i="3"/>
  <c r="S751" i="3"/>
  <c r="T751" i="3"/>
  <c r="U751" i="3"/>
  <c r="V751" i="3"/>
  <c r="W751" i="3"/>
  <c r="X751" i="3"/>
  <c r="Y751" i="3"/>
  <c r="Z751" i="3"/>
  <c r="N752" i="3"/>
  <c r="O752" i="3"/>
  <c r="P752" i="3"/>
  <c r="Q752" i="3"/>
  <c r="R752" i="3"/>
  <c r="S752" i="3"/>
  <c r="T752" i="3"/>
  <c r="U752" i="3"/>
  <c r="V752" i="3"/>
  <c r="W752" i="3"/>
  <c r="X752" i="3"/>
  <c r="Y752" i="3"/>
  <c r="Z752" i="3"/>
  <c r="N753" i="3"/>
  <c r="O753" i="3"/>
  <c r="P753" i="3"/>
  <c r="Q753" i="3"/>
  <c r="R753" i="3"/>
  <c r="S753" i="3"/>
  <c r="T753" i="3"/>
  <c r="U753" i="3"/>
  <c r="V753" i="3"/>
  <c r="W753" i="3"/>
  <c r="X753" i="3"/>
  <c r="Y753" i="3"/>
  <c r="Z753" i="3"/>
  <c r="N754" i="3"/>
  <c r="O754" i="3"/>
  <c r="P754" i="3"/>
  <c r="Q754" i="3"/>
  <c r="R754" i="3"/>
  <c r="S754" i="3"/>
  <c r="T754" i="3"/>
  <c r="U754" i="3"/>
  <c r="V754" i="3"/>
  <c r="W754" i="3"/>
  <c r="X754" i="3"/>
  <c r="Y754" i="3"/>
  <c r="Z754" i="3"/>
  <c r="N755" i="3"/>
  <c r="O755" i="3"/>
  <c r="P755" i="3"/>
  <c r="Q755" i="3"/>
  <c r="R755" i="3"/>
  <c r="S755" i="3"/>
  <c r="T755" i="3"/>
  <c r="U755" i="3"/>
  <c r="V755" i="3"/>
  <c r="W755" i="3"/>
  <c r="X755" i="3"/>
  <c r="Y755" i="3"/>
  <c r="Z755" i="3"/>
  <c r="N756" i="3"/>
  <c r="O756" i="3"/>
  <c r="P756" i="3"/>
  <c r="Q756" i="3"/>
  <c r="R756" i="3"/>
  <c r="S756" i="3"/>
  <c r="T756" i="3"/>
  <c r="U756" i="3"/>
  <c r="V756" i="3"/>
  <c r="W756" i="3"/>
  <c r="X756" i="3"/>
  <c r="Y756" i="3"/>
  <c r="Z756" i="3"/>
  <c r="N757" i="3"/>
  <c r="O757" i="3"/>
  <c r="P757" i="3"/>
  <c r="Q757" i="3"/>
  <c r="R757" i="3"/>
  <c r="S757" i="3"/>
  <c r="T757" i="3"/>
  <c r="U757" i="3"/>
  <c r="V757" i="3"/>
  <c r="W757" i="3"/>
  <c r="X757" i="3"/>
  <c r="Y757" i="3"/>
  <c r="Z757" i="3"/>
  <c r="N758" i="3"/>
  <c r="O758" i="3"/>
  <c r="P758" i="3"/>
  <c r="Q758" i="3"/>
  <c r="R758" i="3"/>
  <c r="S758" i="3"/>
  <c r="T758" i="3"/>
  <c r="U758" i="3"/>
  <c r="V758" i="3"/>
  <c r="W758" i="3"/>
  <c r="X758" i="3"/>
  <c r="Y758" i="3"/>
  <c r="Z758" i="3"/>
  <c r="N759" i="3"/>
  <c r="O759" i="3"/>
  <c r="P759" i="3"/>
  <c r="Q759" i="3"/>
  <c r="R759" i="3"/>
  <c r="S759" i="3"/>
  <c r="T759" i="3"/>
  <c r="U759" i="3"/>
  <c r="V759" i="3"/>
  <c r="W759" i="3"/>
  <c r="X759" i="3"/>
  <c r="Y759" i="3"/>
  <c r="Z759" i="3"/>
  <c r="N760" i="3"/>
  <c r="O760" i="3"/>
  <c r="P760" i="3"/>
  <c r="Q760" i="3"/>
  <c r="R760" i="3"/>
  <c r="S760" i="3"/>
  <c r="T760" i="3"/>
  <c r="U760" i="3"/>
  <c r="V760" i="3"/>
  <c r="W760" i="3"/>
  <c r="X760" i="3"/>
  <c r="Y760" i="3"/>
  <c r="Z760" i="3"/>
  <c r="N761" i="3"/>
  <c r="O761" i="3"/>
  <c r="P761" i="3"/>
  <c r="Q761" i="3"/>
  <c r="R761" i="3"/>
  <c r="S761" i="3"/>
  <c r="T761" i="3"/>
  <c r="U761" i="3"/>
  <c r="V761" i="3"/>
  <c r="W761" i="3"/>
  <c r="X761" i="3"/>
  <c r="Y761" i="3"/>
  <c r="Z761" i="3"/>
  <c r="N762" i="3"/>
  <c r="O762" i="3"/>
  <c r="T762" i="3"/>
  <c r="U762" i="3"/>
  <c r="V762" i="3"/>
  <c r="W762" i="3"/>
  <c r="X762" i="3"/>
  <c r="Y762" i="3"/>
  <c r="N763" i="3"/>
  <c r="O763" i="3"/>
  <c r="U763" i="3"/>
  <c r="V763" i="3"/>
  <c r="W763" i="3"/>
  <c r="X763" i="3"/>
  <c r="Y763" i="3"/>
  <c r="N764" i="3"/>
  <c r="O764" i="3"/>
  <c r="T764" i="3"/>
  <c r="U764" i="3"/>
  <c r="V764" i="3"/>
  <c r="W764" i="3"/>
  <c r="X764" i="3"/>
  <c r="Y764" i="3"/>
  <c r="N765" i="3"/>
  <c r="O765" i="3"/>
  <c r="U765" i="3"/>
  <c r="V765" i="3"/>
  <c r="W765" i="3"/>
  <c r="X765" i="3"/>
  <c r="Y765" i="3"/>
  <c r="N766" i="3"/>
  <c r="O766" i="3"/>
  <c r="U766" i="3"/>
  <c r="V766" i="3"/>
  <c r="W766" i="3"/>
  <c r="X766" i="3"/>
  <c r="Y766" i="3"/>
  <c r="N767" i="3"/>
  <c r="O767" i="3"/>
  <c r="W767" i="3"/>
  <c r="X767" i="3"/>
  <c r="Y767" i="3"/>
  <c r="N768" i="3"/>
  <c r="O768" i="3"/>
  <c r="W768" i="3" s="1"/>
  <c r="X768" i="3"/>
  <c r="Y768" i="3"/>
  <c r="N769" i="3"/>
  <c r="O769" i="3"/>
  <c r="W769" i="3" s="1"/>
  <c r="X769" i="3"/>
  <c r="Y769" i="3"/>
  <c r="N770" i="3"/>
  <c r="O770" i="3"/>
  <c r="W770" i="3"/>
  <c r="X770" i="3"/>
  <c r="Y770" i="3"/>
  <c r="N771" i="3"/>
  <c r="Q771" i="3" s="1"/>
  <c r="O771" i="3"/>
  <c r="P771" i="3" s="1"/>
  <c r="T771" i="3"/>
  <c r="U771" i="3"/>
  <c r="V771" i="3"/>
  <c r="W771" i="3"/>
  <c r="X771" i="3"/>
  <c r="Y771" i="3"/>
  <c r="N772" i="3"/>
  <c r="O772" i="3"/>
  <c r="T772" i="3"/>
  <c r="U772" i="3"/>
  <c r="V772" i="3"/>
  <c r="W772" i="3"/>
  <c r="X772" i="3"/>
  <c r="Y772" i="3"/>
  <c r="N773" i="3"/>
  <c r="O773" i="3"/>
  <c r="T773" i="3"/>
  <c r="U773" i="3"/>
  <c r="V773" i="3"/>
  <c r="W773" i="3"/>
  <c r="X773" i="3"/>
  <c r="Y773" i="3"/>
  <c r="N774" i="3"/>
  <c r="O774" i="3"/>
  <c r="V774" i="3"/>
  <c r="Y774" i="3"/>
  <c r="N775" i="3"/>
  <c r="O775" i="3"/>
  <c r="N776" i="3"/>
  <c r="O776" i="3"/>
  <c r="U776" i="3"/>
  <c r="V776" i="3"/>
  <c r="W776" i="3"/>
  <c r="X776" i="3"/>
  <c r="Y776" i="3"/>
  <c r="N777" i="3"/>
  <c r="O777" i="3"/>
  <c r="T777" i="3"/>
  <c r="U777" i="3"/>
  <c r="V777" i="3"/>
  <c r="W777" i="3"/>
  <c r="X777" i="3"/>
  <c r="Y777" i="3"/>
  <c r="N778" i="3"/>
  <c r="O778" i="3"/>
  <c r="W778" i="3"/>
  <c r="X778" i="3"/>
  <c r="Y778" i="3"/>
  <c r="N779" i="3"/>
  <c r="O779" i="3"/>
  <c r="W779" i="3" s="1"/>
  <c r="U779" i="3"/>
  <c r="V779" i="3"/>
  <c r="X779" i="3"/>
  <c r="Y779" i="3"/>
  <c r="N780" i="3"/>
  <c r="O780" i="3"/>
  <c r="V780" i="3"/>
  <c r="W780" i="3"/>
  <c r="X780" i="3"/>
  <c r="Y780" i="3"/>
  <c r="N781" i="3"/>
  <c r="O781" i="3"/>
  <c r="U781" i="3"/>
  <c r="V781" i="3"/>
  <c r="W781" i="3"/>
  <c r="X781" i="3"/>
  <c r="Y781" i="3"/>
  <c r="N782" i="3"/>
  <c r="O782" i="3"/>
  <c r="W782" i="3"/>
  <c r="X782" i="3"/>
  <c r="Y782" i="3"/>
  <c r="N783" i="3"/>
  <c r="O783" i="3"/>
  <c r="V783" i="3"/>
  <c r="N784" i="3"/>
  <c r="O784" i="3"/>
  <c r="P784" i="3"/>
  <c r="Q784" i="3"/>
  <c r="R784" i="3"/>
  <c r="S784" i="3"/>
  <c r="T784" i="3"/>
  <c r="U784" i="3"/>
  <c r="V784" i="3"/>
  <c r="W784" i="3"/>
  <c r="X784" i="3"/>
  <c r="Y784" i="3"/>
  <c r="Z784" i="3"/>
  <c r="N785" i="3"/>
  <c r="O785" i="3"/>
  <c r="P785" i="3"/>
  <c r="Q785" i="3"/>
  <c r="R785" i="3"/>
  <c r="S785" i="3"/>
  <c r="T785" i="3"/>
  <c r="U785" i="3"/>
  <c r="V785" i="3"/>
  <c r="W785" i="3"/>
  <c r="X785" i="3"/>
  <c r="Y785" i="3"/>
  <c r="Z785" i="3"/>
  <c r="N786" i="3"/>
  <c r="O786" i="3"/>
  <c r="P786" i="3"/>
  <c r="Q786" i="3"/>
  <c r="R786" i="3"/>
  <c r="S786" i="3"/>
  <c r="T786" i="3"/>
  <c r="U786" i="3"/>
  <c r="V786" i="3"/>
  <c r="W786" i="3"/>
  <c r="X786" i="3"/>
  <c r="Y786" i="3"/>
  <c r="Z786" i="3"/>
  <c r="N787" i="3"/>
  <c r="O787" i="3"/>
  <c r="P787" i="3"/>
  <c r="Q787" i="3"/>
  <c r="R787" i="3"/>
  <c r="S787" i="3"/>
  <c r="T787" i="3"/>
  <c r="U787" i="3"/>
  <c r="V787" i="3"/>
  <c r="W787" i="3"/>
  <c r="X787" i="3"/>
  <c r="Y787" i="3"/>
  <c r="Z787" i="3"/>
  <c r="N788" i="3"/>
  <c r="O788" i="3"/>
  <c r="P788" i="3"/>
  <c r="Q788" i="3"/>
  <c r="R788" i="3"/>
  <c r="S788" i="3"/>
  <c r="T788" i="3"/>
  <c r="U788" i="3"/>
  <c r="V788" i="3"/>
  <c r="W788" i="3"/>
  <c r="X788" i="3"/>
  <c r="Y788" i="3"/>
  <c r="Z788" i="3"/>
  <c r="N789" i="3"/>
  <c r="O789" i="3"/>
  <c r="P789" i="3"/>
  <c r="Q789" i="3"/>
  <c r="R789" i="3"/>
  <c r="S789" i="3"/>
  <c r="T789" i="3"/>
  <c r="U789" i="3"/>
  <c r="V789" i="3"/>
  <c r="W789" i="3"/>
  <c r="X789" i="3"/>
  <c r="Y789" i="3"/>
  <c r="Z789" i="3"/>
  <c r="N790" i="3"/>
  <c r="O790" i="3"/>
  <c r="P790" i="3"/>
  <c r="Q790" i="3"/>
  <c r="R790" i="3"/>
  <c r="S790" i="3"/>
  <c r="T790" i="3"/>
  <c r="U790" i="3"/>
  <c r="V790" i="3"/>
  <c r="W790" i="3"/>
  <c r="X790" i="3"/>
  <c r="Y790" i="3"/>
  <c r="Z790" i="3"/>
  <c r="N791" i="3"/>
  <c r="O791" i="3"/>
  <c r="P791" i="3"/>
  <c r="Q791" i="3"/>
  <c r="R791" i="3"/>
  <c r="S791" i="3"/>
  <c r="T791" i="3"/>
  <c r="U791" i="3"/>
  <c r="V791" i="3"/>
  <c r="W791" i="3"/>
  <c r="X791" i="3"/>
  <c r="Y791" i="3"/>
  <c r="Z791" i="3"/>
  <c r="N792" i="3"/>
  <c r="O792" i="3"/>
  <c r="P792" i="3"/>
  <c r="Q792" i="3"/>
  <c r="R792" i="3"/>
  <c r="S792" i="3"/>
  <c r="T792" i="3"/>
  <c r="U792" i="3"/>
  <c r="V792" i="3"/>
  <c r="W792" i="3"/>
  <c r="X792" i="3"/>
  <c r="Y792" i="3"/>
  <c r="Z792" i="3"/>
  <c r="N793" i="3"/>
  <c r="O793" i="3"/>
  <c r="P793" i="3"/>
  <c r="Q793" i="3"/>
  <c r="R793" i="3"/>
  <c r="S793" i="3"/>
  <c r="T793" i="3"/>
  <c r="U793" i="3"/>
  <c r="V793" i="3"/>
  <c r="W793" i="3"/>
  <c r="X793" i="3"/>
  <c r="Y793" i="3"/>
  <c r="Z793" i="3"/>
  <c r="N794" i="3"/>
  <c r="O794" i="3"/>
  <c r="P794" i="3"/>
  <c r="Q794" i="3"/>
  <c r="R794" i="3"/>
  <c r="S794" i="3"/>
  <c r="T794" i="3"/>
  <c r="U794" i="3"/>
  <c r="V794" i="3"/>
  <c r="W794" i="3"/>
  <c r="X794" i="3"/>
  <c r="Y794" i="3"/>
  <c r="Z794" i="3"/>
  <c r="N795" i="3"/>
  <c r="O795" i="3"/>
  <c r="P795" i="3"/>
  <c r="Q795" i="3"/>
  <c r="R795" i="3"/>
  <c r="S795" i="3"/>
  <c r="T795" i="3"/>
  <c r="U795" i="3"/>
  <c r="V795" i="3"/>
  <c r="W795" i="3"/>
  <c r="X795" i="3"/>
  <c r="Y795" i="3"/>
  <c r="Z795" i="3"/>
  <c r="N796" i="3"/>
  <c r="O796" i="3"/>
  <c r="P796" i="3"/>
  <c r="Q796" i="3"/>
  <c r="R796" i="3"/>
  <c r="S796" i="3"/>
  <c r="T796" i="3"/>
  <c r="U796" i="3"/>
  <c r="V796" i="3"/>
  <c r="W796" i="3"/>
  <c r="X796" i="3"/>
  <c r="Y796" i="3"/>
  <c r="Z796" i="3"/>
  <c r="N797" i="3"/>
  <c r="O797" i="3"/>
  <c r="P797" i="3"/>
  <c r="Q797" i="3"/>
  <c r="R797" i="3"/>
  <c r="S797" i="3"/>
  <c r="T797" i="3"/>
  <c r="U797" i="3"/>
  <c r="V797" i="3"/>
  <c r="W797" i="3"/>
  <c r="X797" i="3"/>
  <c r="Y797" i="3"/>
  <c r="Z797" i="3"/>
  <c r="N798" i="3"/>
  <c r="O798" i="3"/>
  <c r="P798" i="3"/>
  <c r="Q798" i="3"/>
  <c r="R798" i="3"/>
  <c r="S798" i="3"/>
  <c r="T798" i="3"/>
  <c r="U798" i="3"/>
  <c r="V798" i="3"/>
  <c r="W798" i="3"/>
  <c r="X798" i="3"/>
  <c r="Y798" i="3"/>
  <c r="Z798" i="3"/>
  <c r="N799" i="3"/>
  <c r="O799" i="3"/>
  <c r="P799" i="3"/>
  <c r="Q799" i="3"/>
  <c r="R799" i="3"/>
  <c r="S799" i="3"/>
  <c r="T799" i="3"/>
  <c r="U799" i="3"/>
  <c r="V799" i="3"/>
  <c r="W799" i="3"/>
  <c r="X799" i="3"/>
  <c r="Y799" i="3"/>
  <c r="Z799" i="3"/>
  <c r="N800" i="3"/>
  <c r="O800" i="3"/>
  <c r="P800" i="3"/>
  <c r="Q800" i="3"/>
  <c r="R800" i="3"/>
  <c r="S800" i="3"/>
  <c r="T800" i="3"/>
  <c r="U800" i="3"/>
  <c r="V800" i="3"/>
  <c r="W800" i="3"/>
  <c r="X800" i="3"/>
  <c r="Y800" i="3"/>
  <c r="Z800" i="3"/>
  <c r="N801" i="3"/>
  <c r="O801" i="3"/>
  <c r="P801" i="3"/>
  <c r="Q801" i="3"/>
  <c r="R801" i="3"/>
  <c r="S801" i="3"/>
  <c r="T801" i="3"/>
  <c r="U801" i="3"/>
  <c r="V801" i="3"/>
  <c r="W801" i="3"/>
  <c r="X801" i="3"/>
  <c r="Y801" i="3"/>
  <c r="Z801" i="3"/>
  <c r="N802" i="3"/>
  <c r="O802" i="3"/>
  <c r="P802" i="3"/>
  <c r="Q802" i="3"/>
  <c r="R802" i="3"/>
  <c r="S802" i="3"/>
  <c r="T802" i="3"/>
  <c r="U802" i="3"/>
  <c r="V802" i="3"/>
  <c r="W802" i="3"/>
  <c r="X802" i="3"/>
  <c r="Y802" i="3"/>
  <c r="Z802" i="3"/>
  <c r="N803" i="3"/>
  <c r="O803" i="3"/>
  <c r="P803" i="3"/>
  <c r="Q803" i="3"/>
  <c r="R803" i="3"/>
  <c r="S803" i="3"/>
  <c r="T803" i="3"/>
  <c r="U803" i="3"/>
  <c r="V803" i="3"/>
  <c r="W803" i="3"/>
  <c r="X803" i="3"/>
  <c r="Y803" i="3"/>
  <c r="Z803" i="3"/>
  <c r="N804" i="3"/>
  <c r="O804" i="3"/>
  <c r="P804" i="3"/>
  <c r="Q804" i="3"/>
  <c r="R804" i="3"/>
  <c r="S804" i="3"/>
  <c r="T804" i="3"/>
  <c r="U804" i="3"/>
  <c r="V804" i="3"/>
  <c r="W804" i="3"/>
  <c r="X804" i="3"/>
  <c r="Y804" i="3"/>
  <c r="Z804" i="3"/>
  <c r="N805" i="3"/>
  <c r="O805" i="3"/>
  <c r="P805" i="3"/>
  <c r="Q805" i="3"/>
  <c r="R805" i="3"/>
  <c r="S805" i="3"/>
  <c r="T805" i="3"/>
  <c r="U805" i="3"/>
  <c r="V805" i="3"/>
  <c r="W805" i="3"/>
  <c r="X805" i="3"/>
  <c r="Y805" i="3"/>
  <c r="Z805" i="3"/>
  <c r="N806" i="3"/>
  <c r="O806" i="3"/>
  <c r="P806" i="3"/>
  <c r="Q806" i="3"/>
  <c r="R806" i="3"/>
  <c r="S806" i="3"/>
  <c r="T806" i="3"/>
  <c r="U806" i="3"/>
  <c r="V806" i="3"/>
  <c r="W806" i="3"/>
  <c r="X806" i="3"/>
  <c r="Y806" i="3"/>
  <c r="Z806" i="3"/>
  <c r="N807" i="3"/>
  <c r="O807" i="3"/>
  <c r="P807" i="3"/>
  <c r="Q807" i="3"/>
  <c r="R807" i="3"/>
  <c r="S807" i="3"/>
  <c r="T807" i="3"/>
  <c r="U807" i="3"/>
  <c r="V807" i="3"/>
  <c r="W807" i="3"/>
  <c r="X807" i="3"/>
  <c r="Y807" i="3"/>
  <c r="Z807" i="3"/>
  <c r="N808" i="3"/>
  <c r="O808" i="3"/>
  <c r="P808" i="3"/>
  <c r="Q808" i="3"/>
  <c r="R808" i="3"/>
  <c r="S808" i="3"/>
  <c r="T808" i="3"/>
  <c r="U808" i="3"/>
  <c r="V808" i="3"/>
  <c r="W808" i="3"/>
  <c r="X808" i="3"/>
  <c r="Y808" i="3"/>
  <c r="Z808" i="3"/>
  <c r="N809" i="3"/>
  <c r="O809" i="3"/>
  <c r="P809" i="3"/>
  <c r="Q809" i="3"/>
  <c r="R809" i="3"/>
  <c r="S809" i="3"/>
  <c r="T809" i="3"/>
  <c r="U809" i="3"/>
  <c r="V809" i="3"/>
  <c r="W809" i="3"/>
  <c r="X809" i="3"/>
  <c r="Y809" i="3"/>
  <c r="Z809" i="3"/>
  <c r="N810" i="3"/>
  <c r="O810" i="3"/>
  <c r="P810" i="3"/>
  <c r="Q810" i="3"/>
  <c r="R810" i="3"/>
  <c r="S810" i="3"/>
  <c r="T810" i="3"/>
  <c r="U810" i="3"/>
  <c r="V810" i="3"/>
  <c r="W810" i="3"/>
  <c r="X810" i="3"/>
  <c r="Y810" i="3"/>
  <c r="Z810" i="3"/>
  <c r="N811" i="3"/>
  <c r="O811" i="3"/>
  <c r="P811" i="3"/>
  <c r="Q811" i="3"/>
  <c r="R811" i="3"/>
  <c r="S811" i="3"/>
  <c r="T811" i="3"/>
  <c r="U811" i="3"/>
  <c r="V811" i="3"/>
  <c r="W811" i="3"/>
  <c r="X811" i="3"/>
  <c r="Y811" i="3"/>
  <c r="Z811" i="3"/>
  <c r="N812" i="3"/>
  <c r="O812" i="3"/>
  <c r="P812" i="3"/>
  <c r="Q812" i="3"/>
  <c r="R812" i="3"/>
  <c r="S812" i="3"/>
  <c r="T812" i="3"/>
  <c r="U812" i="3"/>
  <c r="V812" i="3"/>
  <c r="W812" i="3"/>
  <c r="X812" i="3"/>
  <c r="Y812" i="3"/>
  <c r="Z812" i="3"/>
  <c r="N813" i="3"/>
  <c r="O813" i="3"/>
  <c r="P813" i="3"/>
  <c r="Q813" i="3"/>
  <c r="R813" i="3"/>
  <c r="S813" i="3"/>
  <c r="T813" i="3"/>
  <c r="U813" i="3"/>
  <c r="V813" i="3"/>
  <c r="W813" i="3"/>
  <c r="X813" i="3"/>
  <c r="Y813" i="3"/>
  <c r="Z813" i="3"/>
  <c r="N814" i="3"/>
  <c r="O814" i="3"/>
  <c r="P814" i="3"/>
  <c r="Q814" i="3"/>
  <c r="R814" i="3"/>
  <c r="S814" i="3"/>
  <c r="T814" i="3"/>
  <c r="U814" i="3"/>
  <c r="V814" i="3"/>
  <c r="W814" i="3"/>
  <c r="X814" i="3"/>
  <c r="Y814" i="3"/>
  <c r="Z814" i="3"/>
  <c r="N815" i="3"/>
  <c r="O815" i="3"/>
  <c r="P815" i="3"/>
  <c r="Q815" i="3"/>
  <c r="R815" i="3"/>
  <c r="S815" i="3"/>
  <c r="T815" i="3"/>
  <c r="U815" i="3"/>
  <c r="V815" i="3"/>
  <c r="W815" i="3"/>
  <c r="X815" i="3"/>
  <c r="Y815" i="3"/>
  <c r="Z815" i="3"/>
  <c r="N816" i="3"/>
  <c r="O816" i="3"/>
  <c r="P816" i="3"/>
  <c r="Q816" i="3"/>
  <c r="R816" i="3"/>
  <c r="S816" i="3"/>
  <c r="T816" i="3"/>
  <c r="U816" i="3"/>
  <c r="V816" i="3"/>
  <c r="W816" i="3"/>
  <c r="X816" i="3"/>
  <c r="Y816" i="3"/>
  <c r="Z816" i="3"/>
  <c r="N817" i="3"/>
  <c r="O817" i="3"/>
  <c r="P817" i="3"/>
  <c r="Q817" i="3"/>
  <c r="R817" i="3"/>
  <c r="S817" i="3"/>
  <c r="T817" i="3"/>
  <c r="U817" i="3"/>
  <c r="V817" i="3"/>
  <c r="W817" i="3"/>
  <c r="X817" i="3"/>
  <c r="Y817" i="3"/>
  <c r="Z817" i="3"/>
  <c r="N818" i="3"/>
  <c r="O818" i="3"/>
  <c r="P818" i="3"/>
  <c r="Q818" i="3"/>
  <c r="R818" i="3"/>
  <c r="S818" i="3"/>
  <c r="T818" i="3"/>
  <c r="U818" i="3"/>
  <c r="V818" i="3"/>
  <c r="W818" i="3"/>
  <c r="X818" i="3"/>
  <c r="Y818" i="3"/>
  <c r="Z818" i="3"/>
  <c r="N819" i="3"/>
  <c r="O819" i="3"/>
  <c r="P819" i="3"/>
  <c r="Q819" i="3"/>
  <c r="R819" i="3"/>
  <c r="S819" i="3"/>
  <c r="T819" i="3"/>
  <c r="U819" i="3"/>
  <c r="V819" i="3"/>
  <c r="W819" i="3"/>
  <c r="X819" i="3"/>
  <c r="Y819" i="3"/>
  <c r="Z819" i="3"/>
  <c r="N820" i="3"/>
  <c r="O820" i="3"/>
  <c r="P820" i="3"/>
  <c r="Q820" i="3"/>
  <c r="R820" i="3"/>
  <c r="S820" i="3"/>
  <c r="T820" i="3"/>
  <c r="U820" i="3"/>
  <c r="V820" i="3"/>
  <c r="W820" i="3"/>
  <c r="X820" i="3"/>
  <c r="Y820" i="3"/>
  <c r="Z820" i="3"/>
  <c r="N821" i="3"/>
  <c r="O821" i="3"/>
  <c r="P821" i="3"/>
  <c r="Q821" i="3"/>
  <c r="R821" i="3"/>
  <c r="S821" i="3"/>
  <c r="T821" i="3"/>
  <c r="U821" i="3"/>
  <c r="V821" i="3"/>
  <c r="W821" i="3"/>
  <c r="X821" i="3"/>
  <c r="Y821" i="3"/>
  <c r="Z821" i="3"/>
  <c r="N822" i="3"/>
  <c r="O822" i="3"/>
  <c r="P822" i="3"/>
  <c r="Q822" i="3"/>
  <c r="R822" i="3"/>
  <c r="S822" i="3"/>
  <c r="T822" i="3"/>
  <c r="U822" i="3"/>
  <c r="V822" i="3"/>
  <c r="W822" i="3"/>
  <c r="X822" i="3"/>
  <c r="Y822" i="3"/>
  <c r="Z822" i="3"/>
  <c r="N823" i="3"/>
  <c r="O823" i="3"/>
  <c r="P823" i="3"/>
  <c r="Q823" i="3"/>
  <c r="R823" i="3"/>
  <c r="S823" i="3"/>
  <c r="T823" i="3"/>
  <c r="U823" i="3"/>
  <c r="V823" i="3"/>
  <c r="W823" i="3"/>
  <c r="X823" i="3"/>
  <c r="Y823" i="3"/>
  <c r="Z823" i="3"/>
  <c r="N824" i="3"/>
  <c r="O824" i="3"/>
  <c r="P824" i="3"/>
  <c r="Q824" i="3"/>
  <c r="R824" i="3"/>
  <c r="S824" i="3"/>
  <c r="T824" i="3"/>
  <c r="U824" i="3"/>
  <c r="V824" i="3"/>
  <c r="W824" i="3"/>
  <c r="X824" i="3"/>
  <c r="Y824" i="3"/>
  <c r="Z824" i="3"/>
  <c r="N825" i="3"/>
  <c r="O825" i="3"/>
  <c r="P825" i="3"/>
  <c r="Q825" i="3"/>
  <c r="R825" i="3"/>
  <c r="S825" i="3"/>
  <c r="T825" i="3"/>
  <c r="U825" i="3"/>
  <c r="V825" i="3"/>
  <c r="W825" i="3"/>
  <c r="X825" i="3"/>
  <c r="Y825" i="3"/>
  <c r="Z825" i="3"/>
  <c r="N826" i="3"/>
  <c r="O826" i="3"/>
  <c r="P826" i="3"/>
  <c r="Q826" i="3"/>
  <c r="R826" i="3"/>
  <c r="S826" i="3"/>
  <c r="T826" i="3"/>
  <c r="U826" i="3"/>
  <c r="V826" i="3"/>
  <c r="W826" i="3"/>
  <c r="X826" i="3"/>
  <c r="Y826" i="3"/>
  <c r="Z826" i="3"/>
  <c r="N827" i="3"/>
  <c r="O827" i="3"/>
  <c r="P827" i="3"/>
  <c r="Q827" i="3"/>
  <c r="R827" i="3"/>
  <c r="S827" i="3"/>
  <c r="T827" i="3"/>
  <c r="U827" i="3"/>
  <c r="V827" i="3"/>
  <c r="W827" i="3"/>
  <c r="X827" i="3"/>
  <c r="Y827" i="3"/>
  <c r="Z827" i="3"/>
  <c r="N828" i="3"/>
  <c r="O828" i="3"/>
  <c r="P828" i="3"/>
  <c r="Q828" i="3"/>
  <c r="R828" i="3"/>
  <c r="S828" i="3"/>
  <c r="T828" i="3"/>
  <c r="U828" i="3"/>
  <c r="V828" i="3"/>
  <c r="W828" i="3"/>
  <c r="X828" i="3"/>
  <c r="Y828" i="3"/>
  <c r="Z828" i="3"/>
  <c r="N829" i="3"/>
  <c r="O829" i="3"/>
  <c r="P829" i="3"/>
  <c r="Q829" i="3"/>
  <c r="R829" i="3"/>
  <c r="S829" i="3"/>
  <c r="T829" i="3"/>
  <c r="U829" i="3"/>
  <c r="V829" i="3"/>
  <c r="W829" i="3"/>
  <c r="X829" i="3"/>
  <c r="Y829" i="3"/>
  <c r="Z829" i="3"/>
  <c r="N830" i="3"/>
  <c r="O830" i="3"/>
  <c r="P830" i="3"/>
  <c r="Q830" i="3"/>
  <c r="R830" i="3"/>
  <c r="S830" i="3"/>
  <c r="T830" i="3"/>
  <c r="U830" i="3"/>
  <c r="V830" i="3"/>
  <c r="W830" i="3"/>
  <c r="X830" i="3"/>
  <c r="Y830" i="3"/>
  <c r="Z830" i="3"/>
  <c r="N831" i="3"/>
  <c r="O831" i="3"/>
  <c r="P831" i="3"/>
  <c r="Q831" i="3"/>
  <c r="R831" i="3"/>
  <c r="S831" i="3"/>
  <c r="T831" i="3"/>
  <c r="U831" i="3"/>
  <c r="V831" i="3"/>
  <c r="W831" i="3"/>
  <c r="X831" i="3"/>
  <c r="Y831" i="3"/>
  <c r="Z831" i="3"/>
  <c r="N832" i="3"/>
  <c r="O832" i="3"/>
  <c r="P832" i="3"/>
  <c r="Q832" i="3"/>
  <c r="R832" i="3"/>
  <c r="S832" i="3"/>
  <c r="T832" i="3"/>
  <c r="U832" i="3"/>
  <c r="V832" i="3"/>
  <c r="W832" i="3"/>
  <c r="X832" i="3"/>
  <c r="Y832" i="3"/>
  <c r="Z832" i="3"/>
  <c r="N833" i="3"/>
  <c r="O833" i="3"/>
  <c r="P833" i="3"/>
  <c r="Q833" i="3"/>
  <c r="R833" i="3"/>
  <c r="S833" i="3"/>
  <c r="T833" i="3"/>
  <c r="U833" i="3"/>
  <c r="V833" i="3"/>
  <c r="W833" i="3"/>
  <c r="X833" i="3"/>
  <c r="Y833" i="3"/>
  <c r="Z833" i="3"/>
  <c r="N834" i="3"/>
  <c r="O834" i="3"/>
  <c r="P834" i="3"/>
  <c r="Q834" i="3"/>
  <c r="R834" i="3"/>
  <c r="S834" i="3"/>
  <c r="T834" i="3"/>
  <c r="U834" i="3"/>
  <c r="V834" i="3"/>
  <c r="W834" i="3"/>
  <c r="X834" i="3"/>
  <c r="Y834" i="3"/>
  <c r="Z834" i="3"/>
  <c r="N835" i="3"/>
  <c r="O835" i="3"/>
  <c r="P835" i="3"/>
  <c r="Q835" i="3"/>
  <c r="R835" i="3"/>
  <c r="S835" i="3"/>
  <c r="T835" i="3"/>
  <c r="U835" i="3"/>
  <c r="V835" i="3"/>
  <c r="W835" i="3"/>
  <c r="X835" i="3"/>
  <c r="Y835" i="3"/>
  <c r="Z835" i="3"/>
  <c r="N836" i="3"/>
  <c r="O836" i="3"/>
  <c r="P836" i="3"/>
  <c r="Q836" i="3"/>
  <c r="R836" i="3"/>
  <c r="S836" i="3"/>
  <c r="T836" i="3"/>
  <c r="U836" i="3"/>
  <c r="V836" i="3"/>
  <c r="W836" i="3"/>
  <c r="X836" i="3"/>
  <c r="Y836" i="3"/>
  <c r="Z836" i="3"/>
  <c r="N837" i="3"/>
  <c r="O837" i="3"/>
  <c r="P837" i="3"/>
  <c r="Q837" i="3"/>
  <c r="R837" i="3"/>
  <c r="S837" i="3"/>
  <c r="T837" i="3"/>
  <c r="U837" i="3"/>
  <c r="V837" i="3"/>
  <c r="W837" i="3"/>
  <c r="X837" i="3"/>
  <c r="Y837" i="3"/>
  <c r="Z837" i="3"/>
  <c r="N838" i="3"/>
  <c r="O838" i="3"/>
  <c r="P838" i="3"/>
  <c r="Q838" i="3"/>
  <c r="R838" i="3"/>
  <c r="S838" i="3"/>
  <c r="T838" i="3"/>
  <c r="U838" i="3"/>
  <c r="V838" i="3"/>
  <c r="W838" i="3"/>
  <c r="X838" i="3"/>
  <c r="Y838" i="3"/>
  <c r="Z838" i="3"/>
  <c r="N839" i="3"/>
  <c r="O839" i="3"/>
  <c r="P839" i="3"/>
  <c r="Q839" i="3"/>
  <c r="R839" i="3"/>
  <c r="S839" i="3"/>
  <c r="T839" i="3"/>
  <c r="U839" i="3"/>
  <c r="V839" i="3"/>
  <c r="W839" i="3"/>
  <c r="X839" i="3"/>
  <c r="Y839" i="3"/>
  <c r="Z839" i="3"/>
  <c r="N840" i="3"/>
  <c r="O840" i="3"/>
  <c r="P840" i="3"/>
  <c r="Q840" i="3"/>
  <c r="R840" i="3"/>
  <c r="S840" i="3"/>
  <c r="T840" i="3"/>
  <c r="U840" i="3"/>
  <c r="V840" i="3"/>
  <c r="W840" i="3"/>
  <c r="X840" i="3"/>
  <c r="Y840" i="3"/>
  <c r="Z840" i="3"/>
  <c r="N841" i="3"/>
  <c r="O841" i="3"/>
  <c r="P841" i="3"/>
  <c r="Q841" i="3"/>
  <c r="R841" i="3"/>
  <c r="S841" i="3"/>
  <c r="T841" i="3"/>
  <c r="U841" i="3"/>
  <c r="V841" i="3"/>
  <c r="W841" i="3"/>
  <c r="X841" i="3"/>
  <c r="Y841" i="3"/>
  <c r="Z841" i="3"/>
  <c r="N842" i="3"/>
  <c r="O842" i="3"/>
  <c r="P842" i="3"/>
  <c r="Q842" i="3"/>
  <c r="R842" i="3"/>
  <c r="S842" i="3"/>
  <c r="T842" i="3"/>
  <c r="U842" i="3"/>
  <c r="V842" i="3"/>
  <c r="W842" i="3"/>
  <c r="X842" i="3"/>
  <c r="Y842" i="3"/>
  <c r="Z842" i="3"/>
  <c r="N843" i="3"/>
  <c r="O843" i="3"/>
  <c r="P843" i="3"/>
  <c r="Q843" i="3"/>
  <c r="R843" i="3"/>
  <c r="S843" i="3"/>
  <c r="T843" i="3"/>
  <c r="U843" i="3"/>
  <c r="V843" i="3"/>
  <c r="W843" i="3"/>
  <c r="X843" i="3"/>
  <c r="Y843" i="3"/>
  <c r="Z843" i="3"/>
  <c r="N844" i="3"/>
  <c r="O844" i="3"/>
  <c r="P844" i="3"/>
  <c r="Q844" i="3"/>
  <c r="R844" i="3"/>
  <c r="S844" i="3"/>
  <c r="T844" i="3"/>
  <c r="U844" i="3"/>
  <c r="V844" i="3"/>
  <c r="W844" i="3"/>
  <c r="X844" i="3"/>
  <c r="Y844" i="3"/>
  <c r="Z844" i="3"/>
  <c r="N845" i="3"/>
  <c r="O845" i="3"/>
  <c r="P845" i="3"/>
  <c r="Q845" i="3"/>
  <c r="R845" i="3"/>
  <c r="S845" i="3"/>
  <c r="T845" i="3"/>
  <c r="U845" i="3"/>
  <c r="V845" i="3"/>
  <c r="W845" i="3"/>
  <c r="X845" i="3"/>
  <c r="Y845" i="3"/>
  <c r="Z845" i="3"/>
  <c r="N846" i="3"/>
  <c r="O846" i="3"/>
  <c r="P846" i="3"/>
  <c r="Q846" i="3"/>
  <c r="R846" i="3"/>
  <c r="S846" i="3"/>
  <c r="T846" i="3"/>
  <c r="U846" i="3"/>
  <c r="V846" i="3"/>
  <c r="W846" i="3"/>
  <c r="X846" i="3"/>
  <c r="Y846" i="3"/>
  <c r="Z846" i="3"/>
  <c r="N847" i="3"/>
  <c r="O847" i="3"/>
  <c r="P847" i="3"/>
  <c r="Q847" i="3"/>
  <c r="R847" i="3"/>
  <c r="S847" i="3"/>
  <c r="T847" i="3"/>
  <c r="U847" i="3"/>
  <c r="V847" i="3"/>
  <c r="W847" i="3"/>
  <c r="X847" i="3"/>
  <c r="Y847" i="3"/>
  <c r="Z847" i="3"/>
  <c r="N848" i="3"/>
  <c r="O848" i="3"/>
  <c r="P848" i="3"/>
  <c r="Q848" i="3"/>
  <c r="R848" i="3"/>
  <c r="S848" i="3"/>
  <c r="T848" i="3"/>
  <c r="U848" i="3"/>
  <c r="V848" i="3"/>
  <c r="W848" i="3"/>
  <c r="X848" i="3"/>
  <c r="Y848" i="3"/>
  <c r="Z848" i="3"/>
  <c r="N849" i="3"/>
  <c r="O849" i="3"/>
  <c r="P849" i="3"/>
  <c r="Q849" i="3"/>
  <c r="R849" i="3"/>
  <c r="S849" i="3"/>
  <c r="T849" i="3"/>
  <c r="U849" i="3"/>
  <c r="V849" i="3"/>
  <c r="W849" i="3"/>
  <c r="X849" i="3"/>
  <c r="Y849" i="3"/>
  <c r="Z849" i="3"/>
  <c r="N850" i="3"/>
  <c r="O850" i="3"/>
  <c r="P850" i="3"/>
  <c r="Q850" i="3"/>
  <c r="R850" i="3"/>
  <c r="S850" i="3"/>
  <c r="T850" i="3"/>
  <c r="U850" i="3"/>
  <c r="V850" i="3"/>
  <c r="W850" i="3"/>
  <c r="X850" i="3"/>
  <c r="Y850" i="3"/>
  <c r="Z850" i="3"/>
  <c r="N851" i="3"/>
  <c r="O851" i="3"/>
  <c r="P851" i="3"/>
  <c r="Q851" i="3"/>
  <c r="R851" i="3"/>
  <c r="S851" i="3"/>
  <c r="T851" i="3"/>
  <c r="U851" i="3"/>
  <c r="V851" i="3"/>
  <c r="W851" i="3"/>
  <c r="X851" i="3"/>
  <c r="Y851" i="3"/>
  <c r="Z851" i="3"/>
  <c r="N852" i="3"/>
  <c r="O852" i="3"/>
  <c r="P852" i="3"/>
  <c r="Q852" i="3"/>
  <c r="R852" i="3"/>
  <c r="S852" i="3"/>
  <c r="T852" i="3"/>
  <c r="U852" i="3"/>
  <c r="V852" i="3"/>
  <c r="W852" i="3"/>
  <c r="X852" i="3"/>
  <c r="Y852" i="3"/>
  <c r="Z852" i="3"/>
  <c r="N853" i="3"/>
  <c r="O853" i="3"/>
  <c r="P853" i="3"/>
  <c r="Q853" i="3"/>
  <c r="R853" i="3"/>
  <c r="S853" i="3"/>
  <c r="T853" i="3"/>
  <c r="U853" i="3"/>
  <c r="V853" i="3"/>
  <c r="W853" i="3"/>
  <c r="X853" i="3"/>
  <c r="Y853" i="3"/>
  <c r="Z853" i="3"/>
  <c r="N854" i="3"/>
  <c r="O854" i="3"/>
  <c r="P854" i="3"/>
  <c r="Q854" i="3"/>
  <c r="R854" i="3"/>
  <c r="S854" i="3"/>
  <c r="T854" i="3"/>
  <c r="U854" i="3"/>
  <c r="V854" i="3"/>
  <c r="W854" i="3"/>
  <c r="X854" i="3"/>
  <c r="Y854" i="3"/>
  <c r="Z854" i="3"/>
  <c r="N855" i="3"/>
  <c r="O855" i="3"/>
  <c r="P855" i="3"/>
  <c r="Q855" i="3"/>
  <c r="R855" i="3"/>
  <c r="S855" i="3"/>
  <c r="T855" i="3"/>
  <c r="U855" i="3"/>
  <c r="V855" i="3"/>
  <c r="W855" i="3"/>
  <c r="X855" i="3"/>
  <c r="Y855" i="3"/>
  <c r="Z855" i="3"/>
  <c r="N856" i="3"/>
  <c r="O856" i="3"/>
  <c r="P856" i="3"/>
  <c r="Q856" i="3"/>
  <c r="R856" i="3"/>
  <c r="S856" i="3"/>
  <c r="T856" i="3"/>
  <c r="U856" i="3"/>
  <c r="V856" i="3"/>
  <c r="W856" i="3"/>
  <c r="X856" i="3"/>
  <c r="Y856" i="3"/>
  <c r="Z856" i="3"/>
  <c r="N857" i="3"/>
  <c r="O857" i="3"/>
  <c r="P857" i="3"/>
  <c r="Q857" i="3"/>
  <c r="R857" i="3"/>
  <c r="S857" i="3"/>
  <c r="T857" i="3"/>
  <c r="U857" i="3"/>
  <c r="V857" i="3"/>
  <c r="W857" i="3"/>
  <c r="X857" i="3"/>
  <c r="Y857" i="3"/>
  <c r="Z857" i="3"/>
  <c r="N858" i="3"/>
  <c r="O858" i="3"/>
  <c r="P858" i="3"/>
  <c r="Q858" i="3"/>
  <c r="R858" i="3"/>
  <c r="S858" i="3"/>
  <c r="T858" i="3"/>
  <c r="U858" i="3"/>
  <c r="V858" i="3"/>
  <c r="W858" i="3"/>
  <c r="X858" i="3"/>
  <c r="Y858" i="3"/>
  <c r="Z858" i="3"/>
  <c r="N859" i="3"/>
  <c r="O859" i="3"/>
  <c r="P859" i="3"/>
  <c r="Q859" i="3"/>
  <c r="R859" i="3"/>
  <c r="S859" i="3"/>
  <c r="T859" i="3"/>
  <c r="U859" i="3"/>
  <c r="V859" i="3"/>
  <c r="W859" i="3"/>
  <c r="X859" i="3"/>
  <c r="Y859" i="3"/>
  <c r="Z859" i="3"/>
  <c r="N860" i="3"/>
  <c r="O860" i="3"/>
  <c r="P860" i="3"/>
  <c r="Q860" i="3"/>
  <c r="R860" i="3"/>
  <c r="S860" i="3"/>
  <c r="T860" i="3"/>
  <c r="U860" i="3"/>
  <c r="V860" i="3"/>
  <c r="W860" i="3"/>
  <c r="X860" i="3"/>
  <c r="Y860" i="3"/>
  <c r="Z860" i="3"/>
  <c r="N861" i="3"/>
  <c r="O861" i="3"/>
  <c r="P861" i="3"/>
  <c r="Q861" i="3"/>
  <c r="R861" i="3"/>
  <c r="S861" i="3"/>
  <c r="T861" i="3"/>
  <c r="U861" i="3"/>
  <c r="V861" i="3"/>
  <c r="W861" i="3"/>
  <c r="X861" i="3"/>
  <c r="Y861" i="3"/>
  <c r="Z861" i="3"/>
  <c r="N862" i="3"/>
  <c r="O862" i="3"/>
  <c r="P862" i="3"/>
  <c r="Q862" i="3"/>
  <c r="R862" i="3"/>
  <c r="S862" i="3"/>
  <c r="T862" i="3"/>
  <c r="U862" i="3"/>
  <c r="V862" i="3"/>
  <c r="W862" i="3"/>
  <c r="X862" i="3"/>
  <c r="Y862" i="3"/>
  <c r="Z862" i="3"/>
  <c r="N863" i="3"/>
  <c r="O863" i="3"/>
  <c r="P863" i="3"/>
  <c r="Q863" i="3"/>
  <c r="R863" i="3"/>
  <c r="S863" i="3"/>
  <c r="T863" i="3"/>
  <c r="U863" i="3"/>
  <c r="V863" i="3"/>
  <c r="W863" i="3"/>
  <c r="X863" i="3"/>
  <c r="Y863" i="3"/>
  <c r="Z863" i="3"/>
  <c r="N864" i="3"/>
  <c r="O864" i="3"/>
  <c r="P864" i="3"/>
  <c r="Q864" i="3"/>
  <c r="R864" i="3"/>
  <c r="S864" i="3"/>
  <c r="T864" i="3"/>
  <c r="U864" i="3"/>
  <c r="V864" i="3"/>
  <c r="W864" i="3"/>
  <c r="X864" i="3"/>
  <c r="Y864" i="3"/>
  <c r="Z864" i="3"/>
  <c r="N865" i="3"/>
  <c r="O865" i="3"/>
  <c r="P865" i="3"/>
  <c r="Q865" i="3"/>
  <c r="R865" i="3"/>
  <c r="S865" i="3"/>
  <c r="T865" i="3"/>
  <c r="U865" i="3"/>
  <c r="V865" i="3"/>
  <c r="W865" i="3"/>
  <c r="X865" i="3"/>
  <c r="Y865" i="3"/>
  <c r="Z865" i="3"/>
  <c r="N866" i="3"/>
  <c r="O866" i="3"/>
  <c r="P866" i="3"/>
  <c r="Q866" i="3"/>
  <c r="R866" i="3"/>
  <c r="S866" i="3"/>
  <c r="T866" i="3"/>
  <c r="U866" i="3"/>
  <c r="V866" i="3"/>
  <c r="W866" i="3"/>
  <c r="X866" i="3"/>
  <c r="Y866" i="3"/>
  <c r="Z866" i="3"/>
  <c r="N867" i="3"/>
  <c r="O867" i="3"/>
  <c r="P867" i="3"/>
  <c r="Q867" i="3"/>
  <c r="R867" i="3"/>
  <c r="S867" i="3"/>
  <c r="T867" i="3"/>
  <c r="U867" i="3"/>
  <c r="V867" i="3"/>
  <c r="W867" i="3"/>
  <c r="X867" i="3"/>
  <c r="Y867" i="3"/>
  <c r="Z867" i="3"/>
  <c r="N868" i="3"/>
  <c r="O868" i="3"/>
  <c r="P868" i="3"/>
  <c r="Q868" i="3"/>
  <c r="R868" i="3"/>
  <c r="S868" i="3"/>
  <c r="T868" i="3"/>
  <c r="U868" i="3"/>
  <c r="V868" i="3"/>
  <c r="W868" i="3"/>
  <c r="X868" i="3"/>
  <c r="Y868" i="3"/>
  <c r="Z868" i="3"/>
  <c r="N869" i="3"/>
  <c r="O869" i="3"/>
  <c r="P869" i="3"/>
  <c r="Q869" i="3"/>
  <c r="R869" i="3"/>
  <c r="S869" i="3"/>
  <c r="T869" i="3"/>
  <c r="U869" i="3"/>
  <c r="V869" i="3"/>
  <c r="W869" i="3"/>
  <c r="X869" i="3"/>
  <c r="Y869" i="3"/>
  <c r="Z869" i="3"/>
  <c r="N870" i="3"/>
  <c r="O870" i="3"/>
  <c r="P870" i="3"/>
  <c r="Q870" i="3"/>
  <c r="R870" i="3"/>
  <c r="S870" i="3"/>
  <c r="T870" i="3"/>
  <c r="U870" i="3"/>
  <c r="V870" i="3"/>
  <c r="W870" i="3"/>
  <c r="X870" i="3"/>
  <c r="Y870" i="3"/>
  <c r="Z870" i="3"/>
  <c r="N871" i="3"/>
  <c r="O871" i="3"/>
  <c r="P871" i="3"/>
  <c r="Q871" i="3"/>
  <c r="R871" i="3"/>
  <c r="S871" i="3"/>
  <c r="T871" i="3"/>
  <c r="U871" i="3"/>
  <c r="V871" i="3"/>
  <c r="W871" i="3"/>
  <c r="X871" i="3"/>
  <c r="Y871" i="3"/>
  <c r="Z871" i="3"/>
  <c r="N872" i="3"/>
  <c r="O872" i="3"/>
  <c r="P872" i="3"/>
  <c r="Q872" i="3"/>
  <c r="R872" i="3"/>
  <c r="S872" i="3"/>
  <c r="T872" i="3"/>
  <c r="U872" i="3"/>
  <c r="V872" i="3"/>
  <c r="W872" i="3"/>
  <c r="X872" i="3"/>
  <c r="Y872" i="3"/>
  <c r="Z872" i="3"/>
  <c r="N873" i="3"/>
  <c r="O873" i="3"/>
  <c r="P873" i="3"/>
  <c r="Q873" i="3"/>
  <c r="R873" i="3"/>
  <c r="S873" i="3"/>
  <c r="T873" i="3"/>
  <c r="U873" i="3"/>
  <c r="V873" i="3"/>
  <c r="W873" i="3"/>
  <c r="X873" i="3"/>
  <c r="Y873" i="3"/>
  <c r="Z873" i="3"/>
  <c r="N874" i="3"/>
  <c r="O874" i="3"/>
  <c r="P874" i="3"/>
  <c r="Q874" i="3"/>
  <c r="R874" i="3"/>
  <c r="S874" i="3"/>
  <c r="T874" i="3"/>
  <c r="U874" i="3"/>
  <c r="V874" i="3"/>
  <c r="W874" i="3"/>
  <c r="X874" i="3"/>
  <c r="Y874" i="3"/>
  <c r="Z874" i="3"/>
  <c r="N875" i="3"/>
  <c r="O875" i="3"/>
  <c r="P875" i="3"/>
  <c r="Q875" i="3"/>
  <c r="R875" i="3"/>
  <c r="S875" i="3"/>
  <c r="T875" i="3"/>
  <c r="U875" i="3"/>
  <c r="V875" i="3"/>
  <c r="W875" i="3"/>
  <c r="X875" i="3"/>
  <c r="Y875" i="3"/>
  <c r="Z875" i="3"/>
  <c r="N876" i="3"/>
  <c r="O876" i="3"/>
  <c r="P876" i="3"/>
  <c r="Q876" i="3"/>
  <c r="R876" i="3"/>
  <c r="S876" i="3"/>
  <c r="T876" i="3"/>
  <c r="U876" i="3"/>
  <c r="V876" i="3"/>
  <c r="W876" i="3"/>
  <c r="X876" i="3"/>
  <c r="Y876" i="3"/>
  <c r="Z876" i="3"/>
  <c r="N877" i="3"/>
  <c r="O877" i="3"/>
  <c r="P877" i="3"/>
  <c r="Q877" i="3"/>
  <c r="R877" i="3"/>
  <c r="S877" i="3"/>
  <c r="T877" i="3"/>
  <c r="U877" i="3"/>
  <c r="V877" i="3"/>
  <c r="W877" i="3"/>
  <c r="X877" i="3"/>
  <c r="Y877" i="3"/>
  <c r="Z877" i="3"/>
  <c r="N878" i="3"/>
  <c r="O878" i="3"/>
  <c r="P878" i="3"/>
  <c r="Q878" i="3"/>
  <c r="R878" i="3"/>
  <c r="S878" i="3"/>
  <c r="T878" i="3"/>
  <c r="U878" i="3"/>
  <c r="V878" i="3"/>
  <c r="W878" i="3"/>
  <c r="X878" i="3"/>
  <c r="Y878" i="3"/>
  <c r="Z878" i="3"/>
  <c r="N879" i="3"/>
  <c r="O879" i="3"/>
  <c r="P879" i="3"/>
  <c r="Q879" i="3"/>
  <c r="R879" i="3"/>
  <c r="S879" i="3"/>
  <c r="T879" i="3"/>
  <c r="U879" i="3"/>
  <c r="V879" i="3"/>
  <c r="W879" i="3"/>
  <c r="X879" i="3"/>
  <c r="Y879" i="3"/>
  <c r="Z879" i="3"/>
  <c r="N880" i="3"/>
  <c r="O880" i="3"/>
  <c r="P880" i="3"/>
  <c r="Q880" i="3"/>
  <c r="R880" i="3"/>
  <c r="S880" i="3"/>
  <c r="T880" i="3"/>
  <c r="U880" i="3"/>
  <c r="V880" i="3"/>
  <c r="W880" i="3"/>
  <c r="X880" i="3"/>
  <c r="Y880" i="3"/>
  <c r="Z880" i="3"/>
  <c r="N881" i="3"/>
  <c r="O881" i="3"/>
  <c r="P881" i="3"/>
  <c r="Q881" i="3"/>
  <c r="R881" i="3"/>
  <c r="S881" i="3"/>
  <c r="T881" i="3"/>
  <c r="U881" i="3"/>
  <c r="V881" i="3"/>
  <c r="W881" i="3"/>
  <c r="X881" i="3"/>
  <c r="Y881" i="3"/>
  <c r="Z881" i="3"/>
  <c r="N882" i="3"/>
  <c r="O882" i="3"/>
  <c r="P882" i="3"/>
  <c r="Q882" i="3"/>
  <c r="R882" i="3"/>
  <c r="S882" i="3"/>
  <c r="T882" i="3"/>
  <c r="U882" i="3"/>
  <c r="V882" i="3"/>
  <c r="W882" i="3"/>
  <c r="X882" i="3"/>
  <c r="Y882" i="3"/>
  <c r="Z882" i="3"/>
  <c r="N883" i="3"/>
  <c r="O883" i="3"/>
  <c r="P883" i="3"/>
  <c r="Q883" i="3"/>
  <c r="R883" i="3"/>
  <c r="S883" i="3"/>
  <c r="T883" i="3"/>
  <c r="U883" i="3"/>
  <c r="V883" i="3"/>
  <c r="W883" i="3"/>
  <c r="X883" i="3"/>
  <c r="Y883" i="3"/>
  <c r="Z883" i="3"/>
  <c r="N884" i="3"/>
  <c r="O884" i="3"/>
  <c r="P884" i="3"/>
  <c r="Q884" i="3"/>
  <c r="R884" i="3"/>
  <c r="S884" i="3"/>
  <c r="T884" i="3"/>
  <c r="U884" i="3"/>
  <c r="V884" i="3"/>
  <c r="W884" i="3"/>
  <c r="X884" i="3"/>
  <c r="Y884" i="3"/>
  <c r="Z884" i="3"/>
  <c r="N885" i="3"/>
  <c r="O885" i="3"/>
  <c r="P885" i="3"/>
  <c r="Q885" i="3"/>
  <c r="R885" i="3"/>
  <c r="S885" i="3"/>
  <c r="T885" i="3"/>
  <c r="U885" i="3"/>
  <c r="V885" i="3"/>
  <c r="W885" i="3"/>
  <c r="X885" i="3"/>
  <c r="Y885" i="3"/>
  <c r="Z885" i="3"/>
  <c r="N886" i="3"/>
  <c r="O886" i="3"/>
  <c r="P886" i="3"/>
  <c r="Q886" i="3"/>
  <c r="R886" i="3"/>
  <c r="S886" i="3"/>
  <c r="T886" i="3"/>
  <c r="U886" i="3"/>
  <c r="V886" i="3"/>
  <c r="W886" i="3"/>
  <c r="X886" i="3"/>
  <c r="Y886" i="3"/>
  <c r="Z886" i="3"/>
  <c r="N887" i="3"/>
  <c r="O887" i="3"/>
  <c r="P887" i="3"/>
  <c r="Q887" i="3"/>
  <c r="R887" i="3"/>
  <c r="S887" i="3"/>
  <c r="T887" i="3"/>
  <c r="U887" i="3"/>
  <c r="V887" i="3"/>
  <c r="W887" i="3"/>
  <c r="X887" i="3"/>
  <c r="Y887" i="3"/>
  <c r="Z887" i="3"/>
  <c r="N888" i="3"/>
  <c r="O888" i="3"/>
  <c r="P888" i="3"/>
  <c r="Q888" i="3"/>
  <c r="R888" i="3"/>
  <c r="S888" i="3"/>
  <c r="T888" i="3"/>
  <c r="U888" i="3"/>
  <c r="V888" i="3"/>
  <c r="W888" i="3"/>
  <c r="X888" i="3"/>
  <c r="Y888" i="3"/>
  <c r="Z888" i="3"/>
  <c r="N889" i="3"/>
  <c r="O889" i="3"/>
  <c r="P889" i="3"/>
  <c r="Q889" i="3"/>
  <c r="R889" i="3"/>
  <c r="S889" i="3"/>
  <c r="T889" i="3"/>
  <c r="U889" i="3"/>
  <c r="V889" i="3"/>
  <c r="W889" i="3"/>
  <c r="X889" i="3"/>
  <c r="Y889" i="3"/>
  <c r="Z889" i="3"/>
  <c r="N890" i="3"/>
  <c r="O890" i="3"/>
  <c r="P890" i="3"/>
  <c r="Q890" i="3"/>
  <c r="R890" i="3"/>
  <c r="S890" i="3"/>
  <c r="T890" i="3"/>
  <c r="U890" i="3"/>
  <c r="V890" i="3"/>
  <c r="W890" i="3"/>
  <c r="X890" i="3"/>
  <c r="Y890" i="3"/>
  <c r="Z890" i="3"/>
  <c r="N891" i="3"/>
  <c r="O891" i="3"/>
  <c r="P891" i="3"/>
  <c r="Q891" i="3"/>
  <c r="R891" i="3"/>
  <c r="S891" i="3"/>
  <c r="T891" i="3"/>
  <c r="U891" i="3"/>
  <c r="V891" i="3"/>
  <c r="W891" i="3"/>
  <c r="X891" i="3"/>
  <c r="Y891" i="3"/>
  <c r="Z891" i="3"/>
  <c r="N892" i="3"/>
  <c r="O892" i="3"/>
  <c r="P892" i="3"/>
  <c r="Q892" i="3"/>
  <c r="R892" i="3"/>
  <c r="S892" i="3"/>
  <c r="T892" i="3"/>
  <c r="U892" i="3"/>
  <c r="V892" i="3"/>
  <c r="W892" i="3"/>
  <c r="X892" i="3"/>
  <c r="Y892" i="3"/>
  <c r="Z892" i="3"/>
  <c r="N893" i="3"/>
  <c r="O893" i="3"/>
  <c r="P893" i="3"/>
  <c r="Q893" i="3"/>
  <c r="R893" i="3"/>
  <c r="S893" i="3"/>
  <c r="T893" i="3"/>
  <c r="U893" i="3"/>
  <c r="V893" i="3"/>
  <c r="W893" i="3"/>
  <c r="X893" i="3"/>
  <c r="Y893" i="3"/>
  <c r="Z893" i="3"/>
  <c r="N894" i="3"/>
  <c r="O894" i="3"/>
  <c r="P894" i="3"/>
  <c r="Q894" i="3"/>
  <c r="R894" i="3"/>
  <c r="S894" i="3"/>
  <c r="T894" i="3"/>
  <c r="U894" i="3"/>
  <c r="V894" i="3"/>
  <c r="W894" i="3"/>
  <c r="X894" i="3"/>
  <c r="Y894" i="3"/>
  <c r="Z894" i="3"/>
  <c r="N895" i="3"/>
  <c r="O895" i="3"/>
  <c r="P895" i="3"/>
  <c r="Q895" i="3"/>
  <c r="R895" i="3"/>
  <c r="S895" i="3"/>
  <c r="T895" i="3"/>
  <c r="U895" i="3"/>
  <c r="V895" i="3"/>
  <c r="W895" i="3"/>
  <c r="X895" i="3"/>
  <c r="Y895" i="3"/>
  <c r="Z895" i="3"/>
  <c r="N896" i="3"/>
  <c r="O896" i="3"/>
  <c r="P896" i="3"/>
  <c r="Q896" i="3"/>
  <c r="R896" i="3"/>
  <c r="S896" i="3"/>
  <c r="T896" i="3"/>
  <c r="U896" i="3"/>
  <c r="V896" i="3"/>
  <c r="W896" i="3"/>
  <c r="X896" i="3"/>
  <c r="Y896" i="3"/>
  <c r="Z896" i="3"/>
  <c r="N897" i="3"/>
  <c r="O897" i="3"/>
  <c r="P897" i="3"/>
  <c r="Q897" i="3"/>
  <c r="R897" i="3"/>
  <c r="S897" i="3"/>
  <c r="T897" i="3"/>
  <c r="U897" i="3"/>
  <c r="V897" i="3"/>
  <c r="W897" i="3"/>
  <c r="X897" i="3"/>
  <c r="Y897" i="3"/>
  <c r="Z897" i="3"/>
  <c r="N898" i="3"/>
  <c r="O898" i="3"/>
  <c r="P898" i="3"/>
  <c r="Q898" i="3"/>
  <c r="R898" i="3"/>
  <c r="S898" i="3"/>
  <c r="T898" i="3"/>
  <c r="U898" i="3"/>
  <c r="V898" i="3"/>
  <c r="W898" i="3"/>
  <c r="X898" i="3"/>
  <c r="Y898" i="3"/>
  <c r="Z898" i="3"/>
  <c r="N899" i="3"/>
  <c r="O899" i="3"/>
  <c r="P899" i="3"/>
  <c r="Q899" i="3"/>
  <c r="R899" i="3"/>
  <c r="S899" i="3"/>
  <c r="T899" i="3"/>
  <c r="U899" i="3"/>
  <c r="V899" i="3"/>
  <c r="W899" i="3"/>
  <c r="X899" i="3"/>
  <c r="Y899" i="3"/>
  <c r="Z899" i="3"/>
  <c r="N900" i="3"/>
  <c r="O900" i="3"/>
  <c r="P900" i="3"/>
  <c r="Q900" i="3"/>
  <c r="R900" i="3"/>
  <c r="S900" i="3"/>
  <c r="T900" i="3"/>
  <c r="U900" i="3"/>
  <c r="V900" i="3"/>
  <c r="W900" i="3"/>
  <c r="X900" i="3"/>
  <c r="Y900" i="3"/>
  <c r="Z900" i="3"/>
  <c r="N901" i="3"/>
  <c r="O901" i="3"/>
  <c r="P901" i="3"/>
  <c r="Q901" i="3"/>
  <c r="R901" i="3"/>
  <c r="S901" i="3"/>
  <c r="T901" i="3"/>
  <c r="U901" i="3"/>
  <c r="V901" i="3"/>
  <c r="W901" i="3"/>
  <c r="X901" i="3"/>
  <c r="Y901" i="3"/>
  <c r="Z901" i="3"/>
  <c r="N902" i="3"/>
  <c r="O902" i="3"/>
  <c r="P902" i="3"/>
  <c r="Q902" i="3"/>
  <c r="R902" i="3"/>
  <c r="S902" i="3"/>
  <c r="T902" i="3"/>
  <c r="U902" i="3"/>
  <c r="V902" i="3"/>
  <c r="W902" i="3"/>
  <c r="X902" i="3"/>
  <c r="Y902" i="3"/>
  <c r="Z902" i="3"/>
  <c r="N903" i="3"/>
  <c r="O903" i="3"/>
  <c r="P903" i="3"/>
  <c r="Q903" i="3"/>
  <c r="R903" i="3"/>
  <c r="S903" i="3"/>
  <c r="T903" i="3"/>
  <c r="U903" i="3"/>
  <c r="V903" i="3"/>
  <c r="W903" i="3"/>
  <c r="X903" i="3"/>
  <c r="Y903" i="3"/>
  <c r="Z903" i="3"/>
  <c r="N904" i="3"/>
  <c r="O904" i="3"/>
  <c r="P904" i="3"/>
  <c r="Q904" i="3"/>
  <c r="R904" i="3"/>
  <c r="S904" i="3"/>
  <c r="T904" i="3"/>
  <c r="U904" i="3"/>
  <c r="V904" i="3"/>
  <c r="W904" i="3"/>
  <c r="X904" i="3"/>
  <c r="Y904" i="3"/>
  <c r="Z904" i="3"/>
  <c r="N905" i="3"/>
  <c r="O905" i="3"/>
  <c r="P905" i="3"/>
  <c r="Q905" i="3"/>
  <c r="R905" i="3"/>
  <c r="S905" i="3"/>
  <c r="T905" i="3"/>
  <c r="U905" i="3"/>
  <c r="V905" i="3"/>
  <c r="W905" i="3"/>
  <c r="X905" i="3"/>
  <c r="Y905" i="3"/>
  <c r="Z905" i="3"/>
  <c r="N906" i="3"/>
  <c r="O906" i="3"/>
  <c r="P906" i="3"/>
  <c r="Q906" i="3"/>
  <c r="R906" i="3"/>
  <c r="S906" i="3"/>
  <c r="T906" i="3"/>
  <c r="U906" i="3"/>
  <c r="V906" i="3"/>
  <c r="W906" i="3"/>
  <c r="X906" i="3"/>
  <c r="Y906" i="3"/>
  <c r="Z906" i="3"/>
  <c r="N907" i="3"/>
  <c r="O907" i="3"/>
  <c r="P907" i="3"/>
  <c r="Q907" i="3"/>
  <c r="R907" i="3"/>
  <c r="S907" i="3"/>
  <c r="T907" i="3"/>
  <c r="U907" i="3"/>
  <c r="V907" i="3"/>
  <c r="W907" i="3"/>
  <c r="X907" i="3"/>
  <c r="Y907" i="3"/>
  <c r="Z907" i="3"/>
  <c r="N908" i="3"/>
  <c r="O908" i="3"/>
  <c r="P908" i="3"/>
  <c r="Q908" i="3"/>
  <c r="R908" i="3"/>
  <c r="S908" i="3"/>
  <c r="T908" i="3"/>
  <c r="U908" i="3"/>
  <c r="V908" i="3"/>
  <c r="W908" i="3"/>
  <c r="X908" i="3"/>
  <c r="Y908" i="3"/>
  <c r="Z908" i="3"/>
  <c r="N909" i="3"/>
  <c r="O909" i="3"/>
  <c r="P909" i="3"/>
  <c r="Q909" i="3"/>
  <c r="R909" i="3"/>
  <c r="S909" i="3"/>
  <c r="T909" i="3"/>
  <c r="U909" i="3"/>
  <c r="V909" i="3"/>
  <c r="W909" i="3"/>
  <c r="X909" i="3"/>
  <c r="Y909" i="3"/>
  <c r="Z909" i="3"/>
  <c r="N910" i="3"/>
  <c r="O910" i="3"/>
  <c r="P910" i="3"/>
  <c r="Q910" i="3"/>
  <c r="R910" i="3"/>
  <c r="S910" i="3"/>
  <c r="T910" i="3"/>
  <c r="U910" i="3"/>
  <c r="V910" i="3"/>
  <c r="W910" i="3"/>
  <c r="X910" i="3"/>
  <c r="Y910" i="3"/>
  <c r="Z910" i="3"/>
  <c r="N911" i="3"/>
  <c r="O911" i="3"/>
  <c r="P911" i="3"/>
  <c r="Q911" i="3"/>
  <c r="R911" i="3"/>
  <c r="S911" i="3"/>
  <c r="T911" i="3"/>
  <c r="U911" i="3"/>
  <c r="V911" i="3"/>
  <c r="W911" i="3"/>
  <c r="X911" i="3"/>
  <c r="Y911" i="3"/>
  <c r="Z911" i="3"/>
  <c r="N912" i="3"/>
  <c r="O912" i="3"/>
  <c r="P912" i="3"/>
  <c r="Q912" i="3"/>
  <c r="R912" i="3"/>
  <c r="S912" i="3"/>
  <c r="T912" i="3"/>
  <c r="U912" i="3"/>
  <c r="V912" i="3"/>
  <c r="W912" i="3"/>
  <c r="X912" i="3"/>
  <c r="Y912" i="3"/>
  <c r="Z912" i="3"/>
  <c r="N913" i="3"/>
  <c r="O913" i="3"/>
  <c r="P913" i="3"/>
  <c r="Q913" i="3"/>
  <c r="R913" i="3"/>
  <c r="S913" i="3"/>
  <c r="T913" i="3"/>
  <c r="U913" i="3"/>
  <c r="V913" i="3"/>
  <c r="W913" i="3"/>
  <c r="X913" i="3"/>
  <c r="Y913" i="3"/>
  <c r="Z913" i="3"/>
  <c r="N914" i="3"/>
  <c r="O914" i="3"/>
  <c r="P914" i="3"/>
  <c r="Q914" i="3"/>
  <c r="R914" i="3"/>
  <c r="S914" i="3"/>
  <c r="T914" i="3"/>
  <c r="U914" i="3"/>
  <c r="V914" i="3"/>
  <c r="W914" i="3"/>
  <c r="X914" i="3"/>
  <c r="Y914" i="3"/>
  <c r="Z914" i="3"/>
  <c r="N915" i="3"/>
  <c r="O915" i="3"/>
  <c r="P915" i="3"/>
  <c r="Q915" i="3"/>
  <c r="R915" i="3"/>
  <c r="S915" i="3"/>
  <c r="T915" i="3"/>
  <c r="U915" i="3"/>
  <c r="V915" i="3"/>
  <c r="W915" i="3"/>
  <c r="X915" i="3"/>
  <c r="Y915" i="3"/>
  <c r="Z915" i="3"/>
  <c r="N916" i="3"/>
  <c r="O916" i="3"/>
  <c r="P916" i="3"/>
  <c r="Q916" i="3"/>
  <c r="R916" i="3"/>
  <c r="S916" i="3"/>
  <c r="T916" i="3"/>
  <c r="U916" i="3"/>
  <c r="V916" i="3"/>
  <c r="W916" i="3"/>
  <c r="X916" i="3"/>
  <c r="Y916" i="3"/>
  <c r="Z916" i="3"/>
  <c r="N917" i="3"/>
  <c r="O917" i="3"/>
  <c r="P917" i="3"/>
  <c r="Q917" i="3"/>
  <c r="R917" i="3"/>
  <c r="S917" i="3"/>
  <c r="T917" i="3"/>
  <c r="U917" i="3"/>
  <c r="V917" i="3"/>
  <c r="W917" i="3"/>
  <c r="X917" i="3"/>
  <c r="Y917" i="3"/>
  <c r="Z917" i="3"/>
  <c r="N918" i="3"/>
  <c r="O918" i="3"/>
  <c r="P918" i="3"/>
  <c r="Q918" i="3"/>
  <c r="R918" i="3"/>
  <c r="S918" i="3"/>
  <c r="T918" i="3"/>
  <c r="U918" i="3"/>
  <c r="V918" i="3"/>
  <c r="W918" i="3"/>
  <c r="X918" i="3"/>
  <c r="Y918" i="3"/>
  <c r="Z918" i="3"/>
  <c r="N919" i="3"/>
  <c r="O919" i="3"/>
  <c r="P919" i="3"/>
  <c r="Q919" i="3"/>
  <c r="R919" i="3"/>
  <c r="S919" i="3"/>
  <c r="T919" i="3"/>
  <c r="U919" i="3"/>
  <c r="V919" i="3"/>
  <c r="W919" i="3"/>
  <c r="X919" i="3"/>
  <c r="Y919" i="3"/>
  <c r="Z919" i="3"/>
  <c r="N920" i="3"/>
  <c r="O920" i="3"/>
  <c r="P920" i="3"/>
  <c r="Q920" i="3"/>
  <c r="R920" i="3"/>
  <c r="S920" i="3"/>
  <c r="T920" i="3"/>
  <c r="U920" i="3"/>
  <c r="V920" i="3"/>
  <c r="W920" i="3"/>
  <c r="X920" i="3"/>
  <c r="Y920" i="3"/>
  <c r="Z920" i="3"/>
  <c r="N921" i="3"/>
  <c r="O921" i="3"/>
  <c r="P921" i="3"/>
  <c r="Q921" i="3"/>
  <c r="R921" i="3"/>
  <c r="S921" i="3"/>
  <c r="T921" i="3"/>
  <c r="U921" i="3"/>
  <c r="V921" i="3"/>
  <c r="W921" i="3"/>
  <c r="X921" i="3"/>
  <c r="Y921" i="3"/>
  <c r="Z921" i="3"/>
  <c r="N922" i="3"/>
  <c r="O922" i="3"/>
  <c r="P922" i="3"/>
  <c r="Q922" i="3"/>
  <c r="R922" i="3"/>
  <c r="S922" i="3"/>
  <c r="T922" i="3"/>
  <c r="U922" i="3"/>
  <c r="V922" i="3"/>
  <c r="W922" i="3"/>
  <c r="X922" i="3"/>
  <c r="Y922" i="3"/>
  <c r="Z922" i="3"/>
  <c r="N923" i="3"/>
  <c r="O923" i="3"/>
  <c r="P923" i="3"/>
  <c r="Q923" i="3"/>
  <c r="R923" i="3"/>
  <c r="S923" i="3"/>
  <c r="T923" i="3"/>
  <c r="U923" i="3"/>
  <c r="V923" i="3"/>
  <c r="W923" i="3"/>
  <c r="X923" i="3"/>
  <c r="Y923" i="3"/>
  <c r="Z923" i="3"/>
  <c r="N924" i="3"/>
  <c r="O924" i="3"/>
  <c r="P924" i="3"/>
  <c r="Q924" i="3"/>
  <c r="R924" i="3"/>
  <c r="S924" i="3"/>
  <c r="T924" i="3"/>
  <c r="U924" i="3"/>
  <c r="V924" i="3"/>
  <c r="W924" i="3"/>
  <c r="X924" i="3"/>
  <c r="Y924" i="3"/>
  <c r="Z924" i="3"/>
  <c r="N925" i="3"/>
  <c r="O925" i="3"/>
  <c r="P925" i="3"/>
  <c r="Q925" i="3"/>
  <c r="R925" i="3"/>
  <c r="S925" i="3"/>
  <c r="T925" i="3"/>
  <c r="U925" i="3"/>
  <c r="V925" i="3"/>
  <c r="W925" i="3"/>
  <c r="X925" i="3"/>
  <c r="Y925" i="3"/>
  <c r="Z925" i="3"/>
  <c r="N926" i="3"/>
  <c r="O926" i="3"/>
  <c r="P926" i="3"/>
  <c r="Q926" i="3"/>
  <c r="R926" i="3"/>
  <c r="S926" i="3"/>
  <c r="T926" i="3"/>
  <c r="U926" i="3"/>
  <c r="V926" i="3"/>
  <c r="W926" i="3"/>
  <c r="X926" i="3"/>
  <c r="Y926" i="3"/>
  <c r="Z926" i="3"/>
  <c r="N927" i="3"/>
  <c r="O927" i="3"/>
  <c r="P927" i="3"/>
  <c r="Q927" i="3"/>
  <c r="R927" i="3"/>
  <c r="S927" i="3"/>
  <c r="T927" i="3"/>
  <c r="U927" i="3"/>
  <c r="V927" i="3"/>
  <c r="W927" i="3"/>
  <c r="X927" i="3"/>
  <c r="Y927" i="3"/>
  <c r="Z927" i="3"/>
  <c r="N928" i="3"/>
  <c r="O928" i="3"/>
  <c r="P928" i="3"/>
  <c r="Q928" i="3"/>
  <c r="R928" i="3"/>
  <c r="S928" i="3"/>
  <c r="T928" i="3"/>
  <c r="U928" i="3"/>
  <c r="V928" i="3"/>
  <c r="W928" i="3"/>
  <c r="X928" i="3"/>
  <c r="Y928" i="3"/>
  <c r="Z928" i="3"/>
  <c r="N929" i="3"/>
  <c r="O929" i="3"/>
  <c r="P929" i="3"/>
  <c r="Q929" i="3"/>
  <c r="R929" i="3"/>
  <c r="S929" i="3"/>
  <c r="T929" i="3"/>
  <c r="U929" i="3"/>
  <c r="V929" i="3"/>
  <c r="W929" i="3"/>
  <c r="X929" i="3"/>
  <c r="Y929" i="3"/>
  <c r="Z929" i="3"/>
  <c r="N930" i="3"/>
  <c r="O930" i="3"/>
  <c r="P930" i="3"/>
  <c r="Q930" i="3"/>
  <c r="R930" i="3"/>
  <c r="S930" i="3"/>
  <c r="T930" i="3"/>
  <c r="U930" i="3"/>
  <c r="V930" i="3"/>
  <c r="W930" i="3"/>
  <c r="X930" i="3"/>
  <c r="Y930" i="3"/>
  <c r="Z930" i="3"/>
  <c r="N931" i="3"/>
  <c r="O931" i="3"/>
  <c r="P931" i="3"/>
  <c r="Q931" i="3"/>
  <c r="R931" i="3"/>
  <c r="S931" i="3"/>
  <c r="T931" i="3"/>
  <c r="U931" i="3"/>
  <c r="V931" i="3"/>
  <c r="W931" i="3"/>
  <c r="X931" i="3"/>
  <c r="Y931" i="3"/>
  <c r="Z931" i="3"/>
  <c r="N932" i="3"/>
  <c r="O932" i="3"/>
  <c r="P932" i="3"/>
  <c r="Q932" i="3"/>
  <c r="R932" i="3"/>
  <c r="S932" i="3"/>
  <c r="T932" i="3"/>
  <c r="U932" i="3"/>
  <c r="V932" i="3"/>
  <c r="W932" i="3"/>
  <c r="X932" i="3"/>
  <c r="Y932" i="3"/>
  <c r="Z932" i="3"/>
  <c r="N933" i="3"/>
  <c r="O933" i="3"/>
  <c r="P933" i="3"/>
  <c r="Q933" i="3"/>
  <c r="R933" i="3"/>
  <c r="S933" i="3"/>
  <c r="T933" i="3"/>
  <c r="U933" i="3"/>
  <c r="V933" i="3"/>
  <c r="W933" i="3"/>
  <c r="X933" i="3"/>
  <c r="Y933" i="3"/>
  <c r="Z933" i="3"/>
  <c r="N934" i="3"/>
  <c r="O934" i="3"/>
  <c r="P934" i="3"/>
  <c r="Q934" i="3"/>
  <c r="R934" i="3"/>
  <c r="S934" i="3"/>
  <c r="T934" i="3"/>
  <c r="U934" i="3"/>
  <c r="V934" i="3"/>
  <c r="W934" i="3"/>
  <c r="X934" i="3"/>
  <c r="Y934" i="3"/>
  <c r="Z934" i="3"/>
  <c r="N935" i="3"/>
  <c r="O935" i="3"/>
  <c r="P935" i="3"/>
  <c r="Q935" i="3"/>
  <c r="R935" i="3"/>
  <c r="S935" i="3"/>
  <c r="T935" i="3"/>
  <c r="U935" i="3"/>
  <c r="V935" i="3"/>
  <c r="W935" i="3"/>
  <c r="X935" i="3"/>
  <c r="Y935" i="3"/>
  <c r="Z935" i="3"/>
  <c r="N936" i="3"/>
  <c r="O936" i="3"/>
  <c r="P936" i="3"/>
  <c r="Q936" i="3"/>
  <c r="R936" i="3"/>
  <c r="S936" i="3"/>
  <c r="T936" i="3"/>
  <c r="U936" i="3"/>
  <c r="V936" i="3"/>
  <c r="W936" i="3"/>
  <c r="X936" i="3"/>
  <c r="Y936" i="3"/>
  <c r="Z936" i="3"/>
  <c r="N937" i="3"/>
  <c r="O937" i="3"/>
  <c r="P937" i="3"/>
  <c r="Q937" i="3"/>
  <c r="R937" i="3"/>
  <c r="S937" i="3"/>
  <c r="T937" i="3"/>
  <c r="U937" i="3"/>
  <c r="V937" i="3"/>
  <c r="W937" i="3"/>
  <c r="X937" i="3"/>
  <c r="Y937" i="3"/>
  <c r="Z937" i="3"/>
  <c r="N938" i="3"/>
  <c r="O938" i="3"/>
  <c r="P938" i="3"/>
  <c r="Q938" i="3"/>
  <c r="R938" i="3"/>
  <c r="S938" i="3"/>
  <c r="T938" i="3"/>
  <c r="U938" i="3"/>
  <c r="V938" i="3"/>
  <c r="W938" i="3"/>
  <c r="X938" i="3"/>
  <c r="Y938" i="3"/>
  <c r="Z938" i="3"/>
  <c r="N939" i="3"/>
  <c r="O939" i="3"/>
  <c r="P939" i="3"/>
  <c r="Q939" i="3"/>
  <c r="R939" i="3"/>
  <c r="S939" i="3"/>
  <c r="T939" i="3"/>
  <c r="U939" i="3"/>
  <c r="V939" i="3"/>
  <c r="W939" i="3"/>
  <c r="X939" i="3"/>
  <c r="Y939" i="3"/>
  <c r="Z939" i="3"/>
  <c r="N940" i="3"/>
  <c r="O940" i="3"/>
  <c r="P940" i="3"/>
  <c r="N941" i="3"/>
  <c r="O941" i="3"/>
  <c r="P941" i="3"/>
  <c r="Q941" i="3"/>
  <c r="R941" i="3"/>
  <c r="S941" i="3"/>
  <c r="T941" i="3"/>
  <c r="U941" i="3"/>
  <c r="V941" i="3"/>
  <c r="W941" i="3"/>
  <c r="X941" i="3"/>
  <c r="Y941" i="3"/>
  <c r="Z941" i="3"/>
  <c r="N942" i="3"/>
  <c r="O942" i="3"/>
  <c r="P942" i="3"/>
  <c r="Q942" i="3"/>
  <c r="R942" i="3"/>
  <c r="S942" i="3"/>
  <c r="T942" i="3"/>
  <c r="U942" i="3"/>
  <c r="V942" i="3"/>
  <c r="W942" i="3"/>
  <c r="X942" i="3"/>
  <c r="Y942" i="3"/>
  <c r="Z942" i="3"/>
  <c r="N943" i="3"/>
  <c r="O943" i="3"/>
  <c r="P943" i="3"/>
  <c r="Q943" i="3"/>
  <c r="R943" i="3"/>
  <c r="S943" i="3"/>
  <c r="T943" i="3"/>
  <c r="U943" i="3"/>
  <c r="V943" i="3"/>
  <c r="W943" i="3"/>
  <c r="X943" i="3"/>
  <c r="Y943" i="3"/>
  <c r="Z943" i="3"/>
  <c r="N944" i="3"/>
  <c r="O944" i="3"/>
  <c r="P944" i="3"/>
  <c r="Q944" i="3"/>
  <c r="R944" i="3"/>
  <c r="S944" i="3"/>
  <c r="T944" i="3"/>
  <c r="U944" i="3"/>
  <c r="V944" i="3"/>
  <c r="W944" i="3"/>
  <c r="X944" i="3"/>
  <c r="Y944" i="3"/>
  <c r="Z944" i="3"/>
  <c r="N945" i="3"/>
  <c r="O945" i="3"/>
  <c r="P945" i="3"/>
  <c r="Q945" i="3"/>
  <c r="R945" i="3"/>
  <c r="S945" i="3"/>
  <c r="T945" i="3"/>
  <c r="U945" i="3"/>
  <c r="V945" i="3"/>
  <c r="W945" i="3"/>
  <c r="X945" i="3"/>
  <c r="Y945" i="3"/>
  <c r="Z945" i="3"/>
  <c r="N946" i="3"/>
  <c r="O946" i="3"/>
  <c r="P946" i="3"/>
  <c r="Q946" i="3"/>
  <c r="R946" i="3"/>
  <c r="S946" i="3"/>
  <c r="T946" i="3"/>
  <c r="U946" i="3"/>
  <c r="V946" i="3"/>
  <c r="W946" i="3"/>
  <c r="X946" i="3"/>
  <c r="Y946" i="3"/>
  <c r="Z946" i="3"/>
  <c r="N947" i="3"/>
  <c r="O947" i="3"/>
  <c r="P947" i="3"/>
  <c r="Q947" i="3"/>
  <c r="R947" i="3"/>
  <c r="S947" i="3"/>
  <c r="T947" i="3"/>
  <c r="U947" i="3"/>
  <c r="V947" i="3"/>
  <c r="W947" i="3"/>
  <c r="X947" i="3"/>
  <c r="Y947" i="3"/>
  <c r="Z947" i="3"/>
  <c r="N948" i="3"/>
  <c r="O948" i="3"/>
  <c r="P948" i="3"/>
  <c r="Q948" i="3"/>
  <c r="R948" i="3"/>
  <c r="S948" i="3"/>
  <c r="T948" i="3"/>
  <c r="U948" i="3"/>
  <c r="V948" i="3"/>
  <c r="W948" i="3"/>
  <c r="X948" i="3"/>
  <c r="Y948" i="3"/>
  <c r="Z948" i="3"/>
  <c r="N949" i="3"/>
  <c r="O949" i="3"/>
  <c r="P949" i="3"/>
  <c r="Q949" i="3"/>
  <c r="R949" i="3"/>
  <c r="S949" i="3"/>
  <c r="T949" i="3"/>
  <c r="U949" i="3"/>
  <c r="V949" i="3"/>
  <c r="W949" i="3"/>
  <c r="X949" i="3"/>
  <c r="Y949" i="3"/>
  <c r="Z949" i="3"/>
  <c r="N950" i="3"/>
  <c r="O950" i="3"/>
  <c r="P950" i="3"/>
  <c r="Q950" i="3"/>
  <c r="R950" i="3"/>
  <c r="S950" i="3"/>
  <c r="T950" i="3"/>
  <c r="U950" i="3"/>
  <c r="V950" i="3"/>
  <c r="W950" i="3"/>
  <c r="X950" i="3"/>
  <c r="Y950" i="3"/>
  <c r="Z950" i="3"/>
  <c r="N951" i="3"/>
  <c r="O951" i="3"/>
  <c r="P951" i="3"/>
  <c r="Q951" i="3"/>
  <c r="R951" i="3"/>
  <c r="S951" i="3"/>
  <c r="T951" i="3"/>
  <c r="U951" i="3"/>
  <c r="V951" i="3"/>
  <c r="W951" i="3"/>
  <c r="X951" i="3"/>
  <c r="Y951" i="3"/>
  <c r="Z951" i="3"/>
  <c r="N952" i="3"/>
  <c r="O952" i="3"/>
  <c r="P952" i="3"/>
  <c r="Q952" i="3"/>
  <c r="R952" i="3"/>
  <c r="S952" i="3"/>
  <c r="T952" i="3"/>
  <c r="U952" i="3"/>
  <c r="V952" i="3"/>
  <c r="W952" i="3"/>
  <c r="X952" i="3"/>
  <c r="Y952" i="3"/>
  <c r="Z952" i="3"/>
  <c r="N953" i="3"/>
  <c r="O953" i="3"/>
  <c r="P953" i="3"/>
  <c r="Q953" i="3"/>
  <c r="R953" i="3"/>
  <c r="S953" i="3"/>
  <c r="T953" i="3"/>
  <c r="U953" i="3"/>
  <c r="V953" i="3"/>
  <c r="W953" i="3"/>
  <c r="X953" i="3"/>
  <c r="Y953" i="3"/>
  <c r="Z953" i="3"/>
  <c r="N954" i="3"/>
  <c r="O954" i="3"/>
  <c r="P954" i="3"/>
  <c r="Q954" i="3"/>
  <c r="R954" i="3"/>
  <c r="S954" i="3"/>
  <c r="T954" i="3"/>
  <c r="U954" i="3"/>
  <c r="V954" i="3"/>
  <c r="W954" i="3"/>
  <c r="X954" i="3"/>
  <c r="Y954" i="3"/>
  <c r="Z954" i="3"/>
  <c r="N955" i="3"/>
  <c r="O955" i="3"/>
  <c r="P955" i="3"/>
  <c r="Q955" i="3"/>
  <c r="R955" i="3"/>
  <c r="S955" i="3"/>
  <c r="T955" i="3"/>
  <c r="U955" i="3"/>
  <c r="V955" i="3"/>
  <c r="W955" i="3"/>
  <c r="X955" i="3"/>
  <c r="Y955" i="3"/>
  <c r="Z955" i="3"/>
  <c r="N956" i="3"/>
  <c r="O956" i="3"/>
  <c r="P956" i="3"/>
  <c r="Q956" i="3"/>
  <c r="R956" i="3"/>
  <c r="S956" i="3"/>
  <c r="T956" i="3"/>
  <c r="U956" i="3"/>
  <c r="V956" i="3"/>
  <c r="W956" i="3"/>
  <c r="X956" i="3"/>
  <c r="Y956" i="3"/>
  <c r="Z956" i="3"/>
  <c r="N957" i="3"/>
  <c r="O957" i="3"/>
  <c r="P957" i="3"/>
  <c r="Q957" i="3"/>
  <c r="R957" i="3"/>
  <c r="S957" i="3"/>
  <c r="T957" i="3"/>
  <c r="U957" i="3"/>
  <c r="V957" i="3"/>
  <c r="W957" i="3"/>
  <c r="X957" i="3"/>
  <c r="Y957" i="3"/>
  <c r="Z957" i="3"/>
  <c r="N958" i="3"/>
  <c r="O958" i="3"/>
  <c r="P958" i="3"/>
  <c r="Q958" i="3"/>
  <c r="R958" i="3"/>
  <c r="S958" i="3"/>
  <c r="T958" i="3"/>
  <c r="U958" i="3"/>
  <c r="V958" i="3"/>
  <c r="W958" i="3"/>
  <c r="X958" i="3"/>
  <c r="Y958" i="3"/>
  <c r="Z958" i="3"/>
  <c r="N959" i="3"/>
  <c r="O959" i="3"/>
  <c r="P959" i="3"/>
  <c r="Q959" i="3"/>
  <c r="R959" i="3"/>
  <c r="S959" i="3"/>
  <c r="T959" i="3"/>
  <c r="U959" i="3"/>
  <c r="V959" i="3"/>
  <c r="W959" i="3"/>
  <c r="X959" i="3"/>
  <c r="Y959" i="3"/>
  <c r="Z959" i="3"/>
  <c r="N960" i="3"/>
  <c r="O960" i="3"/>
  <c r="P960" i="3"/>
  <c r="Q960" i="3"/>
  <c r="R960" i="3"/>
  <c r="S960" i="3"/>
  <c r="T960" i="3"/>
  <c r="U960" i="3"/>
  <c r="V960" i="3"/>
  <c r="W960" i="3"/>
  <c r="X960" i="3"/>
  <c r="Y960" i="3"/>
  <c r="Z960" i="3"/>
  <c r="N961" i="3"/>
  <c r="O961" i="3"/>
  <c r="P961" i="3"/>
  <c r="Q961" i="3"/>
  <c r="R961" i="3"/>
  <c r="S961" i="3"/>
  <c r="T961" i="3"/>
  <c r="U961" i="3"/>
  <c r="V961" i="3"/>
  <c r="W961" i="3"/>
  <c r="X961" i="3"/>
  <c r="Y961" i="3"/>
  <c r="Z961" i="3"/>
  <c r="N962" i="3"/>
  <c r="O962" i="3"/>
  <c r="P962" i="3"/>
  <c r="Q962" i="3"/>
  <c r="R962" i="3"/>
  <c r="S962" i="3"/>
  <c r="T962" i="3"/>
  <c r="U962" i="3"/>
  <c r="V962" i="3"/>
  <c r="W962" i="3"/>
  <c r="X962" i="3"/>
  <c r="Y962" i="3"/>
  <c r="Z962" i="3"/>
  <c r="N963" i="3"/>
  <c r="O963" i="3"/>
  <c r="P963" i="3"/>
  <c r="Q963" i="3"/>
  <c r="R963" i="3"/>
  <c r="S963" i="3"/>
  <c r="T963" i="3"/>
  <c r="U963" i="3"/>
  <c r="V963" i="3"/>
  <c r="W963" i="3"/>
  <c r="X963" i="3"/>
  <c r="Y963" i="3"/>
  <c r="Z963" i="3"/>
  <c r="N964" i="3"/>
  <c r="O964" i="3"/>
  <c r="P964" i="3"/>
  <c r="Q964" i="3"/>
  <c r="R964" i="3"/>
  <c r="S964" i="3"/>
  <c r="T964" i="3"/>
  <c r="U964" i="3"/>
  <c r="V964" i="3"/>
  <c r="W964" i="3"/>
  <c r="X964" i="3"/>
  <c r="Y964" i="3"/>
  <c r="Z964" i="3"/>
  <c r="N965" i="3"/>
  <c r="O965" i="3"/>
  <c r="P965" i="3"/>
  <c r="Q965" i="3"/>
  <c r="R965" i="3"/>
  <c r="S965" i="3"/>
  <c r="T965" i="3"/>
  <c r="U965" i="3"/>
  <c r="V965" i="3"/>
  <c r="W965" i="3"/>
  <c r="X965" i="3"/>
  <c r="Y965" i="3"/>
  <c r="Z965" i="3"/>
  <c r="N966" i="3"/>
  <c r="O966" i="3"/>
  <c r="P966" i="3"/>
  <c r="Q966" i="3"/>
  <c r="R966" i="3"/>
  <c r="S966" i="3"/>
  <c r="T966" i="3"/>
  <c r="U966" i="3"/>
  <c r="V966" i="3"/>
  <c r="W966" i="3"/>
  <c r="X966" i="3"/>
  <c r="Y966" i="3"/>
  <c r="Z966" i="3"/>
  <c r="N967" i="3"/>
  <c r="O967" i="3"/>
  <c r="P967" i="3"/>
  <c r="Q967" i="3"/>
  <c r="R967" i="3"/>
  <c r="S967" i="3"/>
  <c r="T967" i="3"/>
  <c r="U967" i="3"/>
  <c r="V967" i="3"/>
  <c r="W967" i="3"/>
  <c r="X967" i="3"/>
  <c r="Y967" i="3"/>
  <c r="Z967" i="3"/>
  <c r="N968" i="3"/>
  <c r="O968" i="3"/>
  <c r="P968" i="3"/>
  <c r="Q968" i="3"/>
  <c r="R968" i="3"/>
  <c r="S968" i="3"/>
  <c r="T968" i="3"/>
  <c r="U968" i="3"/>
  <c r="V968" i="3"/>
  <c r="W968" i="3"/>
  <c r="X968" i="3"/>
  <c r="Y968" i="3"/>
  <c r="Z968" i="3"/>
  <c r="N969" i="3"/>
  <c r="O969" i="3"/>
  <c r="P969" i="3"/>
  <c r="Q969" i="3"/>
  <c r="R969" i="3"/>
  <c r="S969" i="3"/>
  <c r="T969" i="3"/>
  <c r="U969" i="3"/>
  <c r="V969" i="3"/>
  <c r="W969" i="3"/>
  <c r="X969" i="3"/>
  <c r="Y969" i="3"/>
  <c r="Z969" i="3"/>
  <c r="N970" i="3"/>
  <c r="O970" i="3"/>
  <c r="P970" i="3"/>
  <c r="Q970" i="3"/>
  <c r="R970" i="3"/>
  <c r="S970" i="3"/>
  <c r="T970" i="3"/>
  <c r="U970" i="3"/>
  <c r="V970" i="3"/>
  <c r="W970" i="3"/>
  <c r="X970" i="3"/>
  <c r="Y970" i="3"/>
  <c r="Z970" i="3"/>
  <c r="N971" i="3"/>
  <c r="O971" i="3"/>
  <c r="P971" i="3"/>
  <c r="Q971" i="3"/>
  <c r="R971" i="3"/>
  <c r="S971" i="3"/>
  <c r="T971" i="3"/>
  <c r="U971" i="3"/>
  <c r="V971" i="3"/>
  <c r="W971" i="3"/>
  <c r="X971" i="3"/>
  <c r="Y971" i="3"/>
  <c r="Z971" i="3"/>
  <c r="N972" i="3"/>
  <c r="O972" i="3"/>
  <c r="P972" i="3"/>
  <c r="Q972" i="3"/>
  <c r="R972" i="3"/>
  <c r="S972" i="3"/>
  <c r="T972" i="3"/>
  <c r="U972" i="3"/>
  <c r="V972" i="3"/>
  <c r="W972" i="3"/>
  <c r="X972" i="3"/>
  <c r="Y972" i="3"/>
  <c r="Z972" i="3"/>
  <c r="N973" i="3"/>
  <c r="O973" i="3"/>
  <c r="P973" i="3"/>
  <c r="Q973" i="3"/>
  <c r="R973" i="3"/>
  <c r="S973" i="3"/>
  <c r="T973" i="3"/>
  <c r="U973" i="3"/>
  <c r="V973" i="3"/>
  <c r="W973" i="3"/>
  <c r="X973" i="3"/>
  <c r="Y973" i="3"/>
  <c r="Z973" i="3"/>
  <c r="N974" i="3"/>
  <c r="O974" i="3"/>
  <c r="P974" i="3"/>
  <c r="Q974" i="3"/>
  <c r="R974" i="3"/>
  <c r="S974" i="3"/>
  <c r="T974" i="3"/>
  <c r="U974" i="3"/>
  <c r="V974" i="3"/>
  <c r="W974" i="3"/>
  <c r="X974" i="3"/>
  <c r="Y974" i="3"/>
  <c r="Z974" i="3"/>
  <c r="N975" i="3"/>
  <c r="O975" i="3"/>
  <c r="P975" i="3"/>
  <c r="Q975" i="3"/>
  <c r="R975" i="3"/>
  <c r="S975" i="3"/>
  <c r="T975" i="3"/>
  <c r="U975" i="3"/>
  <c r="V975" i="3"/>
  <c r="W975" i="3"/>
  <c r="X975" i="3"/>
  <c r="Y975" i="3"/>
  <c r="Z975" i="3"/>
  <c r="N976" i="3"/>
  <c r="O976" i="3"/>
  <c r="P976" i="3"/>
  <c r="Q976" i="3"/>
  <c r="R976" i="3"/>
  <c r="S976" i="3"/>
  <c r="T976" i="3"/>
  <c r="U976" i="3"/>
  <c r="V976" i="3"/>
  <c r="W976" i="3"/>
  <c r="X976" i="3"/>
  <c r="Y976" i="3"/>
  <c r="Z976" i="3"/>
  <c r="N977" i="3"/>
  <c r="O977" i="3"/>
  <c r="P977" i="3"/>
  <c r="Q977" i="3"/>
  <c r="R977" i="3"/>
  <c r="S977" i="3"/>
  <c r="T977" i="3"/>
  <c r="U977" i="3"/>
  <c r="V977" i="3"/>
  <c r="W977" i="3"/>
  <c r="X977" i="3"/>
  <c r="Y977" i="3"/>
  <c r="Z977" i="3"/>
  <c r="N978" i="3"/>
  <c r="O978" i="3"/>
  <c r="P978" i="3"/>
  <c r="Q978" i="3"/>
  <c r="R978" i="3"/>
  <c r="S978" i="3"/>
  <c r="T978" i="3"/>
  <c r="U978" i="3"/>
  <c r="V978" i="3"/>
  <c r="W978" i="3"/>
  <c r="X978" i="3"/>
  <c r="Y978" i="3"/>
  <c r="Z978" i="3"/>
  <c r="N979" i="3"/>
  <c r="O979" i="3"/>
  <c r="P979" i="3"/>
  <c r="Q979" i="3"/>
  <c r="R979" i="3"/>
  <c r="S979" i="3"/>
  <c r="T979" i="3"/>
  <c r="U979" i="3"/>
  <c r="V979" i="3"/>
  <c r="W979" i="3"/>
  <c r="X979" i="3"/>
  <c r="Y979" i="3"/>
  <c r="Z979" i="3"/>
  <c r="N980" i="3"/>
  <c r="O980" i="3"/>
  <c r="P980" i="3"/>
  <c r="Q980" i="3"/>
  <c r="R980" i="3"/>
  <c r="S980" i="3"/>
  <c r="T980" i="3"/>
  <c r="U980" i="3"/>
  <c r="V980" i="3"/>
  <c r="W980" i="3"/>
  <c r="X980" i="3"/>
  <c r="Y980" i="3"/>
  <c r="Z980" i="3"/>
  <c r="N981" i="3"/>
  <c r="O981" i="3"/>
  <c r="P981" i="3"/>
  <c r="Q981" i="3"/>
  <c r="R981" i="3"/>
  <c r="S981" i="3"/>
  <c r="T981" i="3"/>
  <c r="U981" i="3"/>
  <c r="V981" i="3"/>
  <c r="W981" i="3"/>
  <c r="X981" i="3"/>
  <c r="Y981" i="3"/>
  <c r="Z981" i="3"/>
  <c r="N982" i="3"/>
  <c r="O982" i="3"/>
  <c r="P982" i="3"/>
  <c r="Q982" i="3"/>
  <c r="R982" i="3"/>
  <c r="S982" i="3"/>
  <c r="T982" i="3"/>
  <c r="U982" i="3"/>
  <c r="V982" i="3"/>
  <c r="W982" i="3"/>
  <c r="X982" i="3"/>
  <c r="Y982" i="3"/>
  <c r="Z982" i="3"/>
  <c r="N983" i="3"/>
  <c r="O983" i="3"/>
  <c r="P983" i="3"/>
  <c r="Q983" i="3"/>
  <c r="R983" i="3"/>
  <c r="S983" i="3"/>
  <c r="T983" i="3"/>
  <c r="U983" i="3"/>
  <c r="V983" i="3"/>
  <c r="W983" i="3"/>
  <c r="X983" i="3"/>
  <c r="Y983" i="3"/>
  <c r="Z983" i="3"/>
  <c r="N984" i="3"/>
  <c r="O984" i="3"/>
  <c r="P984" i="3"/>
  <c r="Q984" i="3"/>
  <c r="R984" i="3"/>
  <c r="S984" i="3"/>
  <c r="T984" i="3"/>
  <c r="U984" i="3"/>
  <c r="V984" i="3"/>
  <c r="W984" i="3"/>
  <c r="X984" i="3"/>
  <c r="Y984" i="3"/>
  <c r="Z984" i="3"/>
  <c r="N985" i="3"/>
  <c r="O985" i="3"/>
  <c r="P985" i="3"/>
  <c r="Q985" i="3"/>
  <c r="R985" i="3"/>
  <c r="S985" i="3"/>
  <c r="T985" i="3"/>
  <c r="U985" i="3"/>
  <c r="V985" i="3"/>
  <c r="W985" i="3"/>
  <c r="X985" i="3"/>
  <c r="Y985" i="3"/>
  <c r="Z985" i="3"/>
  <c r="N986" i="3"/>
  <c r="O986" i="3"/>
  <c r="P986" i="3"/>
  <c r="Q986" i="3"/>
  <c r="R986" i="3"/>
  <c r="S986" i="3"/>
  <c r="T986" i="3"/>
  <c r="U986" i="3"/>
  <c r="V986" i="3"/>
  <c r="W986" i="3"/>
  <c r="X986" i="3"/>
  <c r="Y986" i="3"/>
  <c r="Z986" i="3"/>
  <c r="N987" i="3"/>
  <c r="O987" i="3"/>
  <c r="P987" i="3"/>
  <c r="Q987" i="3"/>
  <c r="R987" i="3"/>
  <c r="S987" i="3"/>
  <c r="T987" i="3"/>
  <c r="U987" i="3"/>
  <c r="V987" i="3"/>
  <c r="W987" i="3"/>
  <c r="X987" i="3"/>
  <c r="Y987" i="3"/>
  <c r="Z987" i="3"/>
  <c r="N988" i="3"/>
  <c r="O988" i="3"/>
  <c r="P988" i="3"/>
  <c r="Q988" i="3"/>
  <c r="R988" i="3"/>
  <c r="S988" i="3"/>
  <c r="T988" i="3"/>
  <c r="U988" i="3"/>
  <c r="V988" i="3"/>
  <c r="W988" i="3"/>
  <c r="X988" i="3"/>
  <c r="Y988" i="3"/>
  <c r="Z988" i="3"/>
  <c r="N989" i="3"/>
  <c r="O989" i="3"/>
  <c r="P989" i="3"/>
  <c r="Q989" i="3"/>
  <c r="R989" i="3"/>
  <c r="S989" i="3"/>
  <c r="T989" i="3"/>
  <c r="U989" i="3"/>
  <c r="V989" i="3"/>
  <c r="W989" i="3"/>
  <c r="X989" i="3"/>
  <c r="Y989" i="3"/>
  <c r="Z989" i="3"/>
  <c r="N990" i="3"/>
  <c r="O990" i="3"/>
  <c r="P990" i="3"/>
  <c r="Q990" i="3"/>
  <c r="R990" i="3"/>
  <c r="S990" i="3"/>
  <c r="T990" i="3"/>
  <c r="U990" i="3"/>
  <c r="V990" i="3"/>
  <c r="W990" i="3"/>
  <c r="X990" i="3"/>
  <c r="Y990" i="3"/>
  <c r="Z990" i="3"/>
  <c r="N991" i="3"/>
  <c r="O991" i="3"/>
  <c r="P991" i="3"/>
  <c r="Q991" i="3"/>
  <c r="R991" i="3"/>
  <c r="S991" i="3"/>
  <c r="T991" i="3"/>
  <c r="U991" i="3"/>
  <c r="V991" i="3"/>
  <c r="W991" i="3"/>
  <c r="X991" i="3"/>
  <c r="Y991" i="3"/>
  <c r="Z991" i="3"/>
  <c r="N992" i="3"/>
  <c r="O992" i="3"/>
  <c r="P992" i="3"/>
  <c r="Q992" i="3"/>
  <c r="R992" i="3"/>
  <c r="S992" i="3"/>
  <c r="T992" i="3"/>
  <c r="U992" i="3"/>
  <c r="V992" i="3"/>
  <c r="W992" i="3"/>
  <c r="X992" i="3"/>
  <c r="Y992" i="3"/>
  <c r="Z992" i="3"/>
  <c r="N993" i="3"/>
  <c r="O993" i="3"/>
  <c r="P993" i="3"/>
  <c r="Q993" i="3"/>
  <c r="R993" i="3"/>
  <c r="S993" i="3"/>
  <c r="T993" i="3"/>
  <c r="U993" i="3"/>
  <c r="V993" i="3"/>
  <c r="W993" i="3"/>
  <c r="X993" i="3"/>
  <c r="Y993" i="3"/>
  <c r="Z993" i="3"/>
  <c r="N994" i="3"/>
  <c r="O994" i="3"/>
  <c r="P994" i="3"/>
  <c r="Q994" i="3"/>
  <c r="R994" i="3"/>
  <c r="S994" i="3"/>
  <c r="T994" i="3"/>
  <c r="U994" i="3"/>
  <c r="V994" i="3"/>
  <c r="W994" i="3"/>
  <c r="X994" i="3"/>
  <c r="Y994" i="3"/>
  <c r="Z994" i="3"/>
  <c r="N995" i="3"/>
  <c r="O995" i="3"/>
  <c r="P995" i="3"/>
  <c r="Q995" i="3"/>
  <c r="R995" i="3"/>
  <c r="S995" i="3"/>
  <c r="T995" i="3"/>
  <c r="U995" i="3"/>
  <c r="V995" i="3"/>
  <c r="W995" i="3"/>
  <c r="X995" i="3"/>
  <c r="Y995" i="3"/>
  <c r="Z995" i="3"/>
  <c r="N996" i="3"/>
  <c r="O996" i="3"/>
  <c r="P996" i="3"/>
  <c r="Q996" i="3"/>
  <c r="R996" i="3"/>
  <c r="S996" i="3"/>
  <c r="T996" i="3"/>
  <c r="U996" i="3"/>
  <c r="V996" i="3"/>
  <c r="W996" i="3"/>
  <c r="X996" i="3"/>
  <c r="Y996" i="3"/>
  <c r="Z996" i="3"/>
  <c r="N997" i="3"/>
  <c r="O997" i="3"/>
  <c r="P997" i="3"/>
  <c r="Q997" i="3"/>
  <c r="R997" i="3"/>
  <c r="S997" i="3"/>
  <c r="T997" i="3"/>
  <c r="U997" i="3"/>
  <c r="V997" i="3"/>
  <c r="W997" i="3"/>
  <c r="X997" i="3"/>
  <c r="Y997" i="3"/>
  <c r="Z997" i="3"/>
  <c r="N998" i="3"/>
  <c r="O998" i="3"/>
  <c r="P998" i="3"/>
  <c r="Q998" i="3"/>
  <c r="R998" i="3"/>
  <c r="S998" i="3"/>
  <c r="T998" i="3"/>
  <c r="U998" i="3"/>
  <c r="V998" i="3"/>
  <c r="W998" i="3"/>
  <c r="X998" i="3"/>
  <c r="Y998" i="3"/>
  <c r="Z998" i="3"/>
  <c r="N999" i="3"/>
  <c r="O999" i="3"/>
  <c r="P999" i="3"/>
  <c r="Q999" i="3"/>
  <c r="R999" i="3"/>
  <c r="S999" i="3"/>
  <c r="T999" i="3"/>
  <c r="U999" i="3"/>
  <c r="V999" i="3"/>
  <c r="W999" i="3"/>
  <c r="X999" i="3"/>
  <c r="Y999" i="3"/>
  <c r="Z999" i="3"/>
  <c r="N1000" i="3"/>
  <c r="O1000" i="3"/>
  <c r="P1000" i="3"/>
  <c r="Q1000" i="3"/>
  <c r="R1000" i="3"/>
  <c r="S1000" i="3"/>
  <c r="T1000" i="3"/>
  <c r="U1000" i="3"/>
  <c r="V1000" i="3"/>
  <c r="W1000" i="3"/>
  <c r="X1000" i="3"/>
  <c r="Y1000" i="3"/>
  <c r="Z1000" i="3"/>
  <c r="N1001" i="3"/>
  <c r="O1001" i="3"/>
  <c r="P1001" i="3"/>
  <c r="Q1001" i="3"/>
  <c r="R1001" i="3"/>
  <c r="S1001" i="3"/>
  <c r="T1001" i="3"/>
  <c r="U1001" i="3"/>
  <c r="V1001" i="3"/>
  <c r="W1001" i="3"/>
  <c r="X1001" i="3"/>
  <c r="Y1001" i="3"/>
  <c r="Z1001" i="3"/>
  <c r="N1002" i="3"/>
  <c r="O1002" i="3"/>
  <c r="P1002" i="3"/>
  <c r="Q1002" i="3"/>
  <c r="R1002" i="3"/>
  <c r="S1002" i="3"/>
  <c r="T1002" i="3"/>
  <c r="U1002" i="3"/>
  <c r="V1002" i="3"/>
  <c r="W1002" i="3"/>
  <c r="X1002" i="3"/>
  <c r="Y1002" i="3"/>
  <c r="Z1002" i="3"/>
  <c r="N1003" i="3"/>
  <c r="O1003" i="3"/>
  <c r="P1003" i="3"/>
  <c r="Q1003" i="3"/>
  <c r="R1003" i="3"/>
  <c r="S1003" i="3"/>
  <c r="T1003" i="3"/>
  <c r="U1003" i="3"/>
  <c r="V1003" i="3"/>
  <c r="W1003" i="3"/>
  <c r="X1003" i="3"/>
  <c r="Y1003" i="3"/>
  <c r="Z1003" i="3"/>
  <c r="N1004" i="3"/>
  <c r="O1004" i="3"/>
  <c r="P1004" i="3"/>
  <c r="Q1004" i="3"/>
  <c r="R1004" i="3"/>
  <c r="S1004" i="3"/>
  <c r="T1004" i="3"/>
  <c r="U1004" i="3"/>
  <c r="V1004" i="3"/>
  <c r="W1004" i="3"/>
  <c r="X1004" i="3"/>
  <c r="Y1004" i="3"/>
  <c r="Z1004" i="3"/>
  <c r="N1005" i="3"/>
  <c r="O1005" i="3"/>
  <c r="P1005" i="3"/>
  <c r="Q1005" i="3"/>
  <c r="R1005" i="3"/>
  <c r="S1005" i="3"/>
  <c r="T1005" i="3"/>
  <c r="U1005" i="3"/>
  <c r="V1005" i="3"/>
  <c r="W1005" i="3"/>
  <c r="X1005" i="3"/>
  <c r="Y1005" i="3"/>
  <c r="Z1005" i="3"/>
  <c r="N1006" i="3"/>
  <c r="O1006" i="3"/>
  <c r="P1006" i="3"/>
  <c r="Q1006" i="3"/>
  <c r="R1006" i="3"/>
  <c r="S1006" i="3"/>
  <c r="T1006" i="3"/>
  <c r="U1006" i="3"/>
  <c r="V1006" i="3"/>
  <c r="W1006" i="3"/>
  <c r="X1006" i="3"/>
  <c r="Y1006" i="3"/>
  <c r="Z1006" i="3"/>
  <c r="N1007" i="3"/>
  <c r="O1007" i="3"/>
  <c r="P1007" i="3"/>
  <c r="Q1007" i="3"/>
  <c r="R1007" i="3"/>
  <c r="S1007" i="3"/>
  <c r="T1007" i="3"/>
  <c r="U1007" i="3"/>
  <c r="V1007" i="3"/>
  <c r="W1007" i="3"/>
  <c r="X1007" i="3"/>
  <c r="Y1007" i="3"/>
  <c r="Z1007" i="3"/>
  <c r="N1008" i="3"/>
  <c r="O1008" i="3"/>
  <c r="P1008" i="3"/>
  <c r="Q1008" i="3"/>
  <c r="R1008" i="3"/>
  <c r="S1008" i="3"/>
  <c r="T1008" i="3"/>
  <c r="U1008" i="3"/>
  <c r="V1008" i="3"/>
  <c r="W1008" i="3"/>
  <c r="X1008" i="3"/>
  <c r="Y1008" i="3"/>
  <c r="Z1008" i="3"/>
  <c r="N1009" i="3"/>
  <c r="O1009" i="3"/>
  <c r="P1009" i="3"/>
  <c r="Q1009" i="3"/>
  <c r="R1009" i="3"/>
  <c r="S1009" i="3"/>
  <c r="T1009" i="3"/>
  <c r="U1009" i="3"/>
  <c r="V1009" i="3"/>
  <c r="W1009" i="3"/>
  <c r="X1009" i="3"/>
  <c r="Y1009" i="3"/>
  <c r="Z1009" i="3"/>
  <c r="N1010" i="3"/>
  <c r="O1010" i="3"/>
  <c r="P1010" i="3"/>
  <c r="Q1010" i="3"/>
  <c r="R1010" i="3"/>
  <c r="S1010" i="3"/>
  <c r="T1010" i="3"/>
  <c r="U1010" i="3"/>
  <c r="V1010" i="3"/>
  <c r="W1010" i="3"/>
  <c r="X1010" i="3"/>
  <c r="Y1010" i="3"/>
  <c r="Z1010" i="3"/>
  <c r="N1011" i="3"/>
  <c r="O1011" i="3"/>
  <c r="P1011" i="3"/>
  <c r="Q1011" i="3"/>
  <c r="R1011" i="3"/>
  <c r="S1011" i="3"/>
  <c r="T1011" i="3"/>
  <c r="U1011" i="3"/>
  <c r="V1011" i="3"/>
  <c r="W1011" i="3"/>
  <c r="X1011" i="3"/>
  <c r="Y1011" i="3"/>
  <c r="Z1011" i="3"/>
  <c r="N1012" i="3"/>
  <c r="O1012" i="3"/>
  <c r="P1012" i="3"/>
  <c r="Q1012" i="3"/>
  <c r="R1012" i="3"/>
  <c r="S1012" i="3"/>
  <c r="T1012" i="3"/>
  <c r="U1012" i="3"/>
  <c r="V1012" i="3"/>
  <c r="W1012" i="3"/>
  <c r="X1012" i="3"/>
  <c r="Y1012" i="3"/>
  <c r="Z1012" i="3"/>
  <c r="N1013" i="3"/>
  <c r="O1013" i="3"/>
  <c r="P1013" i="3"/>
  <c r="Q1013" i="3"/>
  <c r="R1013" i="3"/>
  <c r="S1013" i="3"/>
  <c r="T1013" i="3"/>
  <c r="U1013" i="3"/>
  <c r="V1013" i="3"/>
  <c r="W1013" i="3"/>
  <c r="X1013" i="3"/>
  <c r="Y1013" i="3"/>
  <c r="Z1013" i="3"/>
  <c r="N1014" i="3"/>
  <c r="O1014" i="3"/>
  <c r="P1014" i="3"/>
  <c r="Q1014" i="3"/>
  <c r="R1014" i="3"/>
  <c r="S1014" i="3"/>
  <c r="T1014" i="3"/>
  <c r="U1014" i="3"/>
  <c r="V1014" i="3"/>
  <c r="W1014" i="3"/>
  <c r="X1014" i="3"/>
  <c r="Y1014" i="3"/>
  <c r="Z1014" i="3"/>
  <c r="N1015" i="3"/>
  <c r="O1015" i="3"/>
  <c r="P1015" i="3"/>
  <c r="Q1015" i="3"/>
  <c r="R1015" i="3"/>
  <c r="S1015" i="3"/>
  <c r="T1015" i="3"/>
  <c r="U1015" i="3"/>
  <c r="V1015" i="3"/>
  <c r="W1015" i="3"/>
  <c r="X1015" i="3"/>
  <c r="Y1015" i="3"/>
  <c r="Z1015" i="3"/>
  <c r="N1016" i="3"/>
  <c r="O1016" i="3"/>
  <c r="P1016" i="3"/>
  <c r="Q1016" i="3"/>
  <c r="R1016" i="3"/>
  <c r="S1016" i="3"/>
  <c r="T1016" i="3"/>
  <c r="U1016" i="3"/>
  <c r="V1016" i="3"/>
  <c r="W1016" i="3"/>
  <c r="X1016" i="3"/>
  <c r="Y1016" i="3"/>
  <c r="Z1016" i="3"/>
  <c r="N1017" i="3"/>
  <c r="O1017" i="3"/>
  <c r="P1017" i="3"/>
  <c r="Q1017" i="3"/>
  <c r="R1017" i="3"/>
  <c r="S1017" i="3"/>
  <c r="T1017" i="3"/>
  <c r="U1017" i="3"/>
  <c r="V1017" i="3"/>
  <c r="W1017" i="3"/>
  <c r="X1017" i="3"/>
  <c r="Y1017" i="3"/>
  <c r="Z1017" i="3"/>
  <c r="N1018" i="3"/>
  <c r="O1018" i="3"/>
  <c r="P1018" i="3"/>
  <c r="Q1018" i="3"/>
  <c r="R1018" i="3"/>
  <c r="S1018" i="3"/>
  <c r="T1018" i="3"/>
  <c r="U1018" i="3"/>
  <c r="V1018" i="3"/>
  <c r="W1018" i="3"/>
  <c r="X1018" i="3"/>
  <c r="Y1018" i="3"/>
  <c r="Z1018" i="3"/>
  <c r="N1019" i="3"/>
  <c r="O1019" i="3"/>
  <c r="P1019" i="3"/>
  <c r="Q1019" i="3"/>
  <c r="R1019" i="3"/>
  <c r="S1019" i="3"/>
  <c r="T1019" i="3"/>
  <c r="U1019" i="3"/>
  <c r="V1019" i="3"/>
  <c r="W1019" i="3"/>
  <c r="X1019" i="3"/>
  <c r="Y1019" i="3"/>
  <c r="Z1019" i="3"/>
  <c r="N1020" i="3"/>
  <c r="O1020" i="3"/>
  <c r="P1020" i="3"/>
  <c r="Q1020" i="3"/>
  <c r="R1020" i="3"/>
  <c r="S1020" i="3"/>
  <c r="T1020" i="3"/>
  <c r="U1020" i="3"/>
  <c r="V1020" i="3"/>
  <c r="W1020" i="3"/>
  <c r="X1020" i="3"/>
  <c r="Y1020" i="3"/>
  <c r="Z1020" i="3"/>
  <c r="N1021" i="3"/>
  <c r="O1021" i="3"/>
  <c r="P1021" i="3"/>
  <c r="Q1021" i="3"/>
  <c r="R1021" i="3"/>
  <c r="S1021" i="3"/>
  <c r="T1021" i="3"/>
  <c r="U1021" i="3"/>
  <c r="V1021" i="3"/>
  <c r="W1021" i="3"/>
  <c r="X1021" i="3"/>
  <c r="Y1021" i="3"/>
  <c r="Z1021" i="3"/>
  <c r="N1022" i="3"/>
  <c r="O1022" i="3"/>
  <c r="P1022" i="3"/>
  <c r="Q1022" i="3"/>
  <c r="R1022" i="3"/>
  <c r="S1022" i="3"/>
  <c r="T1022" i="3"/>
  <c r="U1022" i="3"/>
  <c r="V1022" i="3"/>
  <c r="W1022" i="3"/>
  <c r="X1022" i="3"/>
  <c r="Y1022" i="3"/>
  <c r="Z1022" i="3"/>
  <c r="N1023" i="3"/>
  <c r="O1023" i="3"/>
  <c r="P1023" i="3"/>
  <c r="Q1023" i="3"/>
  <c r="R1023" i="3"/>
  <c r="S1023" i="3"/>
  <c r="T1023" i="3"/>
  <c r="U1023" i="3"/>
  <c r="V1023" i="3"/>
  <c r="W1023" i="3"/>
  <c r="X1023" i="3"/>
  <c r="Y1023" i="3"/>
  <c r="Z1023" i="3"/>
  <c r="N1024" i="3"/>
  <c r="O1024" i="3"/>
  <c r="P1024" i="3"/>
  <c r="Q1024" i="3"/>
  <c r="R1024" i="3"/>
  <c r="S1024" i="3"/>
  <c r="T1024" i="3"/>
  <c r="U1024" i="3"/>
  <c r="V1024" i="3"/>
  <c r="W1024" i="3"/>
  <c r="X1024" i="3"/>
  <c r="Y1024" i="3"/>
  <c r="Z1024" i="3"/>
  <c r="N1025" i="3"/>
  <c r="O1025" i="3"/>
  <c r="P1025" i="3"/>
  <c r="Q1025" i="3"/>
  <c r="R1025" i="3"/>
  <c r="S1025" i="3"/>
  <c r="T1025" i="3"/>
  <c r="U1025" i="3"/>
  <c r="V1025" i="3"/>
  <c r="W1025" i="3"/>
  <c r="X1025" i="3"/>
  <c r="Y1025" i="3"/>
  <c r="Z1025" i="3"/>
  <c r="N1026" i="3"/>
  <c r="O1026" i="3"/>
  <c r="P1026" i="3"/>
  <c r="Q1026" i="3"/>
  <c r="R1026" i="3"/>
  <c r="S1026" i="3"/>
  <c r="T1026" i="3"/>
  <c r="U1026" i="3"/>
  <c r="V1026" i="3"/>
  <c r="W1026" i="3"/>
  <c r="X1026" i="3"/>
  <c r="Y1026" i="3"/>
  <c r="Z1026" i="3"/>
  <c r="N1027" i="3"/>
  <c r="O1027" i="3"/>
  <c r="P1027" i="3"/>
  <c r="Q1027" i="3"/>
  <c r="R1027" i="3"/>
  <c r="S1027" i="3"/>
  <c r="T1027" i="3"/>
  <c r="U1027" i="3"/>
  <c r="V1027" i="3"/>
  <c r="W1027" i="3"/>
  <c r="X1027" i="3"/>
  <c r="Y1027" i="3"/>
  <c r="Z1027" i="3"/>
  <c r="N1028" i="3"/>
  <c r="O1028" i="3"/>
  <c r="P1028" i="3"/>
  <c r="Q1028" i="3"/>
  <c r="R1028" i="3"/>
  <c r="S1028" i="3"/>
  <c r="T1028" i="3"/>
  <c r="U1028" i="3"/>
  <c r="V1028" i="3"/>
  <c r="W1028" i="3"/>
  <c r="X1028" i="3"/>
  <c r="Y1028" i="3"/>
  <c r="Z1028" i="3"/>
  <c r="N1029" i="3"/>
  <c r="O1029" i="3"/>
  <c r="P1029" i="3"/>
  <c r="Q1029" i="3"/>
  <c r="R1029" i="3"/>
  <c r="S1029" i="3"/>
  <c r="T1029" i="3"/>
  <c r="U1029" i="3"/>
  <c r="V1029" i="3"/>
  <c r="W1029" i="3"/>
  <c r="X1029" i="3"/>
  <c r="Y1029" i="3"/>
  <c r="Z1029" i="3"/>
  <c r="N1030" i="3"/>
  <c r="O1030" i="3"/>
  <c r="P1030" i="3"/>
  <c r="Q1030" i="3"/>
  <c r="R1030" i="3"/>
  <c r="S1030" i="3"/>
  <c r="T1030" i="3"/>
  <c r="U1030" i="3"/>
  <c r="V1030" i="3"/>
  <c r="W1030" i="3"/>
  <c r="X1030" i="3"/>
  <c r="Y1030" i="3"/>
  <c r="Z1030" i="3"/>
  <c r="N1031" i="3"/>
  <c r="O1031" i="3"/>
  <c r="P1031" i="3"/>
  <c r="Q1031" i="3"/>
  <c r="R1031" i="3"/>
  <c r="S1031" i="3"/>
  <c r="T1031" i="3"/>
  <c r="U1031" i="3"/>
  <c r="V1031" i="3"/>
  <c r="W1031" i="3"/>
  <c r="X1031" i="3"/>
  <c r="Y1031" i="3"/>
  <c r="Z1031" i="3"/>
  <c r="N1032" i="3"/>
  <c r="O1032" i="3"/>
  <c r="P1032" i="3"/>
  <c r="Q1032" i="3"/>
  <c r="R1032" i="3"/>
  <c r="S1032" i="3"/>
  <c r="T1032" i="3"/>
  <c r="U1032" i="3"/>
  <c r="V1032" i="3"/>
  <c r="W1032" i="3"/>
  <c r="X1032" i="3"/>
  <c r="Y1032" i="3"/>
  <c r="Z1032" i="3"/>
  <c r="N1033" i="3"/>
  <c r="O1033" i="3"/>
  <c r="P1033" i="3"/>
  <c r="Q1033" i="3"/>
  <c r="R1033" i="3"/>
  <c r="S1033" i="3"/>
  <c r="T1033" i="3"/>
  <c r="U1033" i="3"/>
  <c r="V1033" i="3"/>
  <c r="W1033" i="3"/>
  <c r="X1033" i="3"/>
  <c r="Y1033" i="3"/>
  <c r="Z1033" i="3"/>
  <c r="N1034" i="3"/>
  <c r="O1034" i="3"/>
  <c r="P1034" i="3"/>
  <c r="Q1034" i="3"/>
  <c r="R1034" i="3"/>
  <c r="S1034" i="3"/>
  <c r="T1034" i="3"/>
  <c r="U1034" i="3"/>
  <c r="V1034" i="3"/>
  <c r="W1034" i="3"/>
  <c r="X1034" i="3"/>
  <c r="Y1034" i="3"/>
  <c r="Z1034" i="3"/>
  <c r="N1035" i="3"/>
  <c r="O1035" i="3"/>
  <c r="P1035" i="3"/>
  <c r="Q1035" i="3"/>
  <c r="R1035" i="3"/>
  <c r="S1035" i="3"/>
  <c r="T1035" i="3"/>
  <c r="U1035" i="3"/>
  <c r="V1035" i="3"/>
  <c r="W1035" i="3"/>
  <c r="X1035" i="3"/>
  <c r="Y1035" i="3"/>
  <c r="Z1035" i="3"/>
  <c r="N1036" i="3"/>
  <c r="O1036" i="3"/>
  <c r="P1036" i="3"/>
  <c r="Q1036" i="3"/>
  <c r="R1036" i="3"/>
  <c r="S1036" i="3"/>
  <c r="T1036" i="3"/>
  <c r="U1036" i="3"/>
  <c r="V1036" i="3"/>
  <c r="W1036" i="3"/>
  <c r="X1036" i="3"/>
  <c r="Y1036" i="3"/>
  <c r="Z1036" i="3"/>
  <c r="N1037" i="3"/>
  <c r="O1037" i="3"/>
  <c r="P1037" i="3"/>
  <c r="Q1037" i="3"/>
  <c r="R1037" i="3"/>
  <c r="S1037" i="3"/>
  <c r="T1037" i="3"/>
  <c r="U1037" i="3"/>
  <c r="V1037" i="3"/>
  <c r="W1037" i="3"/>
  <c r="X1037" i="3"/>
  <c r="Y1037" i="3"/>
  <c r="Z1037" i="3"/>
  <c r="N1038" i="3"/>
  <c r="O1038" i="3"/>
  <c r="P1038" i="3"/>
  <c r="Q1038" i="3"/>
  <c r="R1038" i="3"/>
  <c r="S1038" i="3"/>
  <c r="T1038" i="3"/>
  <c r="U1038" i="3"/>
  <c r="V1038" i="3"/>
  <c r="W1038" i="3"/>
  <c r="X1038" i="3"/>
  <c r="Y1038" i="3"/>
  <c r="Z1038" i="3"/>
  <c r="N1039" i="3"/>
  <c r="O1039" i="3"/>
  <c r="P1039" i="3"/>
  <c r="Q1039" i="3"/>
  <c r="R1039" i="3"/>
  <c r="S1039" i="3"/>
  <c r="T1039" i="3"/>
  <c r="U1039" i="3"/>
  <c r="V1039" i="3"/>
  <c r="W1039" i="3"/>
  <c r="X1039" i="3"/>
  <c r="Y1039" i="3"/>
  <c r="Z1039" i="3"/>
  <c r="N1040" i="3"/>
  <c r="O1040" i="3"/>
  <c r="P1040" i="3"/>
  <c r="Q1040" i="3"/>
  <c r="R1040" i="3"/>
  <c r="S1040" i="3"/>
  <c r="T1040" i="3"/>
  <c r="U1040" i="3"/>
  <c r="V1040" i="3"/>
  <c r="W1040" i="3"/>
  <c r="X1040" i="3"/>
  <c r="Y1040" i="3"/>
  <c r="Z1040" i="3"/>
  <c r="N1041" i="3"/>
  <c r="O1041" i="3"/>
  <c r="P1041" i="3"/>
  <c r="Q1041" i="3"/>
  <c r="R1041" i="3"/>
  <c r="S1041" i="3"/>
  <c r="T1041" i="3"/>
  <c r="U1041" i="3"/>
  <c r="V1041" i="3"/>
  <c r="W1041" i="3"/>
  <c r="X1041" i="3"/>
  <c r="Y1041" i="3"/>
  <c r="Z1041" i="3"/>
  <c r="N1042" i="3"/>
  <c r="O1042" i="3"/>
  <c r="P1042" i="3"/>
  <c r="Q1042" i="3"/>
  <c r="R1042" i="3"/>
  <c r="S1042" i="3"/>
  <c r="T1042" i="3"/>
  <c r="U1042" i="3"/>
  <c r="V1042" i="3"/>
  <c r="W1042" i="3"/>
  <c r="X1042" i="3"/>
  <c r="Y1042" i="3"/>
  <c r="Z1042" i="3"/>
  <c r="N1043" i="3"/>
  <c r="O1043" i="3"/>
  <c r="P1043" i="3"/>
  <c r="Q1043" i="3"/>
  <c r="R1043" i="3"/>
  <c r="S1043" i="3"/>
  <c r="T1043" i="3"/>
  <c r="U1043" i="3"/>
  <c r="V1043" i="3"/>
  <c r="W1043" i="3"/>
  <c r="X1043" i="3"/>
  <c r="Y1043" i="3"/>
  <c r="Z1043" i="3"/>
  <c r="N1044" i="3"/>
  <c r="O1044" i="3"/>
  <c r="P1044" i="3"/>
  <c r="Q1044" i="3"/>
  <c r="R1044" i="3"/>
  <c r="S1044" i="3"/>
  <c r="T1044" i="3"/>
  <c r="U1044" i="3"/>
  <c r="V1044" i="3"/>
  <c r="W1044" i="3"/>
  <c r="X1044" i="3"/>
  <c r="Y1044" i="3"/>
  <c r="Z1044" i="3"/>
  <c r="N1045" i="3"/>
  <c r="O1045" i="3"/>
  <c r="P1045" i="3"/>
  <c r="Q1045" i="3"/>
  <c r="R1045" i="3"/>
  <c r="S1045" i="3"/>
  <c r="T1045" i="3"/>
  <c r="U1045" i="3"/>
  <c r="V1045" i="3"/>
  <c r="W1045" i="3"/>
  <c r="X1045" i="3"/>
  <c r="Y1045" i="3"/>
  <c r="Z1045" i="3"/>
  <c r="N1046" i="3"/>
  <c r="O1046" i="3"/>
  <c r="P1046" i="3"/>
  <c r="Q1046" i="3"/>
  <c r="R1046" i="3"/>
  <c r="S1046" i="3"/>
  <c r="T1046" i="3"/>
  <c r="U1046" i="3"/>
  <c r="V1046" i="3"/>
  <c r="W1046" i="3"/>
  <c r="X1046" i="3"/>
  <c r="Y1046" i="3"/>
  <c r="Z1046" i="3"/>
  <c r="N1047" i="3"/>
  <c r="O1047" i="3"/>
  <c r="P1047" i="3"/>
  <c r="Q1047" i="3"/>
  <c r="R1047" i="3"/>
  <c r="S1047" i="3"/>
  <c r="T1047" i="3"/>
  <c r="U1047" i="3"/>
  <c r="V1047" i="3"/>
  <c r="W1047" i="3"/>
  <c r="X1047" i="3"/>
  <c r="Y1047" i="3"/>
  <c r="Z1047" i="3"/>
  <c r="N1048" i="3"/>
  <c r="O1048" i="3"/>
  <c r="P1048" i="3"/>
  <c r="Q1048" i="3"/>
  <c r="R1048" i="3"/>
  <c r="S1048" i="3"/>
  <c r="T1048" i="3"/>
  <c r="U1048" i="3"/>
  <c r="V1048" i="3"/>
  <c r="W1048" i="3"/>
  <c r="X1048" i="3"/>
  <c r="Y1048" i="3"/>
  <c r="Z1048" i="3"/>
  <c r="N1049" i="3"/>
  <c r="O1049" i="3"/>
  <c r="P1049" i="3"/>
  <c r="Q1049" i="3"/>
  <c r="R1049" i="3"/>
  <c r="S1049" i="3"/>
  <c r="T1049" i="3"/>
  <c r="U1049" i="3"/>
  <c r="V1049" i="3"/>
  <c r="W1049" i="3"/>
  <c r="X1049" i="3"/>
  <c r="Y1049" i="3"/>
  <c r="Z1049" i="3"/>
  <c r="N1050" i="3"/>
  <c r="O1050" i="3"/>
  <c r="P1050" i="3"/>
  <c r="Q1050" i="3"/>
  <c r="R1050" i="3"/>
  <c r="S1050" i="3"/>
  <c r="T1050" i="3"/>
  <c r="U1050" i="3"/>
  <c r="V1050" i="3"/>
  <c r="W1050" i="3"/>
  <c r="X1050" i="3"/>
  <c r="Y1050" i="3"/>
  <c r="Z1050" i="3"/>
  <c r="N1051" i="3"/>
  <c r="O1051" i="3"/>
  <c r="P1051" i="3"/>
  <c r="Q1051" i="3"/>
  <c r="R1051" i="3"/>
  <c r="S1051" i="3"/>
  <c r="T1051" i="3"/>
  <c r="U1051" i="3"/>
  <c r="V1051" i="3"/>
  <c r="W1051" i="3"/>
  <c r="X1051" i="3"/>
  <c r="Y1051" i="3"/>
  <c r="Z1051" i="3"/>
  <c r="N1052" i="3"/>
  <c r="O1052" i="3"/>
  <c r="P1052" i="3"/>
  <c r="Q1052" i="3"/>
  <c r="R1052" i="3"/>
  <c r="S1052" i="3"/>
  <c r="T1052" i="3"/>
  <c r="U1052" i="3"/>
  <c r="V1052" i="3"/>
  <c r="W1052" i="3"/>
  <c r="X1052" i="3"/>
  <c r="Y1052" i="3"/>
  <c r="Z1052" i="3"/>
  <c r="N1053" i="3"/>
  <c r="O1053" i="3"/>
  <c r="P1053" i="3"/>
  <c r="Q1053" i="3"/>
  <c r="R1053" i="3"/>
  <c r="S1053" i="3"/>
  <c r="T1053" i="3"/>
  <c r="U1053" i="3"/>
  <c r="V1053" i="3"/>
  <c r="W1053" i="3"/>
  <c r="X1053" i="3"/>
  <c r="Y1053" i="3"/>
  <c r="Z1053" i="3"/>
  <c r="N1054" i="3"/>
  <c r="O1054" i="3"/>
  <c r="P1054" i="3"/>
  <c r="Q1054" i="3"/>
  <c r="R1054" i="3"/>
  <c r="S1054" i="3"/>
  <c r="T1054" i="3"/>
  <c r="U1054" i="3"/>
  <c r="V1054" i="3"/>
  <c r="W1054" i="3"/>
  <c r="X1054" i="3"/>
  <c r="Y1054" i="3"/>
  <c r="Z1054" i="3"/>
  <c r="N1055" i="3"/>
  <c r="O1055" i="3"/>
  <c r="P1055" i="3"/>
  <c r="Q1055" i="3"/>
  <c r="R1055" i="3"/>
  <c r="S1055" i="3"/>
  <c r="T1055" i="3"/>
  <c r="U1055" i="3"/>
  <c r="V1055" i="3"/>
  <c r="W1055" i="3"/>
  <c r="X1055" i="3"/>
  <c r="Y1055" i="3"/>
  <c r="Z1055" i="3"/>
  <c r="N1056" i="3"/>
  <c r="O1056" i="3"/>
  <c r="P1056" i="3"/>
  <c r="Q1056" i="3"/>
  <c r="R1056" i="3"/>
  <c r="S1056" i="3"/>
  <c r="T1056" i="3"/>
  <c r="U1056" i="3"/>
  <c r="V1056" i="3"/>
  <c r="W1056" i="3"/>
  <c r="X1056" i="3"/>
  <c r="Y1056" i="3"/>
  <c r="Z1056" i="3"/>
  <c r="N1057" i="3"/>
  <c r="O1057" i="3"/>
  <c r="P1057" i="3"/>
  <c r="Q1057" i="3"/>
  <c r="R1057" i="3"/>
  <c r="S1057" i="3"/>
  <c r="T1057" i="3"/>
  <c r="U1057" i="3"/>
  <c r="V1057" i="3"/>
  <c r="W1057" i="3"/>
  <c r="X1057" i="3"/>
  <c r="Y1057" i="3"/>
  <c r="Z1057" i="3"/>
  <c r="N1058" i="3"/>
  <c r="O1058" i="3"/>
  <c r="P1058" i="3"/>
  <c r="Q1058" i="3"/>
  <c r="R1058" i="3"/>
  <c r="S1058" i="3"/>
  <c r="T1058" i="3"/>
  <c r="U1058" i="3"/>
  <c r="V1058" i="3"/>
  <c r="W1058" i="3"/>
  <c r="X1058" i="3"/>
  <c r="Y1058" i="3"/>
  <c r="Z1058" i="3"/>
  <c r="N1059" i="3"/>
  <c r="O1059" i="3"/>
  <c r="P1059" i="3"/>
  <c r="Q1059" i="3"/>
  <c r="R1059" i="3"/>
  <c r="S1059" i="3"/>
  <c r="T1059" i="3"/>
  <c r="U1059" i="3"/>
  <c r="V1059" i="3"/>
  <c r="W1059" i="3"/>
  <c r="X1059" i="3"/>
  <c r="Y1059" i="3"/>
  <c r="Z1059" i="3"/>
  <c r="N1060" i="3"/>
  <c r="O1060" i="3"/>
  <c r="P1060" i="3"/>
  <c r="Q1060" i="3"/>
  <c r="R1060" i="3"/>
  <c r="S1060" i="3"/>
  <c r="T1060" i="3"/>
  <c r="U1060" i="3"/>
  <c r="V1060" i="3"/>
  <c r="W1060" i="3"/>
  <c r="X1060" i="3"/>
  <c r="Y1060" i="3"/>
  <c r="Z1060" i="3"/>
  <c r="N1061" i="3"/>
  <c r="O1061" i="3"/>
  <c r="P1061" i="3"/>
  <c r="Q1061" i="3"/>
  <c r="R1061" i="3"/>
  <c r="S1061" i="3"/>
  <c r="T1061" i="3"/>
  <c r="U1061" i="3"/>
  <c r="V1061" i="3"/>
  <c r="W1061" i="3"/>
  <c r="X1061" i="3"/>
  <c r="Y1061" i="3"/>
  <c r="Z1061" i="3"/>
  <c r="N1062" i="3"/>
  <c r="O1062" i="3"/>
  <c r="P1062" i="3"/>
  <c r="Q1062" i="3"/>
  <c r="R1062" i="3"/>
  <c r="S1062" i="3"/>
  <c r="T1062" i="3"/>
  <c r="U1062" i="3"/>
  <c r="V1062" i="3"/>
  <c r="W1062" i="3"/>
  <c r="X1062" i="3"/>
  <c r="Y1062" i="3"/>
  <c r="Z1062" i="3"/>
  <c r="N1063" i="3"/>
  <c r="O1063" i="3"/>
  <c r="P1063" i="3"/>
  <c r="Q1063" i="3"/>
  <c r="R1063" i="3"/>
  <c r="S1063" i="3"/>
  <c r="T1063" i="3"/>
  <c r="U1063" i="3"/>
  <c r="V1063" i="3"/>
  <c r="W1063" i="3"/>
  <c r="X1063" i="3"/>
  <c r="Y1063" i="3"/>
  <c r="Z1063" i="3"/>
  <c r="N1064" i="3"/>
  <c r="O1064" i="3"/>
  <c r="P1064" i="3"/>
  <c r="Q1064" i="3"/>
  <c r="R1064" i="3"/>
  <c r="S1064" i="3"/>
  <c r="T1064" i="3"/>
  <c r="U1064" i="3"/>
  <c r="V1064" i="3"/>
  <c r="W1064" i="3"/>
  <c r="X1064" i="3"/>
  <c r="Y1064" i="3"/>
  <c r="Z1064" i="3"/>
  <c r="N1065" i="3"/>
  <c r="O1065" i="3"/>
  <c r="P1065" i="3"/>
  <c r="Q1065" i="3"/>
  <c r="R1065" i="3"/>
  <c r="S1065" i="3"/>
  <c r="T1065" i="3"/>
  <c r="U1065" i="3"/>
  <c r="V1065" i="3"/>
  <c r="W1065" i="3"/>
  <c r="X1065" i="3"/>
  <c r="Y1065" i="3"/>
  <c r="Z1065" i="3"/>
  <c r="N1066" i="3"/>
  <c r="O1066" i="3"/>
  <c r="P1066" i="3"/>
  <c r="Q1066" i="3"/>
  <c r="R1066" i="3"/>
  <c r="S1066" i="3"/>
  <c r="T1066" i="3"/>
  <c r="U1066" i="3"/>
  <c r="V1066" i="3"/>
  <c r="W1066" i="3"/>
  <c r="X1066" i="3"/>
  <c r="Y1066" i="3"/>
  <c r="Z1066" i="3"/>
  <c r="N1067" i="3"/>
  <c r="O1067" i="3"/>
  <c r="P1067" i="3"/>
  <c r="Q1067" i="3"/>
  <c r="R1067" i="3"/>
  <c r="S1067" i="3"/>
  <c r="T1067" i="3"/>
  <c r="U1067" i="3"/>
  <c r="V1067" i="3"/>
  <c r="W1067" i="3"/>
  <c r="X1067" i="3"/>
  <c r="Y1067" i="3"/>
  <c r="Z1067" i="3"/>
  <c r="N1068" i="3"/>
  <c r="O1068" i="3"/>
  <c r="P1068" i="3"/>
  <c r="Q1068" i="3"/>
  <c r="R1068" i="3"/>
  <c r="S1068" i="3"/>
  <c r="T1068" i="3"/>
  <c r="U1068" i="3"/>
  <c r="V1068" i="3"/>
  <c r="W1068" i="3"/>
  <c r="X1068" i="3"/>
  <c r="Y1068" i="3"/>
  <c r="Z1068" i="3"/>
  <c r="N1069" i="3"/>
  <c r="O1069" i="3"/>
  <c r="P1069" i="3"/>
  <c r="Q1069" i="3"/>
  <c r="R1069" i="3"/>
  <c r="S1069" i="3"/>
  <c r="T1069" i="3"/>
  <c r="U1069" i="3"/>
  <c r="V1069" i="3"/>
  <c r="W1069" i="3"/>
  <c r="X1069" i="3"/>
  <c r="Y1069" i="3"/>
  <c r="Z1069" i="3"/>
  <c r="N1070" i="3"/>
  <c r="O1070" i="3"/>
  <c r="P1070" i="3"/>
  <c r="Q1070" i="3"/>
  <c r="R1070" i="3"/>
  <c r="S1070" i="3"/>
  <c r="T1070" i="3"/>
  <c r="U1070" i="3"/>
  <c r="V1070" i="3"/>
  <c r="W1070" i="3"/>
  <c r="X1070" i="3"/>
  <c r="Y1070" i="3"/>
  <c r="Z1070" i="3"/>
  <c r="N1071" i="3"/>
  <c r="O1071" i="3"/>
  <c r="P1071" i="3"/>
  <c r="Q1071" i="3"/>
  <c r="R1071" i="3"/>
  <c r="S1071" i="3"/>
  <c r="T1071" i="3"/>
  <c r="U1071" i="3"/>
  <c r="V1071" i="3"/>
  <c r="W1071" i="3"/>
  <c r="X1071" i="3"/>
  <c r="Y1071" i="3"/>
  <c r="Z1071" i="3"/>
  <c r="N1072" i="3"/>
  <c r="O1072" i="3"/>
  <c r="P1072" i="3"/>
  <c r="Q1072" i="3"/>
  <c r="R1072" i="3"/>
  <c r="S1072" i="3"/>
  <c r="T1072" i="3"/>
  <c r="U1072" i="3"/>
  <c r="V1072" i="3"/>
  <c r="W1072" i="3"/>
  <c r="X1072" i="3"/>
  <c r="Y1072" i="3"/>
  <c r="Z1072" i="3"/>
  <c r="N1073" i="3"/>
  <c r="O1073" i="3"/>
  <c r="P1073" i="3"/>
  <c r="Q1073" i="3"/>
  <c r="R1073" i="3"/>
  <c r="S1073" i="3"/>
  <c r="T1073" i="3"/>
  <c r="U1073" i="3"/>
  <c r="V1073" i="3"/>
  <c r="W1073" i="3"/>
  <c r="X1073" i="3"/>
  <c r="Y1073" i="3"/>
  <c r="Z1073" i="3"/>
  <c r="N1074" i="3"/>
  <c r="O1074" i="3"/>
  <c r="P1074" i="3"/>
  <c r="Q1074" i="3"/>
  <c r="R1074" i="3"/>
  <c r="S1074" i="3"/>
  <c r="T1074" i="3"/>
  <c r="U1074" i="3"/>
  <c r="V1074" i="3"/>
  <c r="W1074" i="3"/>
  <c r="X1074" i="3"/>
  <c r="Y1074" i="3"/>
  <c r="Z1074" i="3"/>
  <c r="N1075" i="3"/>
  <c r="O1075" i="3"/>
  <c r="P1075" i="3"/>
  <c r="Q1075" i="3"/>
  <c r="R1075" i="3"/>
  <c r="S1075" i="3"/>
  <c r="T1075" i="3"/>
  <c r="U1075" i="3"/>
  <c r="V1075" i="3"/>
  <c r="W1075" i="3"/>
  <c r="X1075" i="3"/>
  <c r="Y1075" i="3"/>
  <c r="Z1075" i="3"/>
  <c r="N1076" i="3"/>
  <c r="O1076" i="3"/>
  <c r="P1076" i="3"/>
  <c r="Q1076" i="3"/>
  <c r="R1076" i="3"/>
  <c r="S1076" i="3"/>
  <c r="T1076" i="3"/>
  <c r="U1076" i="3"/>
  <c r="V1076" i="3"/>
  <c r="W1076" i="3"/>
  <c r="X1076" i="3"/>
  <c r="Y1076" i="3"/>
  <c r="Z1076" i="3"/>
  <c r="N1077" i="3"/>
  <c r="O1077" i="3"/>
  <c r="P1077" i="3"/>
  <c r="Q1077" i="3"/>
  <c r="R1077" i="3"/>
  <c r="S1077" i="3"/>
  <c r="T1077" i="3"/>
  <c r="U1077" i="3"/>
  <c r="V1077" i="3"/>
  <c r="W1077" i="3"/>
  <c r="X1077" i="3"/>
  <c r="Y1077" i="3"/>
  <c r="Z1077" i="3"/>
  <c r="N1078" i="3"/>
  <c r="O1078" i="3"/>
  <c r="P1078" i="3"/>
  <c r="Q1078" i="3"/>
  <c r="R1078" i="3"/>
  <c r="S1078" i="3"/>
  <c r="T1078" i="3"/>
  <c r="U1078" i="3"/>
  <c r="V1078" i="3"/>
  <c r="W1078" i="3"/>
  <c r="X1078" i="3"/>
  <c r="Y1078" i="3"/>
  <c r="Z1078" i="3"/>
  <c r="N1079" i="3"/>
  <c r="O1079" i="3"/>
  <c r="P1079" i="3"/>
  <c r="Q1079" i="3"/>
  <c r="R1079" i="3"/>
  <c r="S1079" i="3"/>
  <c r="T1079" i="3"/>
  <c r="U1079" i="3"/>
  <c r="V1079" i="3"/>
  <c r="W1079" i="3"/>
  <c r="X1079" i="3"/>
  <c r="Y1079" i="3"/>
  <c r="Z1079" i="3"/>
  <c r="N1080" i="3"/>
  <c r="O1080" i="3"/>
  <c r="P1080" i="3"/>
  <c r="Q1080" i="3"/>
  <c r="R1080" i="3"/>
  <c r="S1080" i="3"/>
  <c r="T1080" i="3"/>
  <c r="U1080" i="3"/>
  <c r="V1080" i="3"/>
  <c r="W1080" i="3"/>
  <c r="X1080" i="3"/>
  <c r="Y1080" i="3"/>
  <c r="Z1080" i="3"/>
  <c r="N1081" i="3"/>
  <c r="O1081" i="3"/>
  <c r="P1081" i="3"/>
  <c r="Q1081" i="3"/>
  <c r="R1081" i="3"/>
  <c r="S1081" i="3"/>
  <c r="T1081" i="3"/>
  <c r="U1081" i="3"/>
  <c r="V1081" i="3"/>
  <c r="W1081" i="3"/>
  <c r="X1081" i="3"/>
  <c r="Y1081" i="3"/>
  <c r="Z1081" i="3"/>
  <c r="N1082" i="3"/>
  <c r="O1082" i="3"/>
  <c r="P1082" i="3"/>
  <c r="Q1082" i="3"/>
  <c r="R1082" i="3"/>
  <c r="S1082" i="3"/>
  <c r="T1082" i="3"/>
  <c r="U1082" i="3"/>
  <c r="V1082" i="3"/>
  <c r="W1082" i="3"/>
  <c r="X1082" i="3"/>
  <c r="Y1082" i="3"/>
  <c r="Z1082" i="3"/>
  <c r="N1083" i="3"/>
  <c r="O1083" i="3"/>
  <c r="P1083" i="3"/>
  <c r="Q1083" i="3"/>
  <c r="R1083" i="3"/>
  <c r="S1083" i="3"/>
  <c r="T1083" i="3"/>
  <c r="U1083" i="3"/>
  <c r="V1083" i="3"/>
  <c r="W1083" i="3"/>
  <c r="X1083" i="3"/>
  <c r="Y1083" i="3"/>
  <c r="Z1083" i="3"/>
  <c r="N1084" i="3"/>
  <c r="O1084" i="3"/>
  <c r="P1084" i="3"/>
  <c r="Q1084" i="3"/>
  <c r="R1084" i="3"/>
  <c r="S1084" i="3"/>
  <c r="T1084" i="3"/>
  <c r="U1084" i="3"/>
  <c r="V1084" i="3"/>
  <c r="W1084" i="3"/>
  <c r="X1084" i="3"/>
  <c r="Y1084" i="3"/>
  <c r="Z1084" i="3"/>
  <c r="N1085" i="3"/>
  <c r="O1085" i="3"/>
  <c r="P1085" i="3"/>
  <c r="Q1085" i="3"/>
  <c r="R1085" i="3"/>
  <c r="S1085" i="3"/>
  <c r="T1085" i="3"/>
  <c r="U1085" i="3"/>
  <c r="V1085" i="3"/>
  <c r="W1085" i="3"/>
  <c r="X1085" i="3"/>
  <c r="Y1085" i="3"/>
  <c r="Z1085" i="3"/>
  <c r="N1086" i="3"/>
  <c r="O1086" i="3"/>
  <c r="P1086" i="3"/>
  <c r="Q1086" i="3"/>
  <c r="R1086" i="3"/>
  <c r="S1086" i="3"/>
  <c r="T1086" i="3"/>
  <c r="U1086" i="3"/>
  <c r="V1086" i="3"/>
  <c r="W1086" i="3"/>
  <c r="X1086" i="3"/>
  <c r="Y1086" i="3"/>
  <c r="Z1086" i="3"/>
  <c r="N1087" i="3"/>
  <c r="O1087" i="3"/>
  <c r="P1087" i="3"/>
  <c r="Q1087" i="3"/>
  <c r="R1087" i="3"/>
  <c r="S1087" i="3"/>
  <c r="T1087" i="3"/>
  <c r="U1087" i="3"/>
  <c r="V1087" i="3"/>
  <c r="W1087" i="3"/>
  <c r="X1087" i="3"/>
  <c r="Y1087" i="3"/>
  <c r="Z1087" i="3"/>
  <c r="N1088" i="3"/>
  <c r="O1088" i="3"/>
  <c r="P1088" i="3"/>
  <c r="Q1088" i="3"/>
  <c r="R1088" i="3"/>
  <c r="S1088" i="3"/>
  <c r="T1088" i="3"/>
  <c r="U1088" i="3"/>
  <c r="V1088" i="3"/>
  <c r="W1088" i="3"/>
  <c r="X1088" i="3"/>
  <c r="Y1088" i="3"/>
  <c r="Z1088" i="3"/>
  <c r="N1089" i="3"/>
  <c r="O1089" i="3"/>
  <c r="P1089" i="3"/>
  <c r="Q1089" i="3"/>
  <c r="R1089" i="3"/>
  <c r="S1089" i="3"/>
  <c r="T1089" i="3"/>
  <c r="U1089" i="3"/>
  <c r="V1089" i="3"/>
  <c r="W1089" i="3"/>
  <c r="X1089" i="3"/>
  <c r="Y1089" i="3"/>
  <c r="Z1089" i="3"/>
  <c r="N1090" i="3"/>
  <c r="O1090" i="3"/>
  <c r="P1090" i="3"/>
  <c r="Q1090" i="3"/>
  <c r="R1090" i="3"/>
  <c r="S1090" i="3"/>
  <c r="T1090" i="3"/>
  <c r="U1090" i="3"/>
  <c r="V1090" i="3"/>
  <c r="W1090" i="3"/>
  <c r="X1090" i="3"/>
  <c r="Y1090" i="3"/>
  <c r="Z1090" i="3"/>
  <c r="N1091" i="3"/>
  <c r="O1091" i="3"/>
  <c r="P1091" i="3"/>
  <c r="Q1091" i="3"/>
  <c r="R1091" i="3"/>
  <c r="S1091" i="3"/>
  <c r="T1091" i="3"/>
  <c r="U1091" i="3"/>
  <c r="V1091" i="3"/>
  <c r="W1091" i="3"/>
  <c r="X1091" i="3"/>
  <c r="Y1091" i="3"/>
  <c r="Z1091" i="3"/>
  <c r="N1092" i="3"/>
  <c r="O1092" i="3"/>
  <c r="P1092" i="3"/>
  <c r="Q1092" i="3"/>
  <c r="R1092" i="3"/>
  <c r="S1092" i="3"/>
  <c r="T1092" i="3"/>
  <c r="U1092" i="3"/>
  <c r="V1092" i="3"/>
  <c r="W1092" i="3"/>
  <c r="X1092" i="3"/>
  <c r="Y1092" i="3"/>
  <c r="Z1092" i="3"/>
  <c r="N1093" i="3"/>
  <c r="O1093" i="3"/>
  <c r="P1093" i="3"/>
  <c r="Q1093" i="3"/>
  <c r="R1093" i="3"/>
  <c r="S1093" i="3"/>
  <c r="T1093" i="3"/>
  <c r="U1093" i="3"/>
  <c r="V1093" i="3"/>
  <c r="W1093" i="3"/>
  <c r="X1093" i="3"/>
  <c r="Y1093" i="3"/>
  <c r="Z1093" i="3"/>
  <c r="N1094" i="3"/>
  <c r="O1094" i="3"/>
  <c r="P1094" i="3"/>
  <c r="Q1094" i="3"/>
  <c r="R1094" i="3"/>
  <c r="S1094" i="3"/>
  <c r="T1094" i="3"/>
  <c r="U1094" i="3"/>
  <c r="V1094" i="3"/>
  <c r="W1094" i="3"/>
  <c r="X1094" i="3"/>
  <c r="Y1094" i="3"/>
  <c r="Z1094" i="3"/>
  <c r="N1095" i="3"/>
  <c r="O1095" i="3"/>
  <c r="P1095" i="3"/>
  <c r="Q1095" i="3"/>
  <c r="R1095" i="3"/>
  <c r="S1095" i="3"/>
  <c r="T1095" i="3"/>
  <c r="U1095" i="3"/>
  <c r="V1095" i="3"/>
  <c r="W1095" i="3"/>
  <c r="X1095" i="3"/>
  <c r="Y1095" i="3"/>
  <c r="Z1095" i="3"/>
  <c r="N1096" i="3"/>
  <c r="O1096" i="3"/>
  <c r="P1096" i="3"/>
  <c r="Z1096" i="3" s="1"/>
  <c r="Q1096" i="3"/>
  <c r="S1096" i="3" s="1"/>
  <c r="R1096" i="3"/>
  <c r="N1097" i="3"/>
  <c r="O1097" i="3"/>
  <c r="P1097" i="3"/>
  <c r="Q1097" i="3"/>
  <c r="R1097" i="3"/>
  <c r="S1097" i="3"/>
  <c r="T1097" i="3"/>
  <c r="U1097" i="3"/>
  <c r="V1097" i="3"/>
  <c r="W1097" i="3"/>
  <c r="X1097" i="3"/>
  <c r="Y1097" i="3"/>
  <c r="Z1097" i="3"/>
  <c r="N1098" i="3"/>
  <c r="O1098" i="3"/>
  <c r="P1098" i="3"/>
  <c r="Q1098" i="3"/>
  <c r="R1098" i="3"/>
  <c r="S1098" i="3"/>
  <c r="T1098" i="3"/>
  <c r="U1098" i="3"/>
  <c r="V1098" i="3"/>
  <c r="W1098" i="3"/>
  <c r="X1098" i="3"/>
  <c r="Y1098" i="3"/>
  <c r="Z1098" i="3"/>
  <c r="N1099" i="3"/>
  <c r="O1099" i="3"/>
  <c r="P1099" i="3"/>
  <c r="Q1099" i="3"/>
  <c r="R1099" i="3"/>
  <c r="S1099" i="3"/>
  <c r="T1099" i="3"/>
  <c r="U1099" i="3"/>
  <c r="V1099" i="3"/>
  <c r="W1099" i="3"/>
  <c r="X1099" i="3"/>
  <c r="Y1099" i="3"/>
  <c r="Z1099" i="3"/>
  <c r="N1100" i="3"/>
  <c r="O1100" i="3"/>
  <c r="P1100" i="3"/>
  <c r="Q1100" i="3"/>
  <c r="R1100" i="3"/>
  <c r="S1100" i="3"/>
  <c r="T1100" i="3"/>
  <c r="U1100" i="3"/>
  <c r="V1100" i="3"/>
  <c r="W1100" i="3"/>
  <c r="X1100" i="3"/>
  <c r="Y1100" i="3"/>
  <c r="Z1100" i="3"/>
  <c r="N1101" i="3"/>
  <c r="O1101" i="3"/>
  <c r="P1101" i="3"/>
  <c r="Q1101" i="3"/>
  <c r="R1101" i="3"/>
  <c r="S1101" i="3"/>
  <c r="T1101" i="3"/>
  <c r="U1101" i="3"/>
  <c r="V1101" i="3"/>
  <c r="W1101" i="3"/>
  <c r="X1101" i="3"/>
  <c r="Y1101" i="3"/>
  <c r="Z1101" i="3"/>
  <c r="N1102" i="3"/>
  <c r="O1102" i="3"/>
  <c r="P1102" i="3"/>
  <c r="Q1102" i="3"/>
  <c r="R1102" i="3"/>
  <c r="S1102" i="3"/>
  <c r="T1102" i="3"/>
  <c r="U1102" i="3"/>
  <c r="V1102" i="3"/>
  <c r="W1102" i="3"/>
  <c r="X1102" i="3"/>
  <c r="Y1102" i="3"/>
  <c r="Z1102" i="3"/>
  <c r="N1103" i="3"/>
  <c r="O1103" i="3"/>
  <c r="P1103" i="3"/>
  <c r="Q1103" i="3"/>
  <c r="R1103" i="3"/>
  <c r="S1103" i="3"/>
  <c r="T1103" i="3"/>
  <c r="U1103" i="3"/>
  <c r="V1103" i="3"/>
  <c r="W1103" i="3"/>
  <c r="X1103" i="3"/>
  <c r="Y1103" i="3"/>
  <c r="Z1103" i="3"/>
  <c r="N1104" i="3"/>
  <c r="O1104" i="3"/>
  <c r="P1104" i="3"/>
  <c r="Q1104" i="3"/>
  <c r="R1104" i="3"/>
  <c r="S1104" i="3"/>
  <c r="T1104" i="3"/>
  <c r="U1104" i="3"/>
  <c r="V1104" i="3"/>
  <c r="W1104" i="3"/>
  <c r="X1104" i="3"/>
  <c r="Y1104" i="3"/>
  <c r="Z1104" i="3"/>
  <c r="N1105" i="3"/>
  <c r="O1105" i="3"/>
  <c r="P1105" i="3"/>
  <c r="Q1105" i="3"/>
  <c r="R1105" i="3"/>
  <c r="S1105" i="3"/>
  <c r="T1105" i="3"/>
  <c r="U1105" i="3"/>
  <c r="V1105" i="3"/>
  <c r="W1105" i="3"/>
  <c r="X1105" i="3"/>
  <c r="Y1105" i="3"/>
  <c r="Z1105" i="3"/>
  <c r="N1106" i="3"/>
  <c r="O1106" i="3"/>
  <c r="P1106" i="3"/>
  <c r="Q1106" i="3"/>
  <c r="R1106" i="3"/>
  <c r="S1106" i="3"/>
  <c r="T1106" i="3"/>
  <c r="U1106" i="3"/>
  <c r="V1106" i="3"/>
  <c r="W1106" i="3"/>
  <c r="X1106" i="3"/>
  <c r="Y1106" i="3"/>
  <c r="Z1106" i="3"/>
  <c r="N1107" i="3"/>
  <c r="O1107" i="3"/>
  <c r="P1107" i="3"/>
  <c r="Q1107" i="3"/>
  <c r="R1107" i="3"/>
  <c r="S1107" i="3"/>
  <c r="T1107" i="3"/>
  <c r="U1107" i="3"/>
  <c r="V1107" i="3"/>
  <c r="W1107" i="3"/>
  <c r="X1107" i="3"/>
  <c r="Y1107" i="3"/>
  <c r="Z1107" i="3"/>
  <c r="N1108" i="3"/>
  <c r="O1108" i="3"/>
  <c r="P1108" i="3"/>
  <c r="Q1108" i="3"/>
  <c r="R1108" i="3"/>
  <c r="S1108" i="3"/>
  <c r="T1108" i="3"/>
  <c r="U1108" i="3"/>
  <c r="V1108" i="3"/>
  <c r="W1108" i="3"/>
  <c r="X1108" i="3"/>
  <c r="Y1108" i="3"/>
  <c r="Z1108" i="3"/>
  <c r="N1109" i="3"/>
  <c r="O1109" i="3"/>
  <c r="P1109" i="3"/>
  <c r="Q1109" i="3"/>
  <c r="R1109" i="3"/>
  <c r="S1109" i="3"/>
  <c r="T1109" i="3"/>
  <c r="U1109" i="3"/>
  <c r="V1109" i="3"/>
  <c r="W1109" i="3"/>
  <c r="X1109" i="3"/>
  <c r="Y1109" i="3"/>
  <c r="Z1109" i="3"/>
  <c r="N1110" i="3"/>
  <c r="O1110" i="3"/>
  <c r="P1110" i="3"/>
  <c r="Q1110" i="3"/>
  <c r="R1110" i="3"/>
  <c r="S1110" i="3"/>
  <c r="T1110" i="3"/>
  <c r="U1110" i="3"/>
  <c r="V1110" i="3"/>
  <c r="W1110" i="3"/>
  <c r="X1110" i="3"/>
  <c r="Y1110" i="3"/>
  <c r="Z1110" i="3"/>
  <c r="N1111" i="3"/>
  <c r="O1111" i="3"/>
  <c r="P1111" i="3"/>
  <c r="Q1111" i="3"/>
  <c r="R1111" i="3"/>
  <c r="S1111" i="3"/>
  <c r="T1111" i="3"/>
  <c r="U1111" i="3"/>
  <c r="V1111" i="3"/>
  <c r="W1111" i="3"/>
  <c r="X1111" i="3"/>
  <c r="Y1111" i="3"/>
  <c r="Z1111" i="3"/>
  <c r="N1112" i="3"/>
  <c r="O1112" i="3"/>
  <c r="P1112" i="3"/>
  <c r="Q1112" i="3"/>
  <c r="R1112" i="3"/>
  <c r="S1112" i="3"/>
  <c r="T1112" i="3"/>
  <c r="U1112" i="3"/>
  <c r="V1112" i="3"/>
  <c r="W1112" i="3"/>
  <c r="X1112" i="3"/>
  <c r="Y1112" i="3"/>
  <c r="Z1112" i="3"/>
  <c r="N1113" i="3"/>
  <c r="O1113" i="3"/>
  <c r="P1113" i="3"/>
  <c r="Q1113" i="3"/>
  <c r="R1113" i="3"/>
  <c r="S1113" i="3"/>
  <c r="T1113" i="3"/>
  <c r="U1113" i="3"/>
  <c r="V1113" i="3"/>
  <c r="W1113" i="3"/>
  <c r="X1113" i="3"/>
  <c r="Y1113" i="3"/>
  <c r="Z1113" i="3"/>
  <c r="N1114" i="3"/>
  <c r="O1114" i="3"/>
  <c r="P1114" i="3"/>
  <c r="Q1114" i="3"/>
  <c r="R1114" i="3"/>
  <c r="S1114" i="3"/>
  <c r="T1114" i="3"/>
  <c r="U1114" i="3"/>
  <c r="V1114" i="3"/>
  <c r="W1114" i="3"/>
  <c r="X1114" i="3"/>
  <c r="Y1114" i="3"/>
  <c r="Z1114" i="3"/>
  <c r="N1115" i="3"/>
  <c r="O1115" i="3"/>
  <c r="P1115" i="3"/>
  <c r="Q1115" i="3"/>
  <c r="R1115" i="3"/>
  <c r="S1115" i="3"/>
  <c r="T1115" i="3"/>
  <c r="U1115" i="3"/>
  <c r="V1115" i="3"/>
  <c r="W1115" i="3"/>
  <c r="X1115" i="3"/>
  <c r="Y1115" i="3"/>
  <c r="Z1115" i="3"/>
  <c r="N1116" i="3"/>
  <c r="O1116" i="3"/>
  <c r="P1116" i="3"/>
  <c r="Q1116" i="3"/>
  <c r="R1116" i="3"/>
  <c r="S1116" i="3"/>
  <c r="T1116" i="3"/>
  <c r="U1116" i="3"/>
  <c r="V1116" i="3"/>
  <c r="W1116" i="3"/>
  <c r="X1116" i="3"/>
  <c r="Y1116" i="3"/>
  <c r="Z1116" i="3"/>
  <c r="N1117" i="3"/>
  <c r="O1117" i="3"/>
  <c r="P1117" i="3"/>
  <c r="Q1117" i="3"/>
  <c r="R1117" i="3"/>
  <c r="S1117" i="3"/>
  <c r="T1117" i="3"/>
  <c r="U1117" i="3"/>
  <c r="V1117" i="3"/>
  <c r="W1117" i="3"/>
  <c r="X1117" i="3"/>
  <c r="Y1117" i="3"/>
  <c r="Z1117" i="3"/>
  <c r="N1118" i="3"/>
  <c r="O1118" i="3"/>
  <c r="P1118" i="3"/>
  <c r="Q1118" i="3"/>
  <c r="R1118" i="3"/>
  <c r="S1118" i="3"/>
  <c r="T1118" i="3"/>
  <c r="U1118" i="3"/>
  <c r="V1118" i="3"/>
  <c r="W1118" i="3"/>
  <c r="X1118" i="3"/>
  <c r="Y1118" i="3"/>
  <c r="Z1118" i="3"/>
  <c r="N1119" i="3"/>
  <c r="O1119" i="3"/>
  <c r="P1119" i="3"/>
  <c r="Q1119" i="3"/>
  <c r="R1119" i="3"/>
  <c r="S1119" i="3"/>
  <c r="T1119" i="3"/>
  <c r="U1119" i="3"/>
  <c r="V1119" i="3"/>
  <c r="W1119" i="3"/>
  <c r="X1119" i="3"/>
  <c r="Y1119" i="3"/>
  <c r="Z1119" i="3"/>
  <c r="N1120" i="3"/>
  <c r="O1120" i="3"/>
  <c r="P1120" i="3"/>
  <c r="Q1120" i="3"/>
  <c r="R1120" i="3"/>
  <c r="S1120" i="3"/>
  <c r="T1120" i="3"/>
  <c r="U1120" i="3"/>
  <c r="V1120" i="3"/>
  <c r="W1120" i="3"/>
  <c r="X1120" i="3"/>
  <c r="Y1120" i="3"/>
  <c r="Z1120" i="3"/>
  <c r="N1121" i="3"/>
  <c r="O1121" i="3"/>
  <c r="P1121" i="3"/>
  <c r="Q1121" i="3"/>
  <c r="R1121" i="3"/>
  <c r="S1121" i="3"/>
  <c r="T1121" i="3"/>
  <c r="U1121" i="3"/>
  <c r="V1121" i="3"/>
  <c r="W1121" i="3"/>
  <c r="X1121" i="3"/>
  <c r="Y1121" i="3"/>
  <c r="Z1121" i="3"/>
  <c r="N1122" i="3"/>
  <c r="O1122" i="3"/>
  <c r="P1122" i="3"/>
  <c r="Q1122" i="3"/>
  <c r="R1122" i="3"/>
  <c r="S1122" i="3"/>
  <c r="T1122" i="3"/>
  <c r="U1122" i="3"/>
  <c r="V1122" i="3"/>
  <c r="W1122" i="3"/>
  <c r="X1122" i="3"/>
  <c r="Y1122" i="3"/>
  <c r="Z1122" i="3"/>
  <c r="N1123" i="3"/>
  <c r="O1123" i="3"/>
  <c r="P1123" i="3"/>
  <c r="Q1123" i="3"/>
  <c r="R1123" i="3"/>
  <c r="S1123" i="3"/>
  <c r="T1123" i="3"/>
  <c r="U1123" i="3"/>
  <c r="V1123" i="3"/>
  <c r="W1123" i="3"/>
  <c r="X1123" i="3"/>
  <c r="Y1123" i="3"/>
  <c r="Z1123" i="3"/>
  <c r="N1124" i="3"/>
  <c r="O1124" i="3"/>
  <c r="P1124" i="3"/>
  <c r="Q1124" i="3"/>
  <c r="R1124" i="3"/>
  <c r="S1124" i="3"/>
  <c r="T1124" i="3"/>
  <c r="U1124" i="3"/>
  <c r="V1124" i="3"/>
  <c r="W1124" i="3"/>
  <c r="X1124" i="3"/>
  <c r="Y1124" i="3"/>
  <c r="Z1124" i="3"/>
  <c r="N1125" i="3"/>
  <c r="O1125" i="3"/>
  <c r="P1125" i="3"/>
  <c r="Q1125" i="3"/>
  <c r="R1125" i="3"/>
  <c r="S1125" i="3"/>
  <c r="T1125" i="3"/>
  <c r="U1125" i="3"/>
  <c r="V1125" i="3"/>
  <c r="W1125" i="3"/>
  <c r="X1125" i="3"/>
  <c r="Y1125" i="3"/>
  <c r="Z1125" i="3"/>
  <c r="N1126" i="3"/>
  <c r="O1126" i="3"/>
  <c r="P1126" i="3"/>
  <c r="Q1126" i="3"/>
  <c r="R1126" i="3"/>
  <c r="S1126" i="3"/>
  <c r="T1126" i="3"/>
  <c r="U1126" i="3"/>
  <c r="V1126" i="3"/>
  <c r="W1126" i="3"/>
  <c r="X1126" i="3"/>
  <c r="Y1126" i="3"/>
  <c r="Z1126" i="3"/>
  <c r="N1127" i="3"/>
  <c r="O1127" i="3"/>
  <c r="P1127" i="3"/>
  <c r="Q1127" i="3"/>
  <c r="R1127" i="3"/>
  <c r="S1127" i="3"/>
  <c r="T1127" i="3"/>
  <c r="U1127" i="3"/>
  <c r="V1127" i="3"/>
  <c r="W1127" i="3"/>
  <c r="X1127" i="3"/>
  <c r="Y1127" i="3"/>
  <c r="Z1127" i="3"/>
  <c r="N1128" i="3"/>
  <c r="O1128" i="3"/>
  <c r="P1128" i="3"/>
  <c r="Q1128" i="3"/>
  <c r="R1128" i="3"/>
  <c r="S1128" i="3"/>
  <c r="T1128" i="3"/>
  <c r="U1128" i="3"/>
  <c r="V1128" i="3"/>
  <c r="W1128" i="3"/>
  <c r="X1128" i="3"/>
  <c r="Y1128" i="3"/>
  <c r="Z1128" i="3"/>
  <c r="N1129" i="3"/>
  <c r="O1129" i="3"/>
  <c r="P1129" i="3"/>
  <c r="Q1129" i="3"/>
  <c r="R1129" i="3"/>
  <c r="S1129" i="3"/>
  <c r="T1129" i="3"/>
  <c r="U1129" i="3"/>
  <c r="V1129" i="3"/>
  <c r="W1129" i="3"/>
  <c r="X1129" i="3"/>
  <c r="Y1129" i="3"/>
  <c r="Z1129" i="3"/>
  <c r="N1130" i="3"/>
  <c r="O1130" i="3"/>
  <c r="P1130" i="3"/>
  <c r="Q1130" i="3"/>
  <c r="R1130" i="3"/>
  <c r="S1130" i="3"/>
  <c r="T1130" i="3"/>
  <c r="U1130" i="3"/>
  <c r="V1130" i="3"/>
  <c r="W1130" i="3"/>
  <c r="X1130" i="3"/>
  <c r="Y1130" i="3"/>
  <c r="Z1130" i="3"/>
  <c r="N1131" i="3"/>
  <c r="O1131" i="3"/>
  <c r="P1131" i="3"/>
  <c r="Q1131" i="3"/>
  <c r="R1131" i="3"/>
  <c r="S1131" i="3"/>
  <c r="T1131" i="3"/>
  <c r="U1131" i="3"/>
  <c r="V1131" i="3"/>
  <c r="W1131" i="3"/>
  <c r="X1131" i="3"/>
  <c r="Y1131" i="3"/>
  <c r="Z1131" i="3"/>
  <c r="N1132" i="3"/>
  <c r="O1132" i="3"/>
  <c r="P1132" i="3"/>
  <c r="Q1132" i="3"/>
  <c r="R1132" i="3"/>
  <c r="S1132" i="3"/>
  <c r="T1132" i="3"/>
  <c r="U1132" i="3"/>
  <c r="V1132" i="3"/>
  <c r="W1132" i="3"/>
  <c r="X1132" i="3"/>
  <c r="Y1132" i="3"/>
  <c r="Z1132" i="3"/>
  <c r="N1133" i="3"/>
  <c r="O1133" i="3"/>
  <c r="P1133" i="3"/>
  <c r="Q1133" i="3"/>
  <c r="R1133" i="3"/>
  <c r="S1133" i="3"/>
  <c r="T1133" i="3"/>
  <c r="U1133" i="3"/>
  <c r="V1133" i="3"/>
  <c r="W1133" i="3"/>
  <c r="X1133" i="3"/>
  <c r="Y1133" i="3"/>
  <c r="Z1133" i="3"/>
  <c r="N1134" i="3"/>
  <c r="O1134" i="3"/>
  <c r="P1134" i="3"/>
  <c r="Q1134" i="3"/>
  <c r="R1134" i="3"/>
  <c r="S1134" i="3"/>
  <c r="T1134" i="3"/>
  <c r="U1134" i="3"/>
  <c r="V1134" i="3"/>
  <c r="W1134" i="3"/>
  <c r="X1134" i="3"/>
  <c r="Y1134" i="3"/>
  <c r="Z1134" i="3"/>
  <c r="N1135" i="3"/>
  <c r="O1135" i="3"/>
  <c r="P1135" i="3"/>
  <c r="Q1135" i="3"/>
  <c r="R1135" i="3"/>
  <c r="S1135" i="3"/>
  <c r="T1135" i="3"/>
  <c r="U1135" i="3"/>
  <c r="V1135" i="3"/>
  <c r="W1135" i="3"/>
  <c r="X1135" i="3"/>
  <c r="Y1135" i="3"/>
  <c r="Z1135" i="3"/>
  <c r="N1136" i="3"/>
  <c r="O1136" i="3"/>
  <c r="P1136" i="3"/>
  <c r="Q1136" i="3"/>
  <c r="R1136" i="3"/>
  <c r="S1136" i="3"/>
  <c r="T1136" i="3"/>
  <c r="U1136" i="3"/>
  <c r="V1136" i="3"/>
  <c r="W1136" i="3"/>
  <c r="X1136" i="3"/>
  <c r="Y1136" i="3"/>
  <c r="Z1136" i="3"/>
  <c r="N1137" i="3"/>
  <c r="O1137" i="3"/>
  <c r="P1137" i="3"/>
  <c r="Q1137" i="3"/>
  <c r="R1137" i="3"/>
  <c r="S1137" i="3"/>
  <c r="T1137" i="3"/>
  <c r="U1137" i="3"/>
  <c r="V1137" i="3"/>
  <c r="W1137" i="3"/>
  <c r="X1137" i="3"/>
  <c r="Y1137" i="3"/>
  <c r="Z1137" i="3"/>
  <c r="N1138" i="3"/>
  <c r="O1138" i="3"/>
  <c r="P1138" i="3"/>
  <c r="Q1138" i="3"/>
  <c r="R1138" i="3"/>
  <c r="S1138" i="3"/>
  <c r="T1138" i="3"/>
  <c r="U1138" i="3"/>
  <c r="V1138" i="3"/>
  <c r="W1138" i="3"/>
  <c r="X1138" i="3"/>
  <c r="Y1138" i="3"/>
  <c r="Z1138" i="3"/>
  <c r="N1139" i="3"/>
  <c r="O1139" i="3"/>
  <c r="P1139" i="3"/>
  <c r="Q1139" i="3"/>
  <c r="R1139" i="3"/>
  <c r="S1139" i="3"/>
  <c r="T1139" i="3"/>
  <c r="U1139" i="3"/>
  <c r="V1139" i="3"/>
  <c r="W1139" i="3"/>
  <c r="X1139" i="3"/>
  <c r="Y1139" i="3"/>
  <c r="Z1139" i="3"/>
  <c r="N1140" i="3"/>
  <c r="O1140" i="3"/>
  <c r="P1140" i="3"/>
  <c r="Q1140" i="3"/>
  <c r="R1140" i="3"/>
  <c r="S1140" i="3"/>
  <c r="T1140" i="3"/>
  <c r="U1140" i="3"/>
  <c r="V1140" i="3"/>
  <c r="W1140" i="3"/>
  <c r="X1140" i="3"/>
  <c r="Y1140" i="3"/>
  <c r="Z1140" i="3"/>
  <c r="N1141" i="3"/>
  <c r="O1141" i="3"/>
  <c r="P1141" i="3"/>
  <c r="Q1141" i="3"/>
  <c r="R1141" i="3"/>
  <c r="S1141" i="3"/>
  <c r="T1141" i="3"/>
  <c r="U1141" i="3"/>
  <c r="V1141" i="3"/>
  <c r="W1141" i="3"/>
  <c r="X1141" i="3"/>
  <c r="Y1141" i="3"/>
  <c r="Z1141" i="3"/>
  <c r="N1142" i="3"/>
  <c r="O1142" i="3"/>
  <c r="P1142" i="3"/>
  <c r="Q1142" i="3"/>
  <c r="R1142" i="3"/>
  <c r="S1142" i="3"/>
  <c r="T1142" i="3"/>
  <c r="U1142" i="3"/>
  <c r="V1142" i="3"/>
  <c r="W1142" i="3"/>
  <c r="X1142" i="3"/>
  <c r="Y1142" i="3"/>
  <c r="Z1142" i="3"/>
  <c r="N1143" i="3"/>
  <c r="O1143" i="3"/>
  <c r="P1143" i="3"/>
  <c r="Q1143" i="3"/>
  <c r="R1143" i="3"/>
  <c r="S1143" i="3"/>
  <c r="T1143" i="3"/>
  <c r="U1143" i="3"/>
  <c r="V1143" i="3"/>
  <c r="W1143" i="3"/>
  <c r="X1143" i="3"/>
  <c r="Y1143" i="3"/>
  <c r="Z1143" i="3"/>
  <c r="N1144" i="3"/>
  <c r="O1144" i="3"/>
  <c r="P1144" i="3"/>
  <c r="Q1144" i="3"/>
  <c r="R1144" i="3"/>
  <c r="S1144" i="3"/>
  <c r="T1144" i="3"/>
  <c r="U1144" i="3"/>
  <c r="V1144" i="3"/>
  <c r="W1144" i="3"/>
  <c r="X1144" i="3"/>
  <c r="Y1144" i="3"/>
  <c r="Z1144" i="3"/>
  <c r="N1145" i="3"/>
  <c r="O1145" i="3"/>
  <c r="P1145" i="3"/>
  <c r="Q1145" i="3"/>
  <c r="R1145" i="3"/>
  <c r="S1145" i="3"/>
  <c r="T1145" i="3"/>
  <c r="U1145" i="3"/>
  <c r="V1145" i="3"/>
  <c r="W1145" i="3"/>
  <c r="X1145" i="3"/>
  <c r="Y1145" i="3"/>
  <c r="Z1145" i="3"/>
  <c r="N1146" i="3"/>
  <c r="O1146" i="3"/>
  <c r="P1146" i="3"/>
  <c r="Q1146" i="3"/>
  <c r="R1146" i="3"/>
  <c r="S1146" i="3"/>
  <c r="T1146" i="3"/>
  <c r="U1146" i="3"/>
  <c r="V1146" i="3"/>
  <c r="W1146" i="3"/>
  <c r="X1146" i="3"/>
  <c r="Y1146" i="3"/>
  <c r="Z1146" i="3"/>
  <c r="N1147" i="3"/>
  <c r="O1147" i="3"/>
  <c r="P1147" i="3"/>
  <c r="Q1147" i="3"/>
  <c r="R1147" i="3"/>
  <c r="S1147" i="3"/>
  <c r="T1147" i="3"/>
  <c r="U1147" i="3"/>
  <c r="V1147" i="3"/>
  <c r="W1147" i="3"/>
  <c r="X1147" i="3"/>
  <c r="Y1147" i="3"/>
  <c r="Z1147" i="3"/>
  <c r="N1148" i="3"/>
  <c r="O1148" i="3"/>
  <c r="P1148" i="3"/>
  <c r="Q1148" i="3"/>
  <c r="R1148" i="3"/>
  <c r="S1148" i="3"/>
  <c r="T1148" i="3"/>
  <c r="U1148" i="3"/>
  <c r="V1148" i="3"/>
  <c r="W1148" i="3"/>
  <c r="X1148" i="3"/>
  <c r="Y1148" i="3"/>
  <c r="Z1148" i="3"/>
  <c r="N1149" i="3"/>
  <c r="O1149" i="3"/>
  <c r="P1149" i="3"/>
  <c r="Q1149" i="3"/>
  <c r="R1149" i="3"/>
  <c r="S1149" i="3"/>
  <c r="T1149" i="3"/>
  <c r="U1149" i="3"/>
  <c r="V1149" i="3"/>
  <c r="W1149" i="3"/>
  <c r="X1149" i="3"/>
  <c r="Y1149" i="3"/>
  <c r="Z1149" i="3"/>
  <c r="N1150" i="3"/>
  <c r="O1150" i="3"/>
  <c r="P1150" i="3"/>
  <c r="Q1150" i="3"/>
  <c r="R1150" i="3"/>
  <c r="S1150" i="3"/>
  <c r="T1150" i="3"/>
  <c r="U1150" i="3"/>
  <c r="V1150" i="3"/>
  <c r="W1150" i="3"/>
  <c r="X1150" i="3"/>
  <c r="Y1150" i="3"/>
  <c r="Z1150" i="3"/>
  <c r="N1151" i="3"/>
  <c r="O1151" i="3"/>
  <c r="P1151" i="3"/>
  <c r="Q1151" i="3"/>
  <c r="R1151" i="3"/>
  <c r="S1151" i="3"/>
  <c r="T1151" i="3"/>
  <c r="U1151" i="3"/>
  <c r="V1151" i="3"/>
  <c r="W1151" i="3"/>
  <c r="X1151" i="3"/>
  <c r="Y1151" i="3"/>
  <c r="Z1151" i="3"/>
  <c r="N1152" i="3"/>
  <c r="O1152" i="3"/>
  <c r="P1152" i="3"/>
  <c r="Q1152" i="3"/>
  <c r="R1152" i="3"/>
  <c r="S1152" i="3"/>
  <c r="T1152" i="3"/>
  <c r="U1152" i="3"/>
  <c r="V1152" i="3"/>
  <c r="W1152" i="3"/>
  <c r="X1152" i="3"/>
  <c r="Y1152" i="3"/>
  <c r="Z1152" i="3"/>
  <c r="N1153" i="3"/>
  <c r="O1153" i="3"/>
  <c r="P1153" i="3"/>
  <c r="Q1153" i="3"/>
  <c r="R1153" i="3"/>
  <c r="S1153" i="3"/>
  <c r="T1153" i="3"/>
  <c r="U1153" i="3"/>
  <c r="V1153" i="3"/>
  <c r="W1153" i="3"/>
  <c r="X1153" i="3"/>
  <c r="Y1153" i="3"/>
  <c r="Z1153" i="3"/>
  <c r="N1154" i="3"/>
  <c r="O1154" i="3"/>
  <c r="P1154" i="3"/>
  <c r="Q1154" i="3"/>
  <c r="R1154" i="3"/>
  <c r="S1154" i="3"/>
  <c r="T1154" i="3"/>
  <c r="U1154" i="3"/>
  <c r="V1154" i="3"/>
  <c r="W1154" i="3"/>
  <c r="X1154" i="3"/>
  <c r="Y1154" i="3"/>
  <c r="Z1154" i="3"/>
  <c r="N1155" i="3"/>
  <c r="O1155" i="3"/>
  <c r="P1155" i="3"/>
  <c r="Q1155" i="3"/>
  <c r="R1155" i="3"/>
  <c r="S1155" i="3"/>
  <c r="T1155" i="3"/>
  <c r="U1155" i="3"/>
  <c r="V1155" i="3"/>
  <c r="W1155" i="3"/>
  <c r="X1155" i="3"/>
  <c r="Y1155" i="3"/>
  <c r="Z1155" i="3"/>
  <c r="N1156" i="3"/>
  <c r="O1156" i="3"/>
  <c r="P1156" i="3"/>
  <c r="Q1156" i="3"/>
  <c r="R1156" i="3"/>
  <c r="S1156" i="3"/>
  <c r="T1156" i="3"/>
  <c r="U1156" i="3"/>
  <c r="V1156" i="3"/>
  <c r="W1156" i="3"/>
  <c r="X1156" i="3"/>
  <c r="Y1156" i="3"/>
  <c r="Z1156" i="3"/>
  <c r="N1157" i="3"/>
  <c r="O1157" i="3"/>
  <c r="P1157" i="3"/>
  <c r="Q1157" i="3"/>
  <c r="R1157" i="3"/>
  <c r="S1157" i="3"/>
  <c r="T1157" i="3"/>
  <c r="U1157" i="3"/>
  <c r="V1157" i="3"/>
  <c r="W1157" i="3"/>
  <c r="X1157" i="3"/>
  <c r="Y1157" i="3"/>
  <c r="Z1157" i="3"/>
  <c r="N1158" i="3"/>
  <c r="O1158" i="3"/>
  <c r="P1158" i="3"/>
  <c r="Q1158" i="3"/>
  <c r="R1158" i="3"/>
  <c r="S1158" i="3"/>
  <c r="T1158" i="3"/>
  <c r="U1158" i="3"/>
  <c r="V1158" i="3"/>
  <c r="W1158" i="3"/>
  <c r="X1158" i="3"/>
  <c r="Y1158" i="3"/>
  <c r="Z1158" i="3"/>
  <c r="N1159" i="3"/>
  <c r="O1159" i="3"/>
  <c r="P1159" i="3"/>
  <c r="Q1159" i="3"/>
  <c r="R1159" i="3"/>
  <c r="S1159" i="3"/>
  <c r="T1159" i="3"/>
  <c r="U1159" i="3"/>
  <c r="V1159" i="3"/>
  <c r="W1159" i="3"/>
  <c r="X1159" i="3"/>
  <c r="Y1159" i="3"/>
  <c r="Z1159" i="3"/>
  <c r="N1160" i="3"/>
  <c r="O1160" i="3"/>
  <c r="P1160" i="3"/>
  <c r="Q1160" i="3"/>
  <c r="R1160" i="3"/>
  <c r="S1160" i="3"/>
  <c r="T1160" i="3"/>
  <c r="U1160" i="3"/>
  <c r="V1160" i="3"/>
  <c r="W1160" i="3"/>
  <c r="X1160" i="3"/>
  <c r="Y1160" i="3"/>
  <c r="Z1160" i="3"/>
  <c r="N1161" i="3"/>
  <c r="O1161" i="3"/>
  <c r="P1161" i="3"/>
  <c r="Q1161" i="3"/>
  <c r="R1161" i="3"/>
  <c r="S1161" i="3"/>
  <c r="T1161" i="3"/>
  <c r="U1161" i="3"/>
  <c r="V1161" i="3"/>
  <c r="W1161" i="3"/>
  <c r="X1161" i="3"/>
  <c r="Y1161" i="3"/>
  <c r="Z1161" i="3"/>
  <c r="N1162" i="3"/>
  <c r="O1162" i="3"/>
  <c r="P1162" i="3"/>
  <c r="Q1162" i="3"/>
  <c r="R1162" i="3"/>
  <c r="S1162" i="3"/>
  <c r="T1162" i="3"/>
  <c r="U1162" i="3"/>
  <c r="V1162" i="3"/>
  <c r="W1162" i="3"/>
  <c r="X1162" i="3"/>
  <c r="Y1162" i="3"/>
  <c r="Z1162" i="3"/>
  <c r="N1163" i="3"/>
  <c r="O1163" i="3"/>
  <c r="P1163" i="3"/>
  <c r="Q1163" i="3"/>
  <c r="R1163" i="3"/>
  <c r="S1163" i="3"/>
  <c r="T1163" i="3"/>
  <c r="U1163" i="3"/>
  <c r="V1163" i="3"/>
  <c r="W1163" i="3"/>
  <c r="X1163" i="3"/>
  <c r="Y1163" i="3"/>
  <c r="Z1163" i="3"/>
  <c r="N1164" i="3"/>
  <c r="O1164" i="3"/>
  <c r="P1164" i="3"/>
  <c r="Q1164" i="3"/>
  <c r="R1164" i="3"/>
  <c r="S1164" i="3"/>
  <c r="T1164" i="3"/>
  <c r="U1164" i="3"/>
  <c r="V1164" i="3"/>
  <c r="W1164" i="3"/>
  <c r="X1164" i="3"/>
  <c r="Y1164" i="3"/>
  <c r="Z1164" i="3"/>
  <c r="N1165" i="3"/>
  <c r="O1165" i="3"/>
  <c r="P1165" i="3"/>
  <c r="Q1165" i="3"/>
  <c r="R1165" i="3"/>
  <c r="S1165" i="3"/>
  <c r="T1165" i="3"/>
  <c r="U1165" i="3"/>
  <c r="V1165" i="3"/>
  <c r="W1165" i="3"/>
  <c r="X1165" i="3"/>
  <c r="Y1165" i="3"/>
  <c r="Z1165" i="3"/>
  <c r="N1166" i="3"/>
  <c r="O1166" i="3"/>
  <c r="P1166" i="3"/>
  <c r="Q1166" i="3"/>
  <c r="R1166" i="3"/>
  <c r="S1166" i="3"/>
  <c r="T1166" i="3"/>
  <c r="U1166" i="3"/>
  <c r="V1166" i="3"/>
  <c r="W1166" i="3"/>
  <c r="X1166" i="3"/>
  <c r="Y1166" i="3"/>
  <c r="Z1166" i="3"/>
  <c r="N1167" i="3"/>
  <c r="O1167" i="3"/>
  <c r="P1167" i="3"/>
  <c r="Q1167" i="3"/>
  <c r="R1167" i="3"/>
  <c r="S1167" i="3"/>
  <c r="T1167" i="3"/>
  <c r="U1167" i="3"/>
  <c r="V1167" i="3"/>
  <c r="W1167" i="3"/>
  <c r="X1167" i="3"/>
  <c r="Y1167" i="3"/>
  <c r="Z1167" i="3"/>
  <c r="N1168" i="3"/>
  <c r="O1168" i="3"/>
  <c r="P1168" i="3"/>
  <c r="Q1168" i="3"/>
  <c r="R1168" i="3"/>
  <c r="S1168" i="3"/>
  <c r="T1168" i="3"/>
  <c r="U1168" i="3"/>
  <c r="V1168" i="3"/>
  <c r="W1168" i="3"/>
  <c r="X1168" i="3"/>
  <c r="Y1168" i="3"/>
  <c r="Z1168" i="3"/>
  <c r="N1169" i="3"/>
  <c r="O1169" i="3"/>
  <c r="P1169" i="3"/>
  <c r="Q1169" i="3"/>
  <c r="R1169" i="3"/>
  <c r="S1169" i="3"/>
  <c r="T1169" i="3"/>
  <c r="U1169" i="3"/>
  <c r="V1169" i="3"/>
  <c r="W1169" i="3"/>
  <c r="X1169" i="3"/>
  <c r="Y1169" i="3"/>
  <c r="Z1169" i="3"/>
  <c r="N1170" i="3"/>
  <c r="O1170" i="3"/>
  <c r="P1170" i="3"/>
  <c r="Q1170" i="3"/>
  <c r="R1170" i="3"/>
  <c r="S1170" i="3"/>
  <c r="T1170" i="3"/>
  <c r="U1170" i="3"/>
  <c r="V1170" i="3"/>
  <c r="W1170" i="3"/>
  <c r="X1170" i="3"/>
  <c r="Y1170" i="3"/>
  <c r="Z1170" i="3"/>
  <c r="N1171" i="3"/>
  <c r="O1171" i="3"/>
  <c r="P1171" i="3"/>
  <c r="Q1171" i="3"/>
  <c r="R1171" i="3"/>
  <c r="S1171" i="3"/>
  <c r="T1171" i="3"/>
  <c r="U1171" i="3"/>
  <c r="V1171" i="3"/>
  <c r="W1171" i="3"/>
  <c r="X1171" i="3"/>
  <c r="Y1171" i="3"/>
  <c r="Z1171" i="3"/>
  <c r="N1172" i="3"/>
  <c r="O1172" i="3"/>
  <c r="P1172" i="3"/>
  <c r="Q1172" i="3"/>
  <c r="R1172" i="3"/>
  <c r="S1172" i="3"/>
  <c r="T1172" i="3"/>
  <c r="U1172" i="3"/>
  <c r="V1172" i="3"/>
  <c r="W1172" i="3"/>
  <c r="X1172" i="3"/>
  <c r="Y1172" i="3"/>
  <c r="Z1172" i="3"/>
  <c r="N1173" i="3"/>
  <c r="O1173" i="3"/>
  <c r="P1173" i="3"/>
  <c r="Q1173" i="3"/>
  <c r="R1173" i="3"/>
  <c r="S1173" i="3"/>
  <c r="T1173" i="3"/>
  <c r="U1173" i="3"/>
  <c r="V1173" i="3"/>
  <c r="W1173" i="3"/>
  <c r="X1173" i="3"/>
  <c r="Y1173" i="3"/>
  <c r="Z1173" i="3"/>
  <c r="N1174" i="3"/>
  <c r="O1174" i="3"/>
  <c r="P1174" i="3"/>
  <c r="Q1174" i="3"/>
  <c r="R1174" i="3"/>
  <c r="S1174" i="3"/>
  <c r="T1174" i="3"/>
  <c r="U1174" i="3"/>
  <c r="V1174" i="3"/>
  <c r="W1174" i="3"/>
  <c r="X1174" i="3"/>
  <c r="Y1174" i="3"/>
  <c r="Z1174" i="3"/>
  <c r="N1175" i="3"/>
  <c r="O1175" i="3"/>
  <c r="P1175" i="3"/>
  <c r="Q1175" i="3"/>
  <c r="R1175" i="3"/>
  <c r="S1175" i="3"/>
  <c r="T1175" i="3"/>
  <c r="U1175" i="3"/>
  <c r="V1175" i="3"/>
  <c r="W1175" i="3"/>
  <c r="X1175" i="3"/>
  <c r="Y1175" i="3"/>
  <c r="Z1175" i="3"/>
  <c r="N1176" i="3"/>
  <c r="O1176" i="3"/>
  <c r="P1176" i="3"/>
  <c r="Q1176" i="3"/>
  <c r="R1176" i="3"/>
  <c r="S1176" i="3"/>
  <c r="T1176" i="3"/>
  <c r="U1176" i="3"/>
  <c r="V1176" i="3"/>
  <c r="W1176" i="3"/>
  <c r="X1176" i="3"/>
  <c r="Y1176" i="3"/>
  <c r="Z1176" i="3"/>
  <c r="N1177" i="3"/>
  <c r="O1177" i="3"/>
  <c r="P1177" i="3"/>
  <c r="Q1177" i="3"/>
  <c r="R1177" i="3"/>
  <c r="S1177" i="3"/>
  <c r="T1177" i="3"/>
  <c r="U1177" i="3"/>
  <c r="V1177" i="3"/>
  <c r="W1177" i="3"/>
  <c r="X1177" i="3"/>
  <c r="Y1177" i="3"/>
  <c r="Z1177" i="3"/>
  <c r="N1178" i="3"/>
  <c r="O1178" i="3"/>
  <c r="P1178" i="3"/>
  <c r="Q1178" i="3"/>
  <c r="R1178" i="3"/>
  <c r="S1178" i="3"/>
  <c r="T1178" i="3"/>
  <c r="U1178" i="3"/>
  <c r="V1178" i="3"/>
  <c r="W1178" i="3"/>
  <c r="X1178" i="3"/>
  <c r="Y1178" i="3"/>
  <c r="Z1178" i="3"/>
  <c r="N1179" i="3"/>
  <c r="O1179" i="3"/>
  <c r="P1179" i="3"/>
  <c r="Q1179" i="3"/>
  <c r="R1179" i="3"/>
  <c r="S1179" i="3"/>
  <c r="T1179" i="3"/>
  <c r="U1179" i="3"/>
  <c r="V1179" i="3"/>
  <c r="W1179" i="3"/>
  <c r="X1179" i="3"/>
  <c r="Y1179" i="3"/>
  <c r="Z1179" i="3"/>
  <c r="N1180" i="3"/>
  <c r="O1180" i="3"/>
  <c r="P1180" i="3"/>
  <c r="Q1180" i="3"/>
  <c r="R1180" i="3"/>
  <c r="S1180" i="3"/>
  <c r="T1180" i="3"/>
  <c r="U1180" i="3"/>
  <c r="V1180" i="3"/>
  <c r="W1180" i="3"/>
  <c r="X1180" i="3"/>
  <c r="Y1180" i="3"/>
  <c r="Z1180" i="3"/>
  <c r="N1181" i="3"/>
  <c r="O1181" i="3"/>
  <c r="P1181" i="3"/>
  <c r="Q1181" i="3"/>
  <c r="R1181" i="3"/>
  <c r="S1181" i="3"/>
  <c r="T1181" i="3"/>
  <c r="U1181" i="3"/>
  <c r="V1181" i="3"/>
  <c r="W1181" i="3"/>
  <c r="X1181" i="3"/>
  <c r="Y1181" i="3"/>
  <c r="Z1181" i="3"/>
  <c r="N1182" i="3"/>
  <c r="O1182" i="3"/>
  <c r="P1182" i="3"/>
  <c r="Q1182" i="3"/>
  <c r="R1182" i="3"/>
  <c r="S1182" i="3"/>
  <c r="T1182" i="3"/>
  <c r="U1182" i="3"/>
  <c r="V1182" i="3"/>
  <c r="W1182" i="3"/>
  <c r="X1182" i="3"/>
  <c r="Y1182" i="3"/>
  <c r="Z1182" i="3"/>
  <c r="N1183" i="3"/>
  <c r="O1183" i="3"/>
  <c r="P1183" i="3"/>
  <c r="Q1183" i="3"/>
  <c r="R1183" i="3"/>
  <c r="S1183" i="3"/>
  <c r="T1183" i="3"/>
  <c r="U1183" i="3"/>
  <c r="V1183" i="3"/>
  <c r="W1183" i="3"/>
  <c r="X1183" i="3"/>
  <c r="Y1183" i="3"/>
  <c r="Z1183" i="3"/>
  <c r="N1184" i="3"/>
  <c r="O1184" i="3"/>
  <c r="P1184" i="3"/>
  <c r="Q1184" i="3"/>
  <c r="R1184" i="3"/>
  <c r="S1184" i="3"/>
  <c r="T1184" i="3"/>
  <c r="U1184" i="3"/>
  <c r="V1184" i="3"/>
  <c r="W1184" i="3"/>
  <c r="X1184" i="3"/>
  <c r="Y1184" i="3"/>
  <c r="Z1184" i="3"/>
  <c r="N1185" i="3"/>
  <c r="O1185" i="3"/>
  <c r="P1185" i="3"/>
  <c r="Q1185" i="3"/>
  <c r="R1185" i="3"/>
  <c r="S1185" i="3"/>
  <c r="T1185" i="3"/>
  <c r="U1185" i="3"/>
  <c r="V1185" i="3"/>
  <c r="W1185" i="3"/>
  <c r="X1185" i="3"/>
  <c r="Y1185" i="3"/>
  <c r="Z1185" i="3"/>
  <c r="N1186" i="3"/>
  <c r="O1186" i="3"/>
  <c r="P1186" i="3"/>
  <c r="Q1186" i="3"/>
  <c r="R1186" i="3"/>
  <c r="S1186" i="3"/>
  <c r="T1186" i="3"/>
  <c r="U1186" i="3"/>
  <c r="V1186" i="3"/>
  <c r="W1186" i="3"/>
  <c r="X1186" i="3"/>
  <c r="Y1186" i="3"/>
  <c r="Z1186" i="3"/>
  <c r="N1187" i="3"/>
  <c r="O1187" i="3"/>
  <c r="P1187" i="3"/>
  <c r="Q1187" i="3"/>
  <c r="R1187" i="3"/>
  <c r="S1187" i="3"/>
  <c r="T1187" i="3"/>
  <c r="U1187" i="3"/>
  <c r="V1187" i="3"/>
  <c r="W1187" i="3"/>
  <c r="X1187" i="3"/>
  <c r="Y1187" i="3"/>
  <c r="Z1187" i="3"/>
  <c r="N1188" i="3"/>
  <c r="O1188" i="3"/>
  <c r="P1188" i="3"/>
  <c r="Q1188" i="3"/>
  <c r="R1188" i="3"/>
  <c r="S1188" i="3"/>
  <c r="T1188" i="3"/>
  <c r="U1188" i="3"/>
  <c r="V1188" i="3"/>
  <c r="W1188" i="3"/>
  <c r="X1188" i="3"/>
  <c r="Y1188" i="3"/>
  <c r="Z1188" i="3"/>
  <c r="N1189" i="3"/>
  <c r="O1189" i="3"/>
  <c r="P1189" i="3"/>
  <c r="Q1189" i="3"/>
  <c r="R1189" i="3"/>
  <c r="S1189" i="3"/>
  <c r="T1189" i="3"/>
  <c r="U1189" i="3"/>
  <c r="V1189" i="3"/>
  <c r="W1189" i="3"/>
  <c r="X1189" i="3"/>
  <c r="Y1189" i="3"/>
  <c r="Z1189" i="3"/>
  <c r="N1190" i="3"/>
  <c r="O1190" i="3"/>
  <c r="P1190" i="3"/>
  <c r="Q1190" i="3"/>
  <c r="R1190" i="3"/>
  <c r="S1190" i="3"/>
  <c r="T1190" i="3"/>
  <c r="U1190" i="3"/>
  <c r="V1190" i="3"/>
  <c r="W1190" i="3"/>
  <c r="X1190" i="3"/>
  <c r="Y1190" i="3"/>
  <c r="Z1190" i="3"/>
  <c r="N1191" i="3"/>
  <c r="O1191" i="3"/>
  <c r="P1191" i="3"/>
  <c r="Q1191" i="3"/>
  <c r="R1191" i="3"/>
  <c r="S1191" i="3"/>
  <c r="T1191" i="3"/>
  <c r="U1191" i="3"/>
  <c r="V1191" i="3"/>
  <c r="W1191" i="3"/>
  <c r="X1191" i="3"/>
  <c r="Y1191" i="3"/>
  <c r="Z1191" i="3"/>
  <c r="N1192" i="3"/>
  <c r="O1192" i="3"/>
  <c r="P1192" i="3"/>
  <c r="Q1192" i="3"/>
  <c r="R1192" i="3"/>
  <c r="S1192" i="3"/>
  <c r="T1192" i="3"/>
  <c r="U1192" i="3"/>
  <c r="V1192" i="3"/>
  <c r="W1192" i="3"/>
  <c r="X1192" i="3"/>
  <c r="Y1192" i="3"/>
  <c r="Z1192" i="3"/>
  <c r="N1193" i="3"/>
  <c r="O1193" i="3"/>
  <c r="P1193" i="3"/>
  <c r="Q1193" i="3"/>
  <c r="R1193" i="3"/>
  <c r="S1193" i="3"/>
  <c r="T1193" i="3"/>
  <c r="U1193" i="3"/>
  <c r="V1193" i="3"/>
  <c r="W1193" i="3"/>
  <c r="X1193" i="3"/>
  <c r="Y1193" i="3"/>
  <c r="Z1193" i="3"/>
  <c r="N1194" i="3"/>
  <c r="O1194" i="3"/>
  <c r="P1194" i="3"/>
  <c r="Q1194" i="3"/>
  <c r="R1194" i="3"/>
  <c r="S1194" i="3"/>
  <c r="T1194" i="3"/>
  <c r="U1194" i="3"/>
  <c r="V1194" i="3"/>
  <c r="W1194" i="3"/>
  <c r="X1194" i="3"/>
  <c r="Y1194" i="3"/>
  <c r="Z1194" i="3"/>
  <c r="N1195" i="3"/>
  <c r="O1195" i="3"/>
  <c r="P1195" i="3"/>
  <c r="Q1195" i="3"/>
  <c r="R1195" i="3"/>
  <c r="S1195" i="3"/>
  <c r="T1195" i="3"/>
  <c r="U1195" i="3"/>
  <c r="V1195" i="3"/>
  <c r="W1195" i="3"/>
  <c r="X1195" i="3"/>
  <c r="Y1195" i="3"/>
  <c r="Z1195" i="3"/>
  <c r="N1196" i="3"/>
  <c r="O1196" i="3"/>
  <c r="P1196" i="3"/>
  <c r="Q1196" i="3"/>
  <c r="R1196" i="3"/>
  <c r="S1196" i="3"/>
  <c r="T1196" i="3"/>
  <c r="U1196" i="3"/>
  <c r="V1196" i="3"/>
  <c r="W1196" i="3"/>
  <c r="X1196" i="3"/>
  <c r="Y1196" i="3"/>
  <c r="Z1196" i="3"/>
  <c r="N1197" i="3"/>
  <c r="O1197" i="3"/>
  <c r="P1197" i="3"/>
  <c r="Q1197" i="3"/>
  <c r="R1197" i="3"/>
  <c r="S1197" i="3"/>
  <c r="T1197" i="3"/>
  <c r="U1197" i="3"/>
  <c r="V1197" i="3"/>
  <c r="W1197" i="3"/>
  <c r="X1197" i="3"/>
  <c r="Y1197" i="3"/>
  <c r="Z1197" i="3"/>
  <c r="N1198" i="3"/>
  <c r="O1198" i="3"/>
  <c r="P1198" i="3"/>
  <c r="Q1198" i="3"/>
  <c r="R1198" i="3"/>
  <c r="S1198" i="3"/>
  <c r="T1198" i="3"/>
  <c r="U1198" i="3"/>
  <c r="V1198" i="3"/>
  <c r="W1198" i="3"/>
  <c r="X1198" i="3"/>
  <c r="Y1198" i="3"/>
  <c r="Z1198" i="3"/>
  <c r="N1199" i="3"/>
  <c r="O1199" i="3"/>
  <c r="P1199" i="3"/>
  <c r="Q1199" i="3"/>
  <c r="R1199" i="3"/>
  <c r="S1199" i="3"/>
  <c r="T1199" i="3"/>
  <c r="U1199" i="3"/>
  <c r="V1199" i="3"/>
  <c r="W1199" i="3"/>
  <c r="X1199" i="3"/>
  <c r="Y1199" i="3"/>
  <c r="Z1199" i="3"/>
  <c r="N1200" i="3"/>
  <c r="O1200" i="3"/>
  <c r="P1200" i="3"/>
  <c r="Q1200" i="3"/>
  <c r="R1200" i="3"/>
  <c r="S1200" i="3"/>
  <c r="T1200" i="3"/>
  <c r="U1200" i="3"/>
  <c r="V1200" i="3"/>
  <c r="W1200" i="3"/>
  <c r="X1200" i="3"/>
  <c r="Y1200" i="3"/>
  <c r="Z1200" i="3"/>
  <c r="N1201" i="3"/>
  <c r="P1201" i="3" s="1"/>
  <c r="O1201" i="3"/>
  <c r="Q1201" i="3" s="1"/>
  <c r="T1201" i="3"/>
  <c r="U1201" i="3"/>
  <c r="V1201" i="3"/>
  <c r="W1201" i="3"/>
  <c r="X1201" i="3"/>
  <c r="Y1201" i="3"/>
  <c r="N1202" i="3"/>
  <c r="O1202" i="3"/>
  <c r="W1202" i="3"/>
  <c r="X1202" i="3"/>
  <c r="Y1202" i="3"/>
  <c r="N1203" i="3"/>
  <c r="P1203" i="3" s="1"/>
  <c r="O1203" i="3"/>
  <c r="Q1203" i="3" s="1"/>
  <c r="T1203" i="3"/>
  <c r="U1203" i="3"/>
  <c r="V1203" i="3"/>
  <c r="W1203" i="3"/>
  <c r="X1203" i="3"/>
  <c r="Y1203" i="3"/>
  <c r="N1204" i="3"/>
  <c r="P1204" i="3" s="1"/>
  <c r="O1204" i="3"/>
  <c r="Q1204" i="3"/>
  <c r="T1204" i="3"/>
  <c r="U1204" i="3"/>
  <c r="V1204" i="3"/>
  <c r="W1204" i="3"/>
  <c r="X1204" i="3"/>
  <c r="Y1204" i="3"/>
  <c r="N1205" i="3"/>
  <c r="O1205" i="3"/>
  <c r="P1205" i="3"/>
  <c r="R1205" i="3" s="1"/>
  <c r="Q1205" i="3"/>
  <c r="S1205" i="3" s="1"/>
  <c r="T1205" i="3"/>
  <c r="U1205" i="3"/>
  <c r="V1205" i="3"/>
  <c r="W1205" i="3"/>
  <c r="X1205" i="3"/>
  <c r="Y1205" i="3"/>
  <c r="Z1205" i="3"/>
  <c r="N1206" i="3"/>
  <c r="P1206" i="3" s="1"/>
  <c r="O1206" i="3"/>
  <c r="Q1206" i="3" s="1"/>
  <c r="T1206" i="3"/>
  <c r="U1206" i="3"/>
  <c r="V1206" i="3"/>
  <c r="W1206" i="3"/>
  <c r="X1206" i="3"/>
  <c r="Y1206" i="3"/>
  <c r="N1207" i="3"/>
  <c r="O1207" i="3"/>
  <c r="Q1207" i="3" s="1"/>
  <c r="S1207" i="3" s="1"/>
  <c r="P1207" i="3"/>
  <c r="R1207" i="3"/>
  <c r="T1207" i="3"/>
  <c r="U1207" i="3"/>
  <c r="V1207" i="3"/>
  <c r="W1207" i="3"/>
  <c r="X1207" i="3"/>
  <c r="Y1207" i="3"/>
  <c r="Z1207" i="3"/>
  <c r="N1208" i="3"/>
  <c r="P1208" i="3" s="1"/>
  <c r="O1208" i="3"/>
  <c r="Q1208" i="3"/>
  <c r="T1208" i="3"/>
  <c r="U1208" i="3"/>
  <c r="V1208" i="3"/>
  <c r="W1208" i="3"/>
  <c r="X1208" i="3"/>
  <c r="Y1208" i="3"/>
  <c r="N1209" i="3"/>
  <c r="O1209" i="3"/>
  <c r="T1209" i="3"/>
  <c r="U1209" i="3"/>
  <c r="V1209" i="3"/>
  <c r="W1209" i="3"/>
  <c r="X1209" i="3"/>
  <c r="Y1209" i="3"/>
  <c r="N1210" i="3"/>
  <c r="O1210" i="3"/>
  <c r="T1210" i="3"/>
  <c r="U1210" i="3"/>
  <c r="V1210" i="3"/>
  <c r="W1210" i="3"/>
  <c r="X1210" i="3"/>
  <c r="Y1210" i="3"/>
  <c r="N1211" i="3"/>
  <c r="O1211" i="3"/>
  <c r="T1211" i="3"/>
  <c r="U1211" i="3"/>
  <c r="V1211" i="3"/>
  <c r="W1211" i="3"/>
  <c r="X1211" i="3"/>
  <c r="Y1211" i="3"/>
  <c r="N1212" i="3"/>
  <c r="P1212" i="3" s="1"/>
  <c r="O1212" i="3"/>
  <c r="Q1212" i="3" s="1"/>
  <c r="T1212" i="3"/>
  <c r="U1212" i="3"/>
  <c r="V1212" i="3"/>
  <c r="W1212" i="3"/>
  <c r="X1212" i="3"/>
  <c r="Y1212" i="3"/>
  <c r="N1213" i="3"/>
  <c r="O1213" i="3"/>
  <c r="T1213" i="3"/>
  <c r="U1213" i="3"/>
  <c r="V1213" i="3"/>
  <c r="W1213" i="3"/>
  <c r="X1213" i="3"/>
  <c r="Y1213" i="3"/>
  <c r="N1214" i="3"/>
  <c r="O1214" i="3"/>
  <c r="T1214" i="3"/>
  <c r="U1214" i="3"/>
  <c r="V1214" i="3"/>
  <c r="W1214" i="3"/>
  <c r="X1214" i="3"/>
  <c r="Y1214" i="3"/>
  <c r="N1215" i="3"/>
  <c r="O1215" i="3"/>
  <c r="T1215" i="3"/>
  <c r="U1215" i="3"/>
  <c r="V1215" i="3"/>
  <c r="W1215" i="3"/>
  <c r="X1215" i="3"/>
  <c r="Y1215" i="3"/>
  <c r="N1216" i="3"/>
  <c r="O1216" i="3"/>
  <c r="T1216" i="3"/>
  <c r="U1216" i="3"/>
  <c r="V1216" i="3"/>
  <c r="W1216" i="3"/>
  <c r="X1216" i="3"/>
  <c r="Y1216" i="3"/>
  <c r="N1217" i="3"/>
  <c r="O1217" i="3"/>
  <c r="T1217" i="3"/>
  <c r="U1217" i="3"/>
  <c r="V1217" i="3"/>
  <c r="W1217" i="3"/>
  <c r="X1217" i="3"/>
  <c r="Y1217" i="3"/>
  <c r="N1218" i="3"/>
  <c r="O1218" i="3"/>
  <c r="U1218" i="3"/>
  <c r="V1218" i="3"/>
  <c r="W1218" i="3"/>
  <c r="X1218" i="3"/>
  <c r="Y1218" i="3"/>
  <c r="N1219" i="3"/>
  <c r="P1219" i="3" s="1"/>
  <c r="O1219" i="3"/>
  <c r="Q1219" i="3"/>
  <c r="T1219" i="3"/>
  <c r="U1219" i="3"/>
  <c r="V1219" i="3"/>
  <c r="W1219" i="3"/>
  <c r="X1219" i="3"/>
  <c r="Y1219" i="3"/>
  <c r="N1220" i="3"/>
  <c r="P1220" i="3" s="1"/>
  <c r="O1220" i="3"/>
  <c r="Q1220" i="3" s="1"/>
  <c r="T1220" i="3"/>
  <c r="U1220" i="3"/>
  <c r="V1220" i="3"/>
  <c r="W1220" i="3"/>
  <c r="X1220" i="3"/>
  <c r="Y1220" i="3"/>
  <c r="N1221" i="3"/>
  <c r="O1221" i="3"/>
  <c r="T1221" i="3"/>
  <c r="U1221" i="3"/>
  <c r="V1221" i="3"/>
  <c r="W1221" i="3"/>
  <c r="X1221" i="3"/>
  <c r="Y1221" i="3"/>
  <c r="N1222" i="3"/>
  <c r="P1222" i="3" s="1"/>
  <c r="O1222" i="3"/>
  <c r="Q1222" i="3" s="1"/>
  <c r="T1222" i="3"/>
  <c r="U1222" i="3"/>
  <c r="V1222" i="3"/>
  <c r="W1222" i="3"/>
  <c r="X1222" i="3"/>
  <c r="Y1222" i="3"/>
  <c r="N1223" i="3"/>
  <c r="O1223" i="3"/>
  <c r="T1223" i="3"/>
  <c r="U1223" i="3"/>
  <c r="V1223" i="3"/>
  <c r="W1223" i="3"/>
  <c r="X1223" i="3"/>
  <c r="Y1223" i="3"/>
  <c r="N1224" i="3"/>
  <c r="P1224" i="3" s="1"/>
  <c r="O1224" i="3"/>
  <c r="Q1224" i="3" s="1"/>
  <c r="T1224" i="3"/>
  <c r="U1224" i="3"/>
  <c r="V1224" i="3"/>
  <c r="W1224" i="3"/>
  <c r="X1224" i="3"/>
  <c r="Y1224" i="3"/>
  <c r="N1225" i="3"/>
  <c r="O1225" i="3"/>
  <c r="T1225" i="3"/>
  <c r="U1225" i="3"/>
  <c r="V1225" i="3"/>
  <c r="W1225" i="3"/>
  <c r="X1225" i="3"/>
  <c r="Y1225" i="3"/>
  <c r="N1226" i="3"/>
  <c r="O1226" i="3"/>
  <c r="T1226" i="3"/>
  <c r="U1226" i="3"/>
  <c r="V1226" i="3"/>
  <c r="W1226" i="3"/>
  <c r="X1226" i="3"/>
  <c r="Y1226" i="3"/>
  <c r="N1227" i="3"/>
  <c r="P1227" i="3" s="1"/>
  <c r="O1227" i="3"/>
  <c r="Q1227" i="3"/>
  <c r="T1227" i="3"/>
  <c r="U1227" i="3"/>
  <c r="V1227" i="3"/>
  <c r="W1227" i="3"/>
  <c r="X1227" i="3"/>
  <c r="Y1227" i="3"/>
  <c r="N1228" i="3"/>
  <c r="P1228" i="3" s="1"/>
  <c r="O1228" i="3"/>
  <c r="Q1228" i="3" s="1"/>
  <c r="T1228" i="3"/>
  <c r="U1228" i="3"/>
  <c r="V1228" i="3"/>
  <c r="W1228" i="3"/>
  <c r="X1228" i="3"/>
  <c r="Y1228" i="3"/>
  <c r="N1229" i="3"/>
  <c r="P1229" i="3" s="1"/>
  <c r="O1229" i="3"/>
  <c r="Q1229" i="3" s="1"/>
  <c r="T1229" i="3"/>
  <c r="U1229" i="3"/>
  <c r="V1229" i="3"/>
  <c r="W1229" i="3"/>
  <c r="X1229" i="3"/>
  <c r="Y1229" i="3"/>
  <c r="N1230" i="3"/>
  <c r="O1230" i="3"/>
  <c r="T1230" i="3"/>
  <c r="U1230" i="3"/>
  <c r="V1230" i="3"/>
  <c r="W1230" i="3"/>
  <c r="X1230" i="3"/>
  <c r="Y1230" i="3"/>
  <c r="N1231" i="3"/>
  <c r="O1231" i="3"/>
  <c r="T1231" i="3"/>
  <c r="U1231" i="3"/>
  <c r="V1231" i="3"/>
  <c r="W1231" i="3"/>
  <c r="X1231" i="3"/>
  <c r="Y1231" i="3"/>
  <c r="N1232" i="3"/>
  <c r="P1232" i="3" s="1"/>
  <c r="O1232" i="3"/>
  <c r="Q1232" i="3" s="1"/>
  <c r="T1232" i="3"/>
  <c r="U1232" i="3"/>
  <c r="V1232" i="3"/>
  <c r="W1232" i="3"/>
  <c r="X1232" i="3"/>
  <c r="Y1232" i="3"/>
  <c r="N1233" i="3"/>
  <c r="O1233" i="3"/>
  <c r="T1233" i="3"/>
  <c r="U1233" i="3"/>
  <c r="V1233" i="3"/>
  <c r="W1233" i="3"/>
  <c r="X1233" i="3"/>
  <c r="Y1233" i="3"/>
  <c r="N1234" i="3"/>
  <c r="O1234" i="3"/>
  <c r="Q1234" i="3" s="1"/>
  <c r="S1234" i="3" s="1"/>
  <c r="P1234" i="3"/>
  <c r="R1234" i="3"/>
  <c r="T1234" i="3"/>
  <c r="U1234" i="3"/>
  <c r="V1234" i="3"/>
  <c r="W1234" i="3"/>
  <c r="X1234" i="3"/>
  <c r="Y1234" i="3"/>
  <c r="Z1234" i="3"/>
  <c r="N1235" i="3"/>
  <c r="P1235" i="3" s="1"/>
  <c r="O1235" i="3"/>
  <c r="Q1235" i="3" s="1"/>
  <c r="T1235" i="3"/>
  <c r="U1235" i="3"/>
  <c r="V1235" i="3"/>
  <c r="W1235" i="3"/>
  <c r="X1235" i="3"/>
  <c r="Y1235" i="3"/>
  <c r="N1236" i="3"/>
  <c r="P1236" i="3" s="1"/>
  <c r="O1236" i="3"/>
  <c r="Q1236" i="3" s="1"/>
  <c r="T1236" i="3"/>
  <c r="U1236" i="3"/>
  <c r="V1236" i="3"/>
  <c r="W1236" i="3"/>
  <c r="X1236" i="3"/>
  <c r="Y1236" i="3"/>
  <c r="N1237" i="3"/>
  <c r="P1237" i="3" s="1"/>
  <c r="O1237" i="3"/>
  <c r="Q1237" i="3" s="1"/>
  <c r="T1237" i="3"/>
  <c r="U1237" i="3"/>
  <c r="V1237" i="3"/>
  <c r="W1237" i="3"/>
  <c r="X1237" i="3"/>
  <c r="Y1237" i="3"/>
  <c r="N1238" i="3"/>
  <c r="P1238" i="3" s="1"/>
  <c r="O1238" i="3"/>
  <c r="Q1238" i="3" s="1"/>
  <c r="T1238" i="3"/>
  <c r="U1238" i="3"/>
  <c r="V1238" i="3"/>
  <c r="W1238" i="3"/>
  <c r="X1238" i="3"/>
  <c r="Y1238" i="3"/>
  <c r="N1239" i="3"/>
  <c r="O1239" i="3"/>
  <c r="T1239" i="3"/>
  <c r="U1239" i="3"/>
  <c r="V1239" i="3"/>
  <c r="W1239" i="3"/>
  <c r="X1239" i="3"/>
  <c r="Y1239" i="3"/>
  <c r="N1240" i="3"/>
  <c r="O1240" i="3"/>
  <c r="T1240" i="3"/>
  <c r="U1240" i="3"/>
  <c r="V1240" i="3"/>
  <c r="W1240" i="3"/>
  <c r="X1240" i="3"/>
  <c r="Y1240" i="3"/>
  <c r="N1241" i="3"/>
  <c r="O1241" i="3"/>
  <c r="T1241" i="3"/>
  <c r="U1241" i="3"/>
  <c r="V1241" i="3"/>
  <c r="W1241" i="3"/>
  <c r="X1241" i="3"/>
  <c r="Y1241" i="3"/>
  <c r="N1242" i="3"/>
  <c r="O1242" i="3"/>
  <c r="N1243" i="3"/>
  <c r="O1243" i="3"/>
  <c r="N1244" i="3"/>
  <c r="O1244" i="3"/>
  <c r="Y1244" i="3"/>
  <c r="N1245" i="3"/>
  <c r="O1245" i="3"/>
  <c r="W1245" i="3" s="1"/>
  <c r="X1245" i="3"/>
  <c r="Y1245" i="3"/>
  <c r="N1246" i="3"/>
  <c r="O1246" i="3"/>
  <c r="N1247" i="3"/>
  <c r="O1247" i="3"/>
  <c r="N1248" i="3"/>
  <c r="O1248" i="3"/>
  <c r="U1248" i="3"/>
  <c r="V1248" i="3"/>
  <c r="W1248" i="3"/>
  <c r="X1248" i="3"/>
  <c r="Y1248" i="3"/>
  <c r="N1249" i="3"/>
  <c r="O1249" i="3"/>
  <c r="W1249" i="3" s="1"/>
  <c r="X1249" i="3"/>
  <c r="Y1249" i="3"/>
  <c r="N1250" i="3"/>
  <c r="O1250" i="3"/>
  <c r="N1251" i="3"/>
  <c r="O1251" i="3"/>
  <c r="U1251" i="3"/>
  <c r="N1252" i="3"/>
  <c r="O1252" i="3"/>
  <c r="N1253" i="3"/>
  <c r="O1253" i="3"/>
  <c r="P1253" i="3"/>
  <c r="Q1253" i="3"/>
  <c r="R1253" i="3"/>
  <c r="S1253" i="3"/>
  <c r="T1253" i="3"/>
  <c r="U1253" i="3"/>
  <c r="V1253" i="3"/>
  <c r="W1253" i="3"/>
  <c r="X1253" i="3"/>
  <c r="Y1253" i="3"/>
  <c r="Z1253" i="3"/>
  <c r="N1254" i="3"/>
  <c r="O1254" i="3"/>
  <c r="P1254" i="3"/>
  <c r="Q1254" i="3"/>
  <c r="R1254" i="3"/>
  <c r="S1254" i="3"/>
  <c r="T1254" i="3"/>
  <c r="U1254" i="3"/>
  <c r="V1254" i="3"/>
  <c r="W1254" i="3"/>
  <c r="X1254" i="3"/>
  <c r="Y1254" i="3"/>
  <c r="Z1254" i="3"/>
  <c r="N1255" i="3"/>
  <c r="O1255" i="3"/>
  <c r="P1255" i="3"/>
  <c r="Q1255" i="3"/>
  <c r="R1255" i="3"/>
  <c r="S1255" i="3"/>
  <c r="T1255" i="3"/>
  <c r="U1255" i="3"/>
  <c r="V1255" i="3"/>
  <c r="W1255" i="3"/>
  <c r="X1255" i="3"/>
  <c r="Y1255" i="3"/>
  <c r="Z1255" i="3"/>
  <c r="N1256" i="3"/>
  <c r="O1256" i="3"/>
  <c r="P1256" i="3"/>
  <c r="Q1256" i="3"/>
  <c r="R1256" i="3"/>
  <c r="S1256" i="3"/>
  <c r="T1256" i="3"/>
  <c r="U1256" i="3"/>
  <c r="V1256" i="3"/>
  <c r="W1256" i="3"/>
  <c r="X1256" i="3"/>
  <c r="Y1256" i="3"/>
  <c r="Z1256" i="3"/>
  <c r="N1257" i="3"/>
  <c r="O1257" i="3"/>
  <c r="P1257" i="3"/>
  <c r="Q1257" i="3"/>
  <c r="R1257" i="3"/>
  <c r="S1257" i="3"/>
  <c r="T1257" i="3"/>
  <c r="U1257" i="3"/>
  <c r="V1257" i="3"/>
  <c r="W1257" i="3"/>
  <c r="X1257" i="3"/>
  <c r="Y1257" i="3"/>
  <c r="Z1257" i="3"/>
  <c r="N1258" i="3"/>
  <c r="O1258" i="3"/>
  <c r="P1258" i="3"/>
  <c r="Q1258" i="3"/>
  <c r="R1258" i="3"/>
  <c r="S1258" i="3"/>
  <c r="T1258" i="3"/>
  <c r="U1258" i="3"/>
  <c r="V1258" i="3"/>
  <c r="W1258" i="3"/>
  <c r="X1258" i="3"/>
  <c r="Y1258" i="3"/>
  <c r="Z1258" i="3"/>
  <c r="N1259" i="3"/>
  <c r="O1259" i="3"/>
  <c r="P1259" i="3"/>
  <c r="Q1259" i="3"/>
  <c r="R1259" i="3"/>
  <c r="S1259" i="3"/>
  <c r="T1259" i="3"/>
  <c r="U1259" i="3"/>
  <c r="V1259" i="3"/>
  <c r="W1259" i="3"/>
  <c r="X1259" i="3"/>
  <c r="Y1259" i="3"/>
  <c r="Z1259" i="3"/>
  <c r="N1260" i="3"/>
  <c r="O1260" i="3"/>
  <c r="P1260" i="3"/>
  <c r="Q1260" i="3"/>
  <c r="R1260" i="3"/>
  <c r="S1260" i="3"/>
  <c r="T1260" i="3"/>
  <c r="U1260" i="3"/>
  <c r="V1260" i="3"/>
  <c r="W1260" i="3"/>
  <c r="X1260" i="3"/>
  <c r="Y1260" i="3"/>
  <c r="Z1260" i="3"/>
  <c r="N1261" i="3"/>
  <c r="O1261" i="3"/>
  <c r="P1261" i="3"/>
  <c r="Q1261" i="3"/>
  <c r="R1261" i="3"/>
  <c r="S1261" i="3"/>
  <c r="T1261" i="3"/>
  <c r="U1261" i="3"/>
  <c r="V1261" i="3"/>
  <c r="W1261" i="3"/>
  <c r="X1261" i="3"/>
  <c r="Y1261" i="3"/>
  <c r="Z1261" i="3"/>
  <c r="N1262" i="3"/>
  <c r="O1262" i="3"/>
  <c r="P1262" i="3"/>
  <c r="Q1262" i="3"/>
  <c r="R1262" i="3"/>
  <c r="S1262" i="3"/>
  <c r="T1262" i="3"/>
  <c r="U1262" i="3"/>
  <c r="V1262" i="3"/>
  <c r="W1262" i="3"/>
  <c r="X1262" i="3"/>
  <c r="Y1262" i="3"/>
  <c r="Z1262" i="3"/>
  <c r="N1263" i="3"/>
  <c r="O1263" i="3"/>
  <c r="P1263" i="3"/>
  <c r="Q1263" i="3"/>
  <c r="R1263" i="3"/>
  <c r="S1263" i="3"/>
  <c r="T1263" i="3"/>
  <c r="U1263" i="3"/>
  <c r="V1263" i="3"/>
  <c r="W1263" i="3"/>
  <c r="X1263" i="3"/>
  <c r="Y1263" i="3"/>
  <c r="Z1263" i="3"/>
  <c r="N1264" i="3"/>
  <c r="O1264" i="3"/>
  <c r="P1264" i="3"/>
  <c r="Q1264" i="3"/>
  <c r="R1264" i="3"/>
  <c r="S1264" i="3"/>
  <c r="T1264" i="3"/>
  <c r="U1264" i="3"/>
  <c r="V1264" i="3"/>
  <c r="W1264" i="3"/>
  <c r="X1264" i="3"/>
  <c r="Y1264" i="3"/>
  <c r="Z1264" i="3"/>
  <c r="N1265" i="3"/>
  <c r="O1265" i="3"/>
  <c r="P1265" i="3"/>
  <c r="Q1265" i="3"/>
  <c r="R1265" i="3"/>
  <c r="S1265" i="3"/>
  <c r="T1265" i="3"/>
  <c r="U1265" i="3"/>
  <c r="V1265" i="3"/>
  <c r="W1265" i="3"/>
  <c r="X1265" i="3"/>
  <c r="Y1265" i="3"/>
  <c r="Z1265" i="3"/>
  <c r="N1266" i="3"/>
  <c r="O1266" i="3"/>
  <c r="P1266" i="3"/>
  <c r="Q1266" i="3"/>
  <c r="R1266" i="3"/>
  <c r="S1266" i="3"/>
  <c r="T1266" i="3"/>
  <c r="U1266" i="3"/>
  <c r="V1266" i="3"/>
  <c r="W1266" i="3"/>
  <c r="X1266" i="3"/>
  <c r="Y1266" i="3"/>
  <c r="Z1266" i="3"/>
  <c r="N1267" i="3"/>
  <c r="O1267" i="3"/>
  <c r="P1267" i="3"/>
  <c r="Q1267" i="3"/>
  <c r="R1267" i="3"/>
  <c r="S1267" i="3"/>
  <c r="T1267" i="3"/>
  <c r="U1267" i="3"/>
  <c r="V1267" i="3"/>
  <c r="W1267" i="3"/>
  <c r="X1267" i="3"/>
  <c r="Y1267" i="3"/>
  <c r="Z1267" i="3"/>
  <c r="N1268" i="3"/>
  <c r="O1268" i="3"/>
  <c r="P1268" i="3"/>
  <c r="Q1268" i="3"/>
  <c r="R1268" i="3"/>
  <c r="S1268" i="3"/>
  <c r="T1268" i="3"/>
  <c r="U1268" i="3"/>
  <c r="V1268" i="3"/>
  <c r="W1268" i="3"/>
  <c r="X1268" i="3"/>
  <c r="Y1268" i="3"/>
  <c r="Z1268" i="3"/>
  <c r="N1269" i="3"/>
  <c r="O1269" i="3"/>
  <c r="P1269" i="3"/>
  <c r="Q1269" i="3"/>
  <c r="R1269" i="3"/>
  <c r="S1269" i="3"/>
  <c r="T1269" i="3"/>
  <c r="U1269" i="3"/>
  <c r="V1269" i="3"/>
  <c r="W1269" i="3"/>
  <c r="X1269" i="3"/>
  <c r="Y1269" i="3"/>
  <c r="Z1269" i="3"/>
  <c r="N1270" i="3"/>
  <c r="O1270" i="3"/>
  <c r="P1270" i="3"/>
  <c r="Q1270" i="3"/>
  <c r="R1270" i="3"/>
  <c r="S1270" i="3"/>
  <c r="T1270" i="3"/>
  <c r="U1270" i="3"/>
  <c r="V1270" i="3"/>
  <c r="W1270" i="3"/>
  <c r="X1270" i="3"/>
  <c r="Y1270" i="3"/>
  <c r="Z1270" i="3"/>
  <c r="N1271" i="3"/>
  <c r="O1271" i="3"/>
  <c r="P1271" i="3"/>
  <c r="Q1271" i="3"/>
  <c r="R1271" i="3"/>
  <c r="S1271" i="3"/>
  <c r="T1271" i="3"/>
  <c r="U1271" i="3"/>
  <c r="V1271" i="3"/>
  <c r="W1271" i="3"/>
  <c r="X1271" i="3"/>
  <c r="Y1271" i="3"/>
  <c r="Z1271" i="3"/>
  <c r="N1272" i="3"/>
  <c r="O1272" i="3"/>
  <c r="P1272" i="3"/>
  <c r="Q1272" i="3"/>
  <c r="R1272" i="3"/>
  <c r="S1272" i="3"/>
  <c r="T1272" i="3"/>
  <c r="U1272" i="3"/>
  <c r="V1272" i="3"/>
  <c r="W1272" i="3"/>
  <c r="X1272" i="3"/>
  <c r="Y1272" i="3"/>
  <c r="Z1272" i="3"/>
  <c r="N1273" i="3"/>
  <c r="O1273" i="3"/>
  <c r="P1273" i="3"/>
  <c r="Q1273" i="3"/>
  <c r="R1273" i="3"/>
  <c r="S1273" i="3"/>
  <c r="T1273" i="3"/>
  <c r="U1273" i="3"/>
  <c r="V1273" i="3"/>
  <c r="W1273" i="3"/>
  <c r="X1273" i="3"/>
  <c r="Y1273" i="3"/>
  <c r="Z1273" i="3"/>
  <c r="N1274" i="3"/>
  <c r="O1274" i="3"/>
  <c r="P1274" i="3"/>
  <c r="Q1274" i="3"/>
  <c r="R1274" i="3"/>
  <c r="S1274" i="3"/>
  <c r="T1274" i="3"/>
  <c r="U1274" i="3"/>
  <c r="V1274" i="3"/>
  <c r="W1274" i="3"/>
  <c r="X1274" i="3"/>
  <c r="Y1274" i="3"/>
  <c r="Z1274" i="3"/>
  <c r="N1275" i="3"/>
  <c r="O1275" i="3"/>
  <c r="P1275" i="3"/>
  <c r="Q1275" i="3"/>
  <c r="R1275" i="3"/>
  <c r="S1275" i="3"/>
  <c r="T1275" i="3"/>
  <c r="U1275" i="3"/>
  <c r="V1275" i="3"/>
  <c r="W1275" i="3"/>
  <c r="X1275" i="3"/>
  <c r="Y1275" i="3"/>
  <c r="Z1275" i="3"/>
  <c r="N1276" i="3"/>
  <c r="O1276" i="3"/>
  <c r="P1276" i="3"/>
  <c r="Q1276" i="3"/>
  <c r="R1276" i="3"/>
  <c r="S1276" i="3"/>
  <c r="T1276" i="3"/>
  <c r="U1276" i="3"/>
  <c r="V1276" i="3"/>
  <c r="W1276" i="3"/>
  <c r="X1276" i="3"/>
  <c r="Y1276" i="3"/>
  <c r="Z1276" i="3"/>
  <c r="N1277" i="3"/>
  <c r="O1277" i="3"/>
  <c r="P1277" i="3"/>
  <c r="Q1277" i="3"/>
  <c r="R1277" i="3"/>
  <c r="S1277" i="3"/>
  <c r="T1277" i="3"/>
  <c r="U1277" i="3"/>
  <c r="V1277" i="3"/>
  <c r="W1277" i="3"/>
  <c r="X1277" i="3"/>
  <c r="Y1277" i="3"/>
  <c r="Z1277" i="3"/>
  <c r="N1278" i="3"/>
  <c r="O1278" i="3"/>
  <c r="P1278" i="3"/>
  <c r="Q1278" i="3"/>
  <c r="R1278" i="3"/>
  <c r="S1278" i="3"/>
  <c r="T1278" i="3"/>
  <c r="U1278" i="3"/>
  <c r="V1278" i="3"/>
  <c r="W1278" i="3"/>
  <c r="X1278" i="3"/>
  <c r="Y1278" i="3"/>
  <c r="Z1278" i="3"/>
  <c r="N1279" i="3"/>
  <c r="O1279" i="3"/>
  <c r="P1279" i="3"/>
  <c r="Q1279" i="3"/>
  <c r="R1279" i="3"/>
  <c r="S1279" i="3"/>
  <c r="T1279" i="3"/>
  <c r="U1279" i="3"/>
  <c r="V1279" i="3"/>
  <c r="W1279" i="3"/>
  <c r="X1279" i="3"/>
  <c r="Y1279" i="3"/>
  <c r="Z1279" i="3"/>
  <c r="N1280" i="3"/>
  <c r="O1280" i="3"/>
  <c r="P1280" i="3"/>
  <c r="Q1280" i="3"/>
  <c r="R1280" i="3"/>
  <c r="S1280" i="3"/>
  <c r="T1280" i="3"/>
  <c r="U1280" i="3"/>
  <c r="V1280" i="3"/>
  <c r="W1280" i="3"/>
  <c r="X1280" i="3"/>
  <c r="Y1280" i="3"/>
  <c r="Z1280" i="3"/>
  <c r="N1281" i="3"/>
  <c r="O1281" i="3"/>
  <c r="P1281" i="3"/>
  <c r="Q1281" i="3"/>
  <c r="R1281" i="3"/>
  <c r="S1281" i="3"/>
  <c r="T1281" i="3"/>
  <c r="U1281" i="3"/>
  <c r="V1281" i="3"/>
  <c r="W1281" i="3"/>
  <c r="X1281" i="3"/>
  <c r="Y1281" i="3"/>
  <c r="Z1281" i="3"/>
  <c r="N1282" i="3"/>
  <c r="O1282" i="3"/>
  <c r="P1282" i="3"/>
  <c r="Q1282" i="3"/>
  <c r="R1282" i="3"/>
  <c r="S1282" i="3"/>
  <c r="T1282" i="3"/>
  <c r="U1282" i="3"/>
  <c r="V1282" i="3"/>
  <c r="W1282" i="3"/>
  <c r="X1282" i="3"/>
  <c r="Y1282" i="3"/>
  <c r="Z1282" i="3"/>
  <c r="N1283" i="3"/>
  <c r="O1283" i="3"/>
  <c r="P1283" i="3"/>
  <c r="Q1283" i="3"/>
  <c r="R1283" i="3"/>
  <c r="S1283" i="3"/>
  <c r="T1283" i="3"/>
  <c r="U1283" i="3"/>
  <c r="V1283" i="3"/>
  <c r="W1283" i="3"/>
  <c r="X1283" i="3"/>
  <c r="Y1283" i="3"/>
  <c r="Z1283" i="3"/>
  <c r="N1284" i="3"/>
  <c r="O1284" i="3"/>
  <c r="P1284" i="3"/>
  <c r="Q1284" i="3"/>
  <c r="R1284" i="3"/>
  <c r="S1284" i="3"/>
  <c r="T1284" i="3"/>
  <c r="U1284" i="3"/>
  <c r="V1284" i="3"/>
  <c r="W1284" i="3"/>
  <c r="X1284" i="3"/>
  <c r="Y1284" i="3"/>
  <c r="Z1284" i="3"/>
  <c r="N1285" i="3"/>
  <c r="O1285" i="3"/>
  <c r="P1285" i="3"/>
  <c r="Q1285" i="3"/>
  <c r="R1285" i="3"/>
  <c r="S1285" i="3"/>
  <c r="T1285" i="3"/>
  <c r="U1285" i="3"/>
  <c r="V1285" i="3"/>
  <c r="W1285" i="3"/>
  <c r="X1285" i="3"/>
  <c r="Y1285" i="3"/>
  <c r="Z1285" i="3"/>
  <c r="N1286" i="3"/>
  <c r="O1286" i="3"/>
  <c r="P1286" i="3"/>
  <c r="Q1286" i="3"/>
  <c r="R1286" i="3"/>
  <c r="S1286" i="3"/>
  <c r="T1286" i="3"/>
  <c r="U1286" i="3"/>
  <c r="V1286" i="3"/>
  <c r="W1286" i="3"/>
  <c r="X1286" i="3"/>
  <c r="Y1286" i="3"/>
  <c r="Z1286" i="3"/>
  <c r="N1287" i="3"/>
  <c r="O1287" i="3"/>
  <c r="P1287" i="3"/>
  <c r="Q1287" i="3"/>
  <c r="R1287" i="3"/>
  <c r="S1287" i="3"/>
  <c r="T1287" i="3"/>
  <c r="U1287" i="3"/>
  <c r="V1287" i="3"/>
  <c r="W1287" i="3"/>
  <c r="X1287" i="3"/>
  <c r="Y1287" i="3"/>
  <c r="Z1287" i="3"/>
  <c r="N1288" i="3"/>
  <c r="O1288" i="3"/>
  <c r="P1288" i="3"/>
  <c r="Q1288" i="3"/>
  <c r="R1288" i="3"/>
  <c r="S1288" i="3"/>
  <c r="T1288" i="3"/>
  <c r="U1288" i="3"/>
  <c r="V1288" i="3"/>
  <c r="W1288" i="3"/>
  <c r="X1288" i="3"/>
  <c r="Y1288" i="3"/>
  <c r="Z1288" i="3"/>
  <c r="N1289" i="3"/>
  <c r="O1289" i="3"/>
  <c r="P1289" i="3"/>
  <c r="Q1289" i="3"/>
  <c r="R1289" i="3"/>
  <c r="S1289" i="3"/>
  <c r="T1289" i="3"/>
  <c r="U1289" i="3"/>
  <c r="V1289" i="3"/>
  <c r="W1289" i="3"/>
  <c r="X1289" i="3"/>
  <c r="Y1289" i="3"/>
  <c r="Z1289" i="3"/>
  <c r="N1290" i="3"/>
  <c r="O1290" i="3"/>
  <c r="P1290" i="3"/>
  <c r="Q1290" i="3"/>
  <c r="R1290" i="3"/>
  <c r="S1290" i="3"/>
  <c r="T1290" i="3"/>
  <c r="U1290" i="3"/>
  <c r="V1290" i="3"/>
  <c r="W1290" i="3"/>
  <c r="X1290" i="3"/>
  <c r="Y1290" i="3"/>
  <c r="Z1290" i="3"/>
  <c r="N1291" i="3"/>
  <c r="O1291" i="3"/>
  <c r="P1291" i="3"/>
  <c r="Q1291" i="3"/>
  <c r="R1291" i="3"/>
  <c r="S1291" i="3"/>
  <c r="T1291" i="3"/>
  <c r="U1291" i="3"/>
  <c r="V1291" i="3"/>
  <c r="W1291" i="3"/>
  <c r="X1291" i="3"/>
  <c r="Y1291" i="3"/>
  <c r="Z1291" i="3"/>
  <c r="N1292" i="3"/>
  <c r="O1292" i="3"/>
  <c r="P1292" i="3"/>
  <c r="Q1292" i="3"/>
  <c r="R1292" i="3"/>
  <c r="S1292" i="3"/>
  <c r="T1292" i="3"/>
  <c r="U1292" i="3"/>
  <c r="V1292" i="3"/>
  <c r="W1292" i="3"/>
  <c r="X1292" i="3"/>
  <c r="Y1292" i="3"/>
  <c r="Z1292" i="3"/>
  <c r="N1293" i="3"/>
  <c r="O1293" i="3"/>
  <c r="P1293" i="3"/>
  <c r="Q1293" i="3"/>
  <c r="R1293" i="3"/>
  <c r="S1293" i="3"/>
  <c r="T1293" i="3"/>
  <c r="U1293" i="3"/>
  <c r="V1293" i="3"/>
  <c r="W1293" i="3"/>
  <c r="X1293" i="3"/>
  <c r="Y1293" i="3"/>
  <c r="Z1293" i="3"/>
  <c r="N1294" i="3"/>
  <c r="O1294" i="3"/>
  <c r="P1294" i="3"/>
  <c r="Q1294" i="3"/>
  <c r="R1294" i="3"/>
  <c r="S1294" i="3"/>
  <c r="T1294" i="3"/>
  <c r="U1294" i="3"/>
  <c r="V1294" i="3"/>
  <c r="W1294" i="3"/>
  <c r="X1294" i="3"/>
  <c r="Y1294" i="3"/>
  <c r="Z1294" i="3"/>
  <c r="N1295" i="3"/>
  <c r="O1295" i="3"/>
  <c r="P1295" i="3"/>
  <c r="Q1295" i="3"/>
  <c r="R1295" i="3"/>
  <c r="S1295" i="3"/>
  <c r="T1295" i="3"/>
  <c r="U1295" i="3"/>
  <c r="V1295" i="3"/>
  <c r="W1295" i="3"/>
  <c r="X1295" i="3"/>
  <c r="Y1295" i="3"/>
  <c r="Z1295" i="3"/>
  <c r="N1296" i="3"/>
  <c r="O1296" i="3"/>
  <c r="P1296" i="3"/>
  <c r="Q1296" i="3"/>
  <c r="R1296" i="3"/>
  <c r="S1296" i="3"/>
  <c r="T1296" i="3"/>
  <c r="U1296" i="3"/>
  <c r="V1296" i="3"/>
  <c r="W1296" i="3"/>
  <c r="X1296" i="3"/>
  <c r="Y1296" i="3"/>
  <c r="Z1296" i="3"/>
  <c r="N1297" i="3"/>
  <c r="O1297" i="3"/>
  <c r="P1297" i="3"/>
  <c r="Q1297" i="3"/>
  <c r="R1297" i="3"/>
  <c r="S1297" i="3"/>
  <c r="T1297" i="3"/>
  <c r="U1297" i="3"/>
  <c r="V1297" i="3"/>
  <c r="W1297" i="3"/>
  <c r="X1297" i="3"/>
  <c r="Y1297" i="3"/>
  <c r="Z1297" i="3"/>
  <c r="N1298" i="3"/>
  <c r="O1298" i="3"/>
  <c r="P1298" i="3"/>
  <c r="Q1298" i="3"/>
  <c r="R1298" i="3"/>
  <c r="S1298" i="3"/>
  <c r="T1298" i="3"/>
  <c r="U1298" i="3"/>
  <c r="V1298" i="3"/>
  <c r="W1298" i="3"/>
  <c r="X1298" i="3"/>
  <c r="Y1298" i="3"/>
  <c r="Z1298" i="3"/>
  <c r="N1299" i="3"/>
  <c r="O1299" i="3"/>
  <c r="P1299" i="3"/>
  <c r="Q1299" i="3"/>
  <c r="R1299" i="3"/>
  <c r="S1299" i="3"/>
  <c r="T1299" i="3"/>
  <c r="U1299" i="3"/>
  <c r="V1299" i="3"/>
  <c r="W1299" i="3"/>
  <c r="X1299" i="3"/>
  <c r="Y1299" i="3"/>
  <c r="Z1299" i="3"/>
  <c r="N1300" i="3"/>
  <c r="O1300" i="3"/>
  <c r="P1300" i="3"/>
  <c r="Q1300" i="3"/>
  <c r="R1300" i="3"/>
  <c r="S1300" i="3"/>
  <c r="T1300" i="3"/>
  <c r="U1300" i="3"/>
  <c r="V1300" i="3"/>
  <c r="W1300" i="3"/>
  <c r="X1300" i="3"/>
  <c r="Y1300" i="3"/>
  <c r="Z1300" i="3"/>
  <c r="N1301" i="3"/>
  <c r="O1301" i="3"/>
  <c r="P1301" i="3"/>
  <c r="Q1301" i="3"/>
  <c r="R1301" i="3"/>
  <c r="S1301" i="3"/>
  <c r="T1301" i="3"/>
  <c r="U1301" i="3"/>
  <c r="V1301" i="3"/>
  <c r="W1301" i="3"/>
  <c r="X1301" i="3"/>
  <c r="Y1301" i="3"/>
  <c r="Z1301" i="3"/>
  <c r="N1302" i="3"/>
  <c r="O1302" i="3"/>
  <c r="P1302" i="3"/>
  <c r="Q1302" i="3"/>
  <c r="R1302" i="3"/>
  <c r="S1302" i="3"/>
  <c r="T1302" i="3"/>
  <c r="U1302" i="3"/>
  <c r="V1302" i="3"/>
  <c r="W1302" i="3"/>
  <c r="X1302" i="3"/>
  <c r="Y1302" i="3"/>
  <c r="Z1302" i="3"/>
  <c r="N1303" i="3"/>
  <c r="O1303" i="3"/>
  <c r="P1303" i="3"/>
  <c r="Q1303" i="3"/>
  <c r="R1303" i="3"/>
  <c r="S1303" i="3"/>
  <c r="T1303" i="3"/>
  <c r="U1303" i="3"/>
  <c r="V1303" i="3"/>
  <c r="W1303" i="3"/>
  <c r="X1303" i="3"/>
  <c r="Y1303" i="3"/>
  <c r="Z1303" i="3"/>
  <c r="N1304" i="3"/>
  <c r="O1304" i="3"/>
  <c r="P1304" i="3"/>
  <c r="Q1304" i="3"/>
  <c r="R1304" i="3"/>
  <c r="S1304" i="3"/>
  <c r="T1304" i="3"/>
  <c r="U1304" i="3"/>
  <c r="V1304" i="3"/>
  <c r="W1304" i="3"/>
  <c r="X1304" i="3"/>
  <c r="Y1304" i="3"/>
  <c r="Z1304" i="3"/>
  <c r="N1305" i="3"/>
  <c r="O1305" i="3"/>
  <c r="P1305" i="3"/>
  <c r="Q1305" i="3"/>
  <c r="R1305" i="3"/>
  <c r="S1305" i="3"/>
  <c r="T1305" i="3"/>
  <c r="U1305" i="3"/>
  <c r="V1305" i="3"/>
  <c r="W1305" i="3"/>
  <c r="X1305" i="3"/>
  <c r="Y1305" i="3"/>
  <c r="Z1305" i="3"/>
  <c r="N1306" i="3"/>
  <c r="O1306" i="3"/>
  <c r="P1306" i="3"/>
  <c r="Q1306" i="3"/>
  <c r="R1306" i="3"/>
  <c r="S1306" i="3"/>
  <c r="T1306" i="3"/>
  <c r="U1306" i="3"/>
  <c r="V1306" i="3"/>
  <c r="W1306" i="3"/>
  <c r="X1306" i="3"/>
  <c r="Y1306" i="3"/>
  <c r="Z1306" i="3"/>
  <c r="N1307" i="3"/>
  <c r="O1307" i="3"/>
  <c r="P1307" i="3"/>
  <c r="Q1307" i="3"/>
  <c r="R1307" i="3"/>
  <c r="S1307" i="3"/>
  <c r="T1307" i="3"/>
  <c r="U1307" i="3"/>
  <c r="V1307" i="3"/>
  <c r="W1307" i="3"/>
  <c r="X1307" i="3"/>
  <c r="Y1307" i="3"/>
  <c r="Z1307" i="3"/>
  <c r="N1308" i="3"/>
  <c r="O1308" i="3"/>
  <c r="P1308" i="3"/>
  <c r="Q1308" i="3"/>
  <c r="R1308" i="3"/>
  <c r="S1308" i="3"/>
  <c r="T1308" i="3"/>
  <c r="U1308" i="3"/>
  <c r="V1308" i="3"/>
  <c r="W1308" i="3"/>
  <c r="X1308" i="3"/>
  <c r="Y1308" i="3"/>
  <c r="Z1308" i="3"/>
  <c r="N1309" i="3"/>
  <c r="O1309" i="3"/>
  <c r="P1309" i="3"/>
  <c r="Q1309" i="3"/>
  <c r="R1309" i="3"/>
  <c r="S1309" i="3"/>
  <c r="T1309" i="3"/>
  <c r="U1309" i="3"/>
  <c r="V1309" i="3"/>
  <c r="W1309" i="3"/>
  <c r="X1309" i="3"/>
  <c r="Y1309" i="3"/>
  <c r="Z1309" i="3"/>
  <c r="N1310" i="3"/>
  <c r="O1310" i="3"/>
  <c r="P1310" i="3"/>
  <c r="Q1310" i="3"/>
  <c r="R1310" i="3"/>
  <c r="S1310" i="3"/>
  <c r="T1310" i="3"/>
  <c r="U1310" i="3"/>
  <c r="V1310" i="3"/>
  <c r="W1310" i="3"/>
  <c r="X1310" i="3"/>
  <c r="Y1310" i="3"/>
  <c r="Z1310" i="3"/>
  <c r="N1311" i="3"/>
  <c r="O1311" i="3"/>
  <c r="P1311" i="3"/>
  <c r="Q1311" i="3"/>
  <c r="R1311" i="3"/>
  <c r="S1311" i="3"/>
  <c r="T1311" i="3"/>
  <c r="U1311" i="3"/>
  <c r="V1311" i="3"/>
  <c r="W1311" i="3"/>
  <c r="X1311" i="3"/>
  <c r="Y1311" i="3"/>
  <c r="Z1311" i="3"/>
  <c r="N1312" i="3"/>
  <c r="O1312" i="3"/>
  <c r="P1312" i="3"/>
  <c r="Q1312" i="3"/>
  <c r="R1312" i="3"/>
  <c r="S1312" i="3"/>
  <c r="T1312" i="3"/>
  <c r="U1312" i="3"/>
  <c r="V1312" i="3"/>
  <c r="W1312" i="3"/>
  <c r="X1312" i="3"/>
  <c r="Y1312" i="3"/>
  <c r="Z1312" i="3"/>
  <c r="N1313" i="3"/>
  <c r="O1313" i="3"/>
  <c r="P1313" i="3"/>
  <c r="Q1313" i="3"/>
  <c r="R1313" i="3"/>
  <c r="S1313" i="3"/>
  <c r="T1313" i="3"/>
  <c r="U1313" i="3"/>
  <c r="V1313" i="3"/>
  <c r="W1313" i="3"/>
  <c r="X1313" i="3"/>
  <c r="Y1313" i="3"/>
  <c r="Z1313" i="3"/>
  <c r="N1314" i="3"/>
  <c r="O1314" i="3"/>
  <c r="P1314" i="3"/>
  <c r="Q1314" i="3"/>
  <c r="R1314" i="3"/>
  <c r="S1314" i="3"/>
  <c r="T1314" i="3"/>
  <c r="U1314" i="3"/>
  <c r="V1314" i="3"/>
  <c r="W1314" i="3"/>
  <c r="X1314" i="3"/>
  <c r="Y1314" i="3"/>
  <c r="Z1314" i="3"/>
  <c r="N1315" i="3"/>
  <c r="O1315" i="3"/>
  <c r="P1315" i="3"/>
  <c r="Q1315" i="3"/>
  <c r="R1315" i="3"/>
  <c r="S1315" i="3"/>
  <c r="T1315" i="3"/>
  <c r="U1315" i="3"/>
  <c r="V1315" i="3"/>
  <c r="W1315" i="3"/>
  <c r="X1315" i="3"/>
  <c r="Y1315" i="3"/>
  <c r="Z1315" i="3"/>
  <c r="N1316" i="3"/>
  <c r="O1316" i="3"/>
  <c r="P1316" i="3"/>
  <c r="Q1316" i="3"/>
  <c r="R1316" i="3"/>
  <c r="S1316" i="3"/>
  <c r="T1316" i="3"/>
  <c r="U1316" i="3"/>
  <c r="V1316" i="3"/>
  <c r="W1316" i="3"/>
  <c r="X1316" i="3"/>
  <c r="Y1316" i="3"/>
  <c r="Z1316" i="3"/>
  <c r="N1317" i="3"/>
  <c r="O1317" i="3"/>
  <c r="P1317" i="3"/>
  <c r="Q1317" i="3"/>
  <c r="R1317" i="3"/>
  <c r="S1317" i="3"/>
  <c r="T1317" i="3"/>
  <c r="U1317" i="3"/>
  <c r="V1317" i="3"/>
  <c r="W1317" i="3"/>
  <c r="X1317" i="3"/>
  <c r="Y1317" i="3"/>
  <c r="Z1317" i="3"/>
  <c r="N1318" i="3"/>
  <c r="O1318" i="3"/>
  <c r="P1318" i="3"/>
  <c r="Q1318" i="3"/>
  <c r="R1318" i="3"/>
  <c r="S1318" i="3"/>
  <c r="T1318" i="3"/>
  <c r="U1318" i="3"/>
  <c r="V1318" i="3"/>
  <c r="W1318" i="3"/>
  <c r="X1318" i="3"/>
  <c r="Y1318" i="3"/>
  <c r="Z1318" i="3"/>
  <c r="N1319" i="3"/>
  <c r="O1319" i="3"/>
  <c r="P1319" i="3"/>
  <c r="Q1319" i="3"/>
  <c r="R1319" i="3"/>
  <c r="S1319" i="3"/>
  <c r="T1319" i="3"/>
  <c r="U1319" i="3"/>
  <c r="V1319" i="3"/>
  <c r="W1319" i="3"/>
  <c r="X1319" i="3"/>
  <c r="Y1319" i="3"/>
  <c r="Z1319" i="3"/>
  <c r="N1320" i="3"/>
  <c r="O1320" i="3"/>
  <c r="P1320" i="3"/>
  <c r="Q1320" i="3"/>
  <c r="R1320" i="3"/>
  <c r="S1320" i="3"/>
  <c r="T1320" i="3"/>
  <c r="U1320" i="3"/>
  <c r="V1320" i="3"/>
  <c r="W1320" i="3"/>
  <c r="X1320" i="3"/>
  <c r="Y1320" i="3"/>
  <c r="Z1320" i="3"/>
  <c r="N1321" i="3"/>
  <c r="O1321" i="3"/>
  <c r="P1321" i="3"/>
  <c r="Q1321" i="3"/>
  <c r="R1321" i="3"/>
  <c r="S1321" i="3"/>
  <c r="T1321" i="3"/>
  <c r="U1321" i="3"/>
  <c r="V1321" i="3"/>
  <c r="W1321" i="3"/>
  <c r="X1321" i="3"/>
  <c r="Y1321" i="3"/>
  <c r="Z1321" i="3"/>
  <c r="N1322" i="3"/>
  <c r="O1322" i="3"/>
  <c r="P1322" i="3"/>
  <c r="Q1322" i="3"/>
  <c r="R1322" i="3"/>
  <c r="S1322" i="3"/>
  <c r="T1322" i="3"/>
  <c r="U1322" i="3"/>
  <c r="V1322" i="3"/>
  <c r="W1322" i="3"/>
  <c r="X1322" i="3"/>
  <c r="Y1322" i="3"/>
  <c r="Z1322" i="3"/>
  <c r="N1323" i="3"/>
  <c r="O1323" i="3"/>
  <c r="P1323" i="3"/>
  <c r="Q1323" i="3"/>
  <c r="R1323" i="3"/>
  <c r="S1323" i="3"/>
  <c r="T1323" i="3"/>
  <c r="U1323" i="3"/>
  <c r="V1323" i="3"/>
  <c r="W1323" i="3"/>
  <c r="X1323" i="3"/>
  <c r="Y1323" i="3"/>
  <c r="Z1323" i="3"/>
  <c r="N1324" i="3"/>
  <c r="O1324" i="3"/>
  <c r="P1324" i="3"/>
  <c r="Q1324" i="3"/>
  <c r="R1324" i="3"/>
  <c r="S1324" i="3"/>
  <c r="T1324" i="3"/>
  <c r="U1324" i="3"/>
  <c r="V1324" i="3"/>
  <c r="W1324" i="3"/>
  <c r="X1324" i="3"/>
  <c r="Y1324" i="3"/>
  <c r="Z1324" i="3"/>
  <c r="N1325" i="3"/>
  <c r="O1325" i="3"/>
  <c r="P1325" i="3"/>
  <c r="Q1325" i="3"/>
  <c r="R1325" i="3"/>
  <c r="S1325" i="3"/>
  <c r="T1325" i="3"/>
  <c r="U1325" i="3"/>
  <c r="V1325" i="3"/>
  <c r="W1325" i="3"/>
  <c r="X1325" i="3"/>
  <c r="Y1325" i="3"/>
  <c r="Z1325" i="3"/>
  <c r="N1326" i="3"/>
  <c r="O1326" i="3"/>
  <c r="P1326" i="3"/>
  <c r="Q1326" i="3"/>
  <c r="R1326" i="3"/>
  <c r="S1326" i="3"/>
  <c r="T1326" i="3"/>
  <c r="U1326" i="3"/>
  <c r="V1326" i="3"/>
  <c r="W1326" i="3"/>
  <c r="X1326" i="3"/>
  <c r="Y1326" i="3"/>
  <c r="Z1326" i="3"/>
  <c r="N1327" i="3"/>
  <c r="O1327" i="3"/>
  <c r="P1327" i="3"/>
  <c r="Q1327" i="3"/>
  <c r="R1327" i="3"/>
  <c r="S1327" i="3"/>
  <c r="T1327" i="3"/>
  <c r="U1327" i="3"/>
  <c r="V1327" i="3"/>
  <c r="W1327" i="3"/>
  <c r="X1327" i="3"/>
  <c r="Y1327" i="3"/>
  <c r="Z1327" i="3"/>
  <c r="N1328" i="3"/>
  <c r="O1328" i="3"/>
  <c r="P1328" i="3"/>
  <c r="Q1328" i="3"/>
  <c r="R1328" i="3"/>
  <c r="S1328" i="3"/>
  <c r="T1328" i="3"/>
  <c r="U1328" i="3"/>
  <c r="V1328" i="3"/>
  <c r="W1328" i="3"/>
  <c r="X1328" i="3"/>
  <c r="Y1328" i="3"/>
  <c r="Z1328" i="3"/>
  <c r="N1329" i="3"/>
  <c r="O1329" i="3"/>
  <c r="P1329" i="3"/>
  <c r="Q1329" i="3"/>
  <c r="R1329" i="3"/>
  <c r="S1329" i="3"/>
  <c r="T1329" i="3"/>
  <c r="U1329" i="3"/>
  <c r="V1329" i="3"/>
  <c r="W1329" i="3"/>
  <c r="X1329" i="3"/>
  <c r="Y1329" i="3"/>
  <c r="Z1329" i="3"/>
  <c r="N1330" i="3"/>
  <c r="O1330" i="3"/>
  <c r="P1330" i="3"/>
  <c r="Q1330" i="3"/>
  <c r="R1330" i="3"/>
  <c r="S1330" i="3"/>
  <c r="T1330" i="3"/>
  <c r="U1330" i="3"/>
  <c r="V1330" i="3"/>
  <c r="W1330" i="3"/>
  <c r="X1330" i="3"/>
  <c r="Y1330" i="3"/>
  <c r="Z1330" i="3"/>
  <c r="N1331" i="3"/>
  <c r="O1331" i="3"/>
  <c r="P1331" i="3"/>
  <c r="Q1331" i="3"/>
  <c r="R1331" i="3"/>
  <c r="S1331" i="3"/>
  <c r="T1331" i="3"/>
  <c r="U1331" i="3"/>
  <c r="V1331" i="3"/>
  <c r="W1331" i="3"/>
  <c r="X1331" i="3"/>
  <c r="Y1331" i="3"/>
  <c r="Z1331" i="3"/>
  <c r="N1332" i="3"/>
  <c r="O1332" i="3"/>
  <c r="P1332" i="3"/>
  <c r="Q1332" i="3"/>
  <c r="R1332" i="3"/>
  <c r="S1332" i="3"/>
  <c r="T1332" i="3"/>
  <c r="U1332" i="3"/>
  <c r="V1332" i="3"/>
  <c r="W1332" i="3"/>
  <c r="X1332" i="3"/>
  <c r="Y1332" i="3"/>
  <c r="Z1332" i="3"/>
  <c r="N1333" i="3"/>
  <c r="O1333" i="3"/>
  <c r="P1333" i="3"/>
  <c r="Q1333" i="3"/>
  <c r="R1333" i="3"/>
  <c r="S1333" i="3"/>
  <c r="T1333" i="3"/>
  <c r="U1333" i="3"/>
  <c r="V1333" i="3"/>
  <c r="W1333" i="3"/>
  <c r="X1333" i="3"/>
  <c r="Y1333" i="3"/>
  <c r="Z1333" i="3"/>
  <c r="N1334" i="3"/>
  <c r="O1334" i="3"/>
  <c r="P1334" i="3"/>
  <c r="Q1334" i="3"/>
  <c r="R1334" i="3"/>
  <c r="S1334" i="3"/>
  <c r="T1334" i="3"/>
  <c r="U1334" i="3"/>
  <c r="V1334" i="3"/>
  <c r="W1334" i="3"/>
  <c r="X1334" i="3"/>
  <c r="Y1334" i="3"/>
  <c r="Z1334" i="3"/>
  <c r="N1335" i="3"/>
  <c r="O1335" i="3"/>
  <c r="P1335" i="3"/>
  <c r="Q1335" i="3"/>
  <c r="R1335" i="3"/>
  <c r="S1335" i="3"/>
  <c r="T1335" i="3"/>
  <c r="U1335" i="3"/>
  <c r="V1335" i="3"/>
  <c r="W1335" i="3"/>
  <c r="X1335" i="3"/>
  <c r="Y1335" i="3"/>
  <c r="Z1335" i="3"/>
  <c r="N1336" i="3"/>
  <c r="O1336" i="3"/>
  <c r="P1336" i="3"/>
  <c r="Q1336" i="3"/>
  <c r="R1336" i="3"/>
  <c r="S1336" i="3"/>
  <c r="T1336" i="3"/>
  <c r="U1336" i="3"/>
  <c r="V1336" i="3"/>
  <c r="W1336" i="3"/>
  <c r="X1336" i="3"/>
  <c r="Y1336" i="3"/>
  <c r="Z1336" i="3"/>
  <c r="N1337" i="3"/>
  <c r="O1337" i="3"/>
  <c r="P1337" i="3"/>
  <c r="Q1337" i="3"/>
  <c r="R1337" i="3"/>
  <c r="S1337" i="3"/>
  <c r="T1337" i="3"/>
  <c r="U1337" i="3"/>
  <c r="V1337" i="3"/>
  <c r="W1337" i="3"/>
  <c r="X1337" i="3"/>
  <c r="Y1337" i="3"/>
  <c r="Z1337" i="3"/>
  <c r="N1338" i="3"/>
  <c r="O1338" i="3"/>
  <c r="P1338" i="3"/>
  <c r="Q1338" i="3"/>
  <c r="R1338" i="3"/>
  <c r="S1338" i="3"/>
  <c r="T1338" i="3"/>
  <c r="U1338" i="3"/>
  <c r="V1338" i="3"/>
  <c r="W1338" i="3"/>
  <c r="X1338" i="3"/>
  <c r="Y1338" i="3"/>
  <c r="Z1338" i="3"/>
  <c r="N1339" i="3"/>
  <c r="O1339" i="3"/>
  <c r="P1339" i="3"/>
  <c r="Q1339" i="3"/>
  <c r="R1339" i="3"/>
  <c r="S1339" i="3"/>
  <c r="T1339" i="3"/>
  <c r="U1339" i="3"/>
  <c r="V1339" i="3"/>
  <c r="W1339" i="3"/>
  <c r="X1339" i="3"/>
  <c r="Y1339" i="3"/>
  <c r="Z1339" i="3"/>
  <c r="N1340" i="3"/>
  <c r="O1340" i="3"/>
  <c r="P1340" i="3"/>
  <c r="Q1340" i="3"/>
  <c r="R1340" i="3"/>
  <c r="S1340" i="3"/>
  <c r="T1340" i="3"/>
  <c r="U1340" i="3"/>
  <c r="V1340" i="3"/>
  <c r="W1340" i="3"/>
  <c r="X1340" i="3"/>
  <c r="Y1340" i="3"/>
  <c r="Z1340" i="3"/>
  <c r="N1341" i="3"/>
  <c r="O1341" i="3"/>
  <c r="P1341" i="3"/>
  <c r="Q1341" i="3"/>
  <c r="R1341" i="3"/>
  <c r="S1341" i="3"/>
  <c r="T1341" i="3"/>
  <c r="U1341" i="3"/>
  <c r="V1341" i="3"/>
  <c r="W1341" i="3"/>
  <c r="X1341" i="3"/>
  <c r="Y1341" i="3"/>
  <c r="Z1341" i="3"/>
  <c r="N1342" i="3"/>
  <c r="O1342" i="3"/>
  <c r="P1342" i="3"/>
  <c r="Q1342" i="3"/>
  <c r="R1342" i="3"/>
  <c r="S1342" i="3"/>
  <c r="T1342" i="3"/>
  <c r="U1342" i="3"/>
  <c r="V1342" i="3"/>
  <c r="W1342" i="3"/>
  <c r="X1342" i="3"/>
  <c r="Y1342" i="3"/>
  <c r="Z1342" i="3"/>
  <c r="N1343" i="3"/>
  <c r="O1343" i="3"/>
  <c r="P1343" i="3"/>
  <c r="Q1343" i="3"/>
  <c r="R1343" i="3"/>
  <c r="S1343" i="3"/>
  <c r="T1343" i="3"/>
  <c r="U1343" i="3"/>
  <c r="V1343" i="3"/>
  <c r="W1343" i="3"/>
  <c r="X1343" i="3"/>
  <c r="Y1343" i="3"/>
  <c r="Z1343" i="3"/>
  <c r="N1344" i="3"/>
  <c r="O1344" i="3"/>
  <c r="P1344" i="3"/>
  <c r="Q1344" i="3"/>
  <c r="R1344" i="3"/>
  <c r="S1344" i="3"/>
  <c r="T1344" i="3"/>
  <c r="U1344" i="3"/>
  <c r="V1344" i="3"/>
  <c r="W1344" i="3"/>
  <c r="X1344" i="3"/>
  <c r="Y1344" i="3"/>
  <c r="Z1344" i="3"/>
  <c r="N1345" i="3"/>
  <c r="O1345" i="3"/>
  <c r="P1345" i="3"/>
  <c r="Q1345" i="3"/>
  <c r="R1345" i="3"/>
  <c r="S1345" i="3"/>
  <c r="T1345" i="3"/>
  <c r="U1345" i="3"/>
  <c r="V1345" i="3"/>
  <c r="W1345" i="3"/>
  <c r="X1345" i="3"/>
  <c r="Y1345" i="3"/>
  <c r="Z1345" i="3"/>
  <c r="N1346" i="3"/>
  <c r="O1346" i="3"/>
  <c r="P1346" i="3"/>
  <c r="Q1346" i="3"/>
  <c r="R1346" i="3"/>
  <c r="S1346" i="3"/>
  <c r="T1346" i="3"/>
  <c r="U1346" i="3"/>
  <c r="V1346" i="3"/>
  <c r="W1346" i="3"/>
  <c r="X1346" i="3"/>
  <c r="Y1346" i="3"/>
  <c r="Z1346" i="3"/>
  <c r="N1347" i="3"/>
  <c r="O1347" i="3"/>
  <c r="P1347" i="3"/>
  <c r="Q1347" i="3"/>
  <c r="R1347" i="3"/>
  <c r="S1347" i="3"/>
  <c r="T1347" i="3"/>
  <c r="U1347" i="3"/>
  <c r="V1347" i="3"/>
  <c r="W1347" i="3"/>
  <c r="X1347" i="3"/>
  <c r="Y1347" i="3"/>
  <c r="Z1347" i="3"/>
  <c r="N1348" i="3"/>
  <c r="O1348" i="3"/>
  <c r="P1348" i="3"/>
  <c r="Q1348" i="3"/>
  <c r="R1348" i="3"/>
  <c r="S1348" i="3"/>
  <c r="T1348" i="3"/>
  <c r="U1348" i="3"/>
  <c r="V1348" i="3"/>
  <c r="W1348" i="3"/>
  <c r="X1348" i="3"/>
  <c r="Y1348" i="3"/>
  <c r="Z1348" i="3"/>
  <c r="N1349" i="3"/>
  <c r="O1349" i="3"/>
  <c r="P1349" i="3"/>
  <c r="Q1349" i="3"/>
  <c r="R1349" i="3"/>
  <c r="S1349" i="3"/>
  <c r="T1349" i="3"/>
  <c r="U1349" i="3"/>
  <c r="V1349" i="3"/>
  <c r="W1349" i="3"/>
  <c r="X1349" i="3"/>
  <c r="Y1349" i="3"/>
  <c r="Z1349" i="3"/>
  <c r="N1350" i="3"/>
  <c r="O1350" i="3"/>
  <c r="P1350" i="3"/>
  <c r="Q1350" i="3"/>
  <c r="R1350" i="3"/>
  <c r="S1350" i="3"/>
  <c r="T1350" i="3"/>
  <c r="U1350" i="3"/>
  <c r="V1350" i="3"/>
  <c r="W1350" i="3"/>
  <c r="X1350" i="3"/>
  <c r="Y1350" i="3"/>
  <c r="Z1350" i="3"/>
  <c r="N1351" i="3"/>
  <c r="O1351" i="3"/>
  <c r="P1351" i="3"/>
  <c r="Q1351" i="3"/>
  <c r="R1351" i="3"/>
  <c r="S1351" i="3"/>
  <c r="T1351" i="3"/>
  <c r="U1351" i="3"/>
  <c r="V1351" i="3"/>
  <c r="W1351" i="3"/>
  <c r="X1351" i="3"/>
  <c r="Y1351" i="3"/>
  <c r="Z1351" i="3"/>
  <c r="N1352" i="3"/>
  <c r="O1352" i="3"/>
  <c r="P1352" i="3"/>
  <c r="Q1352" i="3"/>
  <c r="R1352" i="3"/>
  <c r="S1352" i="3"/>
  <c r="T1352" i="3"/>
  <c r="U1352" i="3"/>
  <c r="V1352" i="3"/>
  <c r="W1352" i="3"/>
  <c r="X1352" i="3"/>
  <c r="Y1352" i="3"/>
  <c r="Z1352" i="3"/>
  <c r="N1353" i="3"/>
  <c r="O1353" i="3"/>
  <c r="P1353" i="3"/>
  <c r="Q1353" i="3"/>
  <c r="R1353" i="3"/>
  <c r="S1353" i="3"/>
  <c r="T1353" i="3"/>
  <c r="U1353" i="3"/>
  <c r="V1353" i="3"/>
  <c r="W1353" i="3"/>
  <c r="X1353" i="3"/>
  <c r="Y1353" i="3"/>
  <c r="Z1353" i="3"/>
  <c r="N1354" i="3"/>
  <c r="O1354" i="3"/>
  <c r="P1354" i="3"/>
  <c r="Q1354" i="3"/>
  <c r="R1354" i="3"/>
  <c r="S1354" i="3"/>
  <c r="T1354" i="3"/>
  <c r="U1354" i="3"/>
  <c r="V1354" i="3"/>
  <c r="W1354" i="3"/>
  <c r="X1354" i="3"/>
  <c r="Y1354" i="3"/>
  <c r="Z1354" i="3"/>
  <c r="N1355" i="3"/>
  <c r="O1355" i="3"/>
  <c r="P1355" i="3"/>
  <c r="Q1355" i="3"/>
  <c r="R1355" i="3"/>
  <c r="S1355" i="3"/>
  <c r="T1355" i="3"/>
  <c r="U1355" i="3"/>
  <c r="V1355" i="3"/>
  <c r="W1355" i="3"/>
  <c r="X1355" i="3"/>
  <c r="Y1355" i="3"/>
  <c r="Z1355" i="3"/>
  <c r="N1356" i="3"/>
  <c r="O1356" i="3"/>
  <c r="P1356" i="3"/>
  <c r="Q1356" i="3"/>
  <c r="R1356" i="3"/>
  <c r="S1356" i="3"/>
  <c r="T1356" i="3"/>
  <c r="U1356" i="3"/>
  <c r="V1356" i="3"/>
  <c r="W1356" i="3"/>
  <c r="X1356" i="3"/>
  <c r="Y1356" i="3"/>
  <c r="Z1356" i="3"/>
  <c r="N1357" i="3"/>
  <c r="O1357" i="3"/>
  <c r="P1357" i="3"/>
  <c r="Q1357" i="3"/>
  <c r="R1357" i="3"/>
  <c r="S1357" i="3"/>
  <c r="T1357" i="3"/>
  <c r="U1357" i="3"/>
  <c r="V1357" i="3"/>
  <c r="W1357" i="3"/>
  <c r="X1357" i="3"/>
  <c r="Y1357" i="3"/>
  <c r="Z1357" i="3"/>
  <c r="N1358" i="3"/>
  <c r="O1358" i="3"/>
  <c r="P1358" i="3"/>
  <c r="Q1358" i="3"/>
  <c r="R1358" i="3"/>
  <c r="S1358" i="3"/>
  <c r="T1358" i="3"/>
  <c r="U1358" i="3"/>
  <c r="V1358" i="3"/>
  <c r="W1358" i="3"/>
  <c r="X1358" i="3"/>
  <c r="Y1358" i="3"/>
  <c r="Z1358" i="3"/>
  <c r="N1359" i="3"/>
  <c r="O1359" i="3"/>
  <c r="P1359" i="3"/>
  <c r="Q1359" i="3"/>
  <c r="R1359" i="3"/>
  <c r="S1359" i="3"/>
  <c r="T1359" i="3"/>
  <c r="U1359" i="3"/>
  <c r="V1359" i="3"/>
  <c r="W1359" i="3"/>
  <c r="X1359" i="3"/>
  <c r="Y1359" i="3"/>
  <c r="Z1359" i="3"/>
  <c r="N1360" i="3"/>
  <c r="O1360" i="3"/>
  <c r="P1360" i="3"/>
  <c r="Q1360" i="3"/>
  <c r="R1360" i="3"/>
  <c r="S1360" i="3"/>
  <c r="T1360" i="3"/>
  <c r="U1360" i="3"/>
  <c r="V1360" i="3"/>
  <c r="W1360" i="3"/>
  <c r="X1360" i="3"/>
  <c r="Y1360" i="3"/>
  <c r="Z1360" i="3"/>
  <c r="N1361" i="3"/>
  <c r="O1361" i="3"/>
  <c r="P1361" i="3"/>
  <c r="Q1361" i="3"/>
  <c r="R1361" i="3"/>
  <c r="S1361" i="3"/>
  <c r="T1361" i="3"/>
  <c r="U1361" i="3"/>
  <c r="V1361" i="3"/>
  <c r="W1361" i="3"/>
  <c r="X1361" i="3"/>
  <c r="Y1361" i="3"/>
  <c r="Z1361" i="3"/>
  <c r="N1362" i="3"/>
  <c r="O1362" i="3"/>
  <c r="P1362" i="3"/>
  <c r="Q1362" i="3"/>
  <c r="R1362" i="3"/>
  <c r="S1362" i="3"/>
  <c r="T1362" i="3"/>
  <c r="U1362" i="3"/>
  <c r="V1362" i="3"/>
  <c r="W1362" i="3"/>
  <c r="X1362" i="3"/>
  <c r="Y1362" i="3"/>
  <c r="Z1362" i="3"/>
  <c r="N1363" i="3"/>
  <c r="O1363" i="3"/>
  <c r="P1363" i="3"/>
  <c r="Q1363" i="3"/>
  <c r="R1363" i="3"/>
  <c r="S1363" i="3"/>
  <c r="T1363" i="3"/>
  <c r="U1363" i="3"/>
  <c r="V1363" i="3"/>
  <c r="W1363" i="3"/>
  <c r="X1363" i="3"/>
  <c r="Y1363" i="3"/>
  <c r="Z1363" i="3"/>
  <c r="N1364" i="3"/>
  <c r="O1364" i="3"/>
  <c r="P1364" i="3"/>
  <c r="Q1364" i="3"/>
  <c r="R1364" i="3"/>
  <c r="S1364" i="3"/>
  <c r="T1364" i="3"/>
  <c r="U1364" i="3"/>
  <c r="V1364" i="3"/>
  <c r="W1364" i="3"/>
  <c r="X1364" i="3"/>
  <c r="Y1364" i="3"/>
  <c r="Z1364" i="3"/>
  <c r="N1365" i="3"/>
  <c r="O1365" i="3"/>
  <c r="P1365" i="3"/>
  <c r="Q1365" i="3"/>
  <c r="R1365" i="3"/>
  <c r="S1365" i="3"/>
  <c r="T1365" i="3"/>
  <c r="U1365" i="3"/>
  <c r="V1365" i="3"/>
  <c r="W1365" i="3"/>
  <c r="X1365" i="3"/>
  <c r="Y1365" i="3"/>
  <c r="Z1365" i="3"/>
  <c r="N1366" i="3"/>
  <c r="O1366" i="3"/>
  <c r="P1366" i="3"/>
  <c r="Q1366" i="3"/>
  <c r="R1366" i="3"/>
  <c r="S1366" i="3"/>
  <c r="T1366" i="3"/>
  <c r="U1366" i="3"/>
  <c r="V1366" i="3"/>
  <c r="W1366" i="3"/>
  <c r="X1366" i="3"/>
  <c r="Y1366" i="3"/>
  <c r="Z1366" i="3"/>
  <c r="N1367" i="3"/>
  <c r="O1367" i="3"/>
  <c r="P1367" i="3"/>
  <c r="Q1367" i="3"/>
  <c r="R1367" i="3"/>
  <c r="S1367" i="3"/>
  <c r="T1367" i="3"/>
  <c r="U1367" i="3"/>
  <c r="V1367" i="3"/>
  <c r="W1367" i="3"/>
  <c r="X1367" i="3"/>
  <c r="Y1367" i="3"/>
  <c r="Z1367" i="3"/>
  <c r="N1368" i="3"/>
  <c r="O1368" i="3"/>
  <c r="P1368" i="3"/>
  <c r="Q1368" i="3"/>
  <c r="R1368" i="3"/>
  <c r="S1368" i="3" s="1"/>
  <c r="T1368" i="3"/>
  <c r="U1368" i="3"/>
  <c r="V1368" i="3"/>
  <c r="W1368" i="3"/>
  <c r="X1368" i="3"/>
  <c r="Y1368" i="3"/>
  <c r="Z1368" i="3"/>
  <c r="N1369" i="3"/>
  <c r="O1369" i="3"/>
  <c r="U1369" i="3"/>
  <c r="V1369" i="3"/>
  <c r="W1369" i="3"/>
  <c r="X1369" i="3"/>
  <c r="Y1369" i="3"/>
  <c r="N1370" i="3"/>
  <c r="O1370" i="3"/>
  <c r="W1370" i="3"/>
  <c r="X1370" i="3"/>
  <c r="Y1370" i="3"/>
  <c r="N1371" i="3"/>
  <c r="O1371" i="3"/>
  <c r="W1371" i="3"/>
  <c r="X1371" i="3"/>
  <c r="Y1371" i="3"/>
  <c r="N1372" i="3"/>
  <c r="O1372" i="3"/>
  <c r="N1373" i="3"/>
  <c r="O1373" i="3"/>
  <c r="U1373" i="3"/>
  <c r="V1373" i="3"/>
  <c r="W1373" i="3"/>
  <c r="X1373" i="3"/>
  <c r="Y1373" i="3"/>
  <c r="N1374" i="3"/>
  <c r="O1374" i="3"/>
  <c r="W1374" i="3" s="1"/>
  <c r="T1374" i="3"/>
  <c r="U1374" i="3"/>
  <c r="V1374" i="3"/>
  <c r="X1374" i="3"/>
  <c r="Y1374" i="3"/>
  <c r="N1375" i="3"/>
  <c r="O1375" i="3"/>
  <c r="V1375" i="3"/>
  <c r="W1375" i="3"/>
  <c r="N1376" i="3"/>
  <c r="O1376" i="3"/>
  <c r="W1376" i="3" s="1"/>
  <c r="X1376" i="3"/>
  <c r="Y1376" i="3"/>
  <c r="N1377" i="3"/>
  <c r="O1377" i="3"/>
  <c r="Q1377" i="3" s="1"/>
  <c r="P1377" i="3"/>
  <c r="R1377" i="3" s="1"/>
  <c r="T1377" i="3"/>
  <c r="U1377" i="3"/>
  <c r="V1377" i="3"/>
  <c r="W1377" i="3"/>
  <c r="X1377" i="3"/>
  <c r="Y1377" i="3"/>
  <c r="Z1377" i="3"/>
  <c r="N1378" i="3"/>
  <c r="O1378" i="3"/>
  <c r="W1378" i="3" s="1"/>
  <c r="X1378" i="3"/>
  <c r="Y1378" i="3"/>
  <c r="N1379" i="3"/>
  <c r="O1379" i="3"/>
  <c r="W1379" i="3"/>
  <c r="X1379" i="3"/>
  <c r="Y1379" i="3"/>
  <c r="N1380" i="3"/>
  <c r="Q1380" i="3" s="1"/>
  <c r="O1380" i="3"/>
  <c r="P1380" i="3"/>
  <c r="R1380" i="3" s="1"/>
  <c r="T1380" i="3"/>
  <c r="U1380" i="3"/>
  <c r="V1380" i="3"/>
  <c r="W1380" i="3"/>
  <c r="X1380" i="3"/>
  <c r="Y1380" i="3"/>
  <c r="Z1380" i="3"/>
  <c r="N1381" i="3"/>
  <c r="O1381" i="3"/>
  <c r="X1381" i="3"/>
  <c r="N1382" i="3"/>
  <c r="O1382" i="3"/>
  <c r="W1382" i="3"/>
  <c r="X1382" i="3"/>
  <c r="Y1382" i="3"/>
  <c r="N1383" i="3"/>
  <c r="O1383" i="3"/>
  <c r="V1383" i="3"/>
  <c r="W1383" i="3"/>
  <c r="X1383" i="3"/>
  <c r="Y1383" i="3"/>
  <c r="N1384" i="3"/>
  <c r="O1384" i="3"/>
  <c r="V1384" i="3"/>
  <c r="W1384" i="3"/>
  <c r="X1384" i="3"/>
  <c r="Y1384" i="3"/>
  <c r="N1385" i="3"/>
  <c r="O1385" i="3"/>
  <c r="W1385" i="3" s="1"/>
  <c r="X1385" i="3"/>
  <c r="Y1385" i="3"/>
  <c r="N1386" i="3"/>
  <c r="Q1386" i="3" s="1"/>
  <c r="S1386" i="3" s="1"/>
  <c r="O1386" i="3"/>
  <c r="P1386" i="3"/>
  <c r="R1386" i="3" s="1"/>
  <c r="T1386" i="3"/>
  <c r="U1386" i="3"/>
  <c r="V1386" i="3"/>
  <c r="W1386" i="3"/>
  <c r="X1386" i="3"/>
  <c r="Y1386" i="3"/>
  <c r="Z1386" i="3"/>
  <c r="N1387" i="3"/>
  <c r="O1387" i="3"/>
  <c r="W1387" i="3"/>
  <c r="X1387" i="3"/>
  <c r="Y1387" i="3"/>
  <c r="N1388" i="3"/>
  <c r="O1388" i="3"/>
  <c r="Y1388" i="3"/>
  <c r="N1389" i="3"/>
  <c r="Q1389" i="3" s="1"/>
  <c r="S1389" i="3" s="1"/>
  <c r="O1389" i="3"/>
  <c r="P1389" i="3"/>
  <c r="R1389" i="3" s="1"/>
  <c r="T1389" i="3"/>
  <c r="U1389" i="3"/>
  <c r="V1389" i="3"/>
  <c r="Y1389" i="3"/>
  <c r="Z1389" i="3"/>
  <c r="N1390" i="3"/>
  <c r="O1390" i="3"/>
  <c r="N1391" i="3"/>
  <c r="O1391" i="3"/>
  <c r="U1391" i="3"/>
  <c r="V1391" i="3"/>
  <c r="W1391" i="3"/>
  <c r="X1391" i="3"/>
  <c r="Y1391" i="3"/>
  <c r="N1392" i="3"/>
  <c r="O1392" i="3"/>
  <c r="W1392" i="3"/>
  <c r="X1392" i="3"/>
  <c r="Y1392" i="3"/>
  <c r="N1393" i="3"/>
  <c r="O1393" i="3"/>
  <c r="Q1393" i="3"/>
  <c r="U1393" i="3"/>
  <c r="V1393" i="3"/>
  <c r="W1393" i="3"/>
  <c r="X1393" i="3"/>
  <c r="Y1393" i="3"/>
  <c r="N1394" i="3"/>
  <c r="O1394" i="3"/>
  <c r="W1394" i="3"/>
  <c r="X1394" i="3"/>
  <c r="Y1394" i="3"/>
  <c r="N1395" i="3"/>
  <c r="O1395" i="3"/>
  <c r="W1395" i="3"/>
  <c r="X1395" i="3"/>
  <c r="Y1395" i="3"/>
  <c r="N1396" i="3"/>
  <c r="O1396" i="3"/>
  <c r="W1396" i="3"/>
  <c r="X1396" i="3"/>
  <c r="Y1396" i="3"/>
  <c r="N1397" i="3"/>
  <c r="Q1397" i="3" s="1"/>
  <c r="S1397" i="3" s="1"/>
  <c r="O1397" i="3"/>
  <c r="P1397" i="3"/>
  <c r="R1397" i="3" s="1"/>
  <c r="T1397" i="3"/>
  <c r="U1397" i="3"/>
  <c r="V1397" i="3"/>
  <c r="Y1397" i="3"/>
  <c r="Z1397" i="3"/>
  <c r="N1398" i="3"/>
  <c r="O1398" i="3"/>
  <c r="W1398" i="3"/>
  <c r="X1398" i="3"/>
  <c r="Y1398" i="3"/>
  <c r="N1399" i="3"/>
  <c r="O1399" i="3"/>
  <c r="W1399" i="3"/>
  <c r="X1399" i="3"/>
  <c r="Y1399" i="3"/>
  <c r="N1400" i="3"/>
  <c r="O1400" i="3"/>
  <c r="U1400" i="3"/>
  <c r="V1400" i="3"/>
  <c r="W1400" i="3"/>
  <c r="X1400" i="3"/>
  <c r="Y1400" i="3"/>
  <c r="N1401" i="3"/>
  <c r="O1401" i="3"/>
  <c r="N1402" i="3"/>
  <c r="O1402" i="3"/>
  <c r="N1403" i="3"/>
  <c r="O1403" i="3"/>
  <c r="W1403" i="3" s="1"/>
  <c r="U1403" i="3"/>
  <c r="V1403" i="3"/>
  <c r="X1403" i="3"/>
  <c r="Y1403" i="3"/>
  <c r="N1404" i="3"/>
  <c r="O1404" i="3"/>
  <c r="W1404" i="3"/>
  <c r="X1404" i="3"/>
  <c r="Y1404" i="3"/>
  <c r="N1405" i="3"/>
  <c r="O1405" i="3"/>
  <c r="V1405" i="3"/>
  <c r="W1405" i="3"/>
  <c r="X1405" i="3"/>
  <c r="Y1405" i="3"/>
  <c r="N1406" i="3"/>
  <c r="O1406" i="3"/>
  <c r="T1406" i="3"/>
  <c r="U1406" i="3"/>
  <c r="V1406" i="3"/>
  <c r="W1406" i="3"/>
  <c r="X1406" i="3"/>
  <c r="Y1406" i="3"/>
  <c r="N1407" i="3"/>
  <c r="O1407" i="3"/>
  <c r="U1407" i="3"/>
  <c r="V1407" i="3"/>
  <c r="N1408" i="3"/>
  <c r="O1408" i="3"/>
  <c r="Y1408" i="3" s="1"/>
  <c r="U1408" i="3"/>
  <c r="V1408" i="3"/>
  <c r="W1408" i="3"/>
  <c r="X1408" i="3"/>
  <c r="N1409" i="3"/>
  <c r="O1409" i="3"/>
  <c r="P1409" i="3"/>
  <c r="Q1409" i="3"/>
  <c r="R1409" i="3"/>
  <c r="S1409" i="3"/>
  <c r="T1409" i="3"/>
  <c r="U1409" i="3"/>
  <c r="V1409" i="3"/>
  <c r="W1409" i="3"/>
  <c r="X1409" i="3"/>
  <c r="Y1409" i="3"/>
  <c r="Z1409" i="3"/>
  <c r="N1410" i="3"/>
  <c r="O1410" i="3"/>
  <c r="P1410" i="3"/>
  <c r="Q1410" i="3"/>
  <c r="R1410" i="3"/>
  <c r="S1410" i="3"/>
  <c r="T1410" i="3"/>
  <c r="U1410" i="3"/>
  <c r="V1410" i="3"/>
  <c r="W1410" i="3"/>
  <c r="X1410" i="3"/>
  <c r="Y1410" i="3"/>
  <c r="Z1410" i="3"/>
  <c r="N1411" i="3"/>
  <c r="O1411" i="3"/>
  <c r="P1411" i="3"/>
  <c r="Q1411" i="3"/>
  <c r="R1411" i="3"/>
  <c r="S1411" i="3"/>
  <c r="T1411" i="3"/>
  <c r="U1411" i="3"/>
  <c r="V1411" i="3"/>
  <c r="W1411" i="3"/>
  <c r="X1411" i="3"/>
  <c r="Y1411" i="3"/>
  <c r="Z1411" i="3"/>
  <c r="N1412" i="3"/>
  <c r="O1412" i="3"/>
  <c r="P1412" i="3"/>
  <c r="Q1412" i="3"/>
  <c r="R1412" i="3"/>
  <c r="S1412" i="3"/>
  <c r="T1412" i="3"/>
  <c r="U1412" i="3"/>
  <c r="V1412" i="3"/>
  <c r="W1412" i="3"/>
  <c r="X1412" i="3"/>
  <c r="Y1412" i="3"/>
  <c r="Z1412" i="3"/>
  <c r="N1413" i="3"/>
  <c r="O1413" i="3"/>
  <c r="P1413" i="3"/>
  <c r="Q1413" i="3"/>
  <c r="R1413" i="3"/>
  <c r="S1413" i="3"/>
  <c r="T1413" i="3"/>
  <c r="U1413" i="3"/>
  <c r="V1413" i="3"/>
  <c r="W1413" i="3"/>
  <c r="X1413" i="3"/>
  <c r="Y1413" i="3"/>
  <c r="Z1413" i="3"/>
  <c r="N1414" i="3"/>
  <c r="O1414" i="3"/>
  <c r="P1414" i="3"/>
  <c r="Q1414" i="3"/>
  <c r="R1414" i="3"/>
  <c r="S1414" i="3"/>
  <c r="T1414" i="3"/>
  <c r="U1414" i="3"/>
  <c r="V1414" i="3"/>
  <c r="W1414" i="3"/>
  <c r="X1414" i="3"/>
  <c r="Y1414" i="3"/>
  <c r="Z1414" i="3"/>
  <c r="N1415" i="3"/>
  <c r="O1415" i="3"/>
  <c r="P1415" i="3"/>
  <c r="Q1415" i="3"/>
  <c r="R1415" i="3"/>
  <c r="S1415" i="3"/>
  <c r="T1415" i="3"/>
  <c r="U1415" i="3"/>
  <c r="V1415" i="3"/>
  <c r="W1415" i="3"/>
  <c r="X1415" i="3"/>
  <c r="Y1415" i="3"/>
  <c r="Z1415" i="3"/>
  <c r="N1416" i="3"/>
  <c r="O1416" i="3"/>
  <c r="P1416" i="3"/>
  <c r="Q1416" i="3"/>
  <c r="R1416" i="3"/>
  <c r="S1416" i="3"/>
  <c r="T1416" i="3"/>
  <c r="U1416" i="3"/>
  <c r="V1416" i="3"/>
  <c r="W1416" i="3"/>
  <c r="X1416" i="3"/>
  <c r="Y1416" i="3"/>
  <c r="Z1416" i="3"/>
  <c r="N1417" i="3"/>
  <c r="O1417" i="3"/>
  <c r="P1417" i="3"/>
  <c r="Q1417" i="3"/>
  <c r="R1417" i="3"/>
  <c r="S1417" i="3"/>
  <c r="T1417" i="3"/>
  <c r="U1417" i="3"/>
  <c r="V1417" i="3"/>
  <c r="W1417" i="3"/>
  <c r="X1417" i="3"/>
  <c r="Y1417" i="3"/>
  <c r="Z1417" i="3"/>
  <c r="N1418" i="3"/>
  <c r="O1418" i="3"/>
  <c r="P1418" i="3"/>
  <c r="Q1418" i="3"/>
  <c r="R1418" i="3"/>
  <c r="S1418" i="3"/>
  <c r="T1418" i="3"/>
  <c r="U1418" i="3"/>
  <c r="V1418" i="3"/>
  <c r="W1418" i="3"/>
  <c r="X1418" i="3"/>
  <c r="Y1418" i="3"/>
  <c r="Z1418" i="3"/>
  <c r="N1419" i="3"/>
  <c r="O1419" i="3"/>
  <c r="P1419" i="3"/>
  <c r="Q1419" i="3"/>
  <c r="R1419" i="3"/>
  <c r="S1419" i="3"/>
  <c r="T1419" i="3"/>
  <c r="U1419" i="3"/>
  <c r="V1419" i="3"/>
  <c r="W1419" i="3"/>
  <c r="X1419" i="3"/>
  <c r="Y1419" i="3"/>
  <c r="Z1419" i="3"/>
  <c r="N1420" i="3"/>
  <c r="O1420" i="3"/>
  <c r="P1420" i="3"/>
  <c r="Q1420" i="3"/>
  <c r="R1420" i="3"/>
  <c r="S1420" i="3"/>
  <c r="T1420" i="3"/>
  <c r="U1420" i="3"/>
  <c r="V1420" i="3"/>
  <c r="W1420" i="3"/>
  <c r="X1420" i="3"/>
  <c r="Y1420" i="3"/>
  <c r="Z1420" i="3"/>
  <c r="N1421" i="3"/>
  <c r="O1421" i="3"/>
  <c r="P1421" i="3"/>
  <c r="Q1421" i="3"/>
  <c r="R1421" i="3"/>
  <c r="S1421" i="3"/>
  <c r="T1421" i="3"/>
  <c r="U1421" i="3"/>
  <c r="V1421" i="3"/>
  <c r="W1421" i="3"/>
  <c r="X1421" i="3"/>
  <c r="Y1421" i="3"/>
  <c r="Z1421" i="3"/>
  <c r="N1422" i="3"/>
  <c r="O1422" i="3"/>
  <c r="P1422" i="3"/>
  <c r="Q1422" i="3"/>
  <c r="R1422" i="3"/>
  <c r="S1422" i="3"/>
  <c r="T1422" i="3"/>
  <c r="U1422" i="3"/>
  <c r="V1422" i="3"/>
  <c r="W1422" i="3"/>
  <c r="X1422" i="3"/>
  <c r="Y1422" i="3"/>
  <c r="Z1422" i="3"/>
  <c r="N1423" i="3"/>
  <c r="O1423" i="3"/>
  <c r="P1423" i="3"/>
  <c r="Q1423" i="3"/>
  <c r="R1423" i="3"/>
  <c r="S1423" i="3"/>
  <c r="T1423" i="3"/>
  <c r="U1423" i="3"/>
  <c r="V1423" i="3"/>
  <c r="W1423" i="3"/>
  <c r="X1423" i="3"/>
  <c r="Y1423" i="3"/>
  <c r="Z1423" i="3"/>
  <c r="N1424" i="3"/>
  <c r="O1424" i="3"/>
  <c r="P1424" i="3"/>
  <c r="Q1424" i="3"/>
  <c r="R1424" i="3"/>
  <c r="S1424" i="3"/>
  <c r="T1424" i="3"/>
  <c r="U1424" i="3"/>
  <c r="V1424" i="3"/>
  <c r="W1424" i="3"/>
  <c r="X1424" i="3"/>
  <c r="Y1424" i="3"/>
  <c r="Z1424" i="3"/>
  <c r="N1425" i="3"/>
  <c r="O1425" i="3"/>
  <c r="P1425" i="3"/>
  <c r="Q1425" i="3"/>
  <c r="R1425" i="3"/>
  <c r="S1425" i="3"/>
  <c r="T1425" i="3"/>
  <c r="U1425" i="3"/>
  <c r="V1425" i="3"/>
  <c r="W1425" i="3"/>
  <c r="X1425" i="3"/>
  <c r="Y1425" i="3"/>
  <c r="Z1425" i="3"/>
  <c r="N1426" i="3"/>
  <c r="O1426" i="3"/>
  <c r="P1426" i="3"/>
  <c r="Q1426" i="3"/>
  <c r="R1426" i="3"/>
  <c r="S1426" i="3"/>
  <c r="T1426" i="3"/>
  <c r="U1426" i="3"/>
  <c r="V1426" i="3"/>
  <c r="W1426" i="3"/>
  <c r="X1426" i="3"/>
  <c r="Y1426" i="3"/>
  <c r="Z1426" i="3"/>
  <c r="N1427" i="3"/>
  <c r="O1427" i="3"/>
  <c r="P1427" i="3"/>
  <c r="Q1427" i="3"/>
  <c r="R1427" i="3"/>
  <c r="S1427" i="3"/>
  <c r="T1427" i="3"/>
  <c r="U1427" i="3"/>
  <c r="V1427" i="3"/>
  <c r="W1427" i="3"/>
  <c r="X1427" i="3"/>
  <c r="Y1427" i="3"/>
  <c r="Z1427" i="3"/>
  <c r="N1428" i="3"/>
  <c r="O1428" i="3"/>
  <c r="P1428" i="3"/>
  <c r="Q1428" i="3"/>
  <c r="R1428" i="3"/>
  <c r="S1428" i="3"/>
  <c r="T1428" i="3"/>
  <c r="U1428" i="3"/>
  <c r="V1428" i="3"/>
  <c r="W1428" i="3"/>
  <c r="X1428" i="3"/>
  <c r="Y1428" i="3"/>
  <c r="Z1428" i="3"/>
  <c r="N1429" i="3"/>
  <c r="O1429" i="3"/>
  <c r="P1429" i="3"/>
  <c r="Q1429" i="3"/>
  <c r="R1429" i="3"/>
  <c r="S1429" i="3"/>
  <c r="T1429" i="3"/>
  <c r="U1429" i="3"/>
  <c r="V1429" i="3"/>
  <c r="W1429" i="3"/>
  <c r="X1429" i="3"/>
  <c r="Y1429" i="3"/>
  <c r="Z1429" i="3"/>
  <c r="N1430" i="3"/>
  <c r="O1430" i="3"/>
  <c r="P1430" i="3"/>
  <c r="Q1430" i="3"/>
  <c r="R1430" i="3"/>
  <c r="S1430" i="3"/>
  <c r="T1430" i="3"/>
  <c r="U1430" i="3"/>
  <c r="V1430" i="3"/>
  <c r="W1430" i="3"/>
  <c r="X1430" i="3"/>
  <c r="Y1430" i="3"/>
  <c r="Z1430" i="3"/>
  <c r="N1431" i="3"/>
  <c r="O1431" i="3"/>
  <c r="P1431" i="3"/>
  <c r="Q1431" i="3"/>
  <c r="R1431" i="3"/>
  <c r="S1431" i="3"/>
  <c r="T1431" i="3"/>
  <c r="U1431" i="3"/>
  <c r="V1431" i="3"/>
  <c r="W1431" i="3"/>
  <c r="X1431" i="3"/>
  <c r="Y1431" i="3"/>
  <c r="Z1431" i="3"/>
  <c r="N1432" i="3"/>
  <c r="O1432" i="3"/>
  <c r="P1432" i="3"/>
  <c r="Q1432" i="3"/>
  <c r="R1432" i="3"/>
  <c r="S1432" i="3"/>
  <c r="T1432" i="3"/>
  <c r="U1432" i="3"/>
  <c r="V1432" i="3"/>
  <c r="W1432" i="3"/>
  <c r="X1432" i="3"/>
  <c r="Y1432" i="3"/>
  <c r="Z1432" i="3"/>
  <c r="N1433" i="3"/>
  <c r="O1433" i="3"/>
  <c r="P1433" i="3"/>
  <c r="Q1433" i="3"/>
  <c r="R1433" i="3"/>
  <c r="S1433" i="3"/>
  <c r="T1433" i="3"/>
  <c r="U1433" i="3"/>
  <c r="V1433" i="3"/>
  <c r="W1433" i="3"/>
  <c r="X1433" i="3"/>
  <c r="Y1433" i="3"/>
  <c r="Z1433" i="3"/>
  <c r="N1434" i="3"/>
  <c r="O1434" i="3"/>
  <c r="P1434" i="3"/>
  <c r="Q1434" i="3"/>
  <c r="R1434" i="3"/>
  <c r="S1434" i="3"/>
  <c r="T1434" i="3"/>
  <c r="U1434" i="3"/>
  <c r="V1434" i="3"/>
  <c r="W1434" i="3"/>
  <c r="X1434" i="3"/>
  <c r="Y1434" i="3"/>
  <c r="Z1434" i="3"/>
  <c r="N1435" i="3"/>
  <c r="O1435" i="3"/>
  <c r="P1435" i="3"/>
  <c r="Q1435" i="3"/>
  <c r="R1435" i="3"/>
  <c r="S1435" i="3"/>
  <c r="T1435" i="3"/>
  <c r="U1435" i="3"/>
  <c r="V1435" i="3"/>
  <c r="W1435" i="3"/>
  <c r="X1435" i="3"/>
  <c r="Y1435" i="3"/>
  <c r="Z1435" i="3"/>
  <c r="N1436" i="3"/>
  <c r="O1436" i="3"/>
  <c r="P1436" i="3"/>
  <c r="Q1436" i="3"/>
  <c r="R1436" i="3"/>
  <c r="S1436" i="3"/>
  <c r="T1436" i="3"/>
  <c r="U1436" i="3"/>
  <c r="V1436" i="3"/>
  <c r="W1436" i="3"/>
  <c r="X1436" i="3"/>
  <c r="Y1436" i="3"/>
  <c r="Z1436" i="3"/>
  <c r="N1437" i="3"/>
  <c r="O1437" i="3"/>
  <c r="P1437" i="3"/>
  <c r="Q1437" i="3"/>
  <c r="R1437" i="3"/>
  <c r="S1437" i="3"/>
  <c r="T1437" i="3"/>
  <c r="U1437" i="3"/>
  <c r="V1437" i="3"/>
  <c r="W1437" i="3"/>
  <c r="X1437" i="3"/>
  <c r="Y1437" i="3"/>
  <c r="Z1437" i="3"/>
  <c r="N1438" i="3"/>
  <c r="O1438" i="3"/>
  <c r="P1438" i="3"/>
  <c r="Q1438" i="3"/>
  <c r="R1438" i="3"/>
  <c r="S1438" i="3"/>
  <c r="T1438" i="3"/>
  <c r="U1438" i="3"/>
  <c r="V1438" i="3"/>
  <c r="W1438" i="3"/>
  <c r="X1438" i="3"/>
  <c r="Y1438" i="3"/>
  <c r="Z1438" i="3"/>
  <c r="N1439" i="3"/>
  <c r="O1439" i="3"/>
  <c r="P1439" i="3"/>
  <c r="Q1439" i="3"/>
  <c r="R1439" i="3"/>
  <c r="S1439" i="3"/>
  <c r="T1439" i="3"/>
  <c r="U1439" i="3"/>
  <c r="V1439" i="3"/>
  <c r="W1439" i="3"/>
  <c r="X1439" i="3"/>
  <c r="Y1439" i="3"/>
  <c r="Z1439" i="3"/>
  <c r="N1440" i="3"/>
  <c r="O1440" i="3"/>
  <c r="P1440" i="3"/>
  <c r="Q1440" i="3"/>
  <c r="R1440" i="3"/>
  <c r="S1440" i="3"/>
  <c r="T1440" i="3"/>
  <c r="U1440" i="3"/>
  <c r="V1440" i="3"/>
  <c r="W1440" i="3"/>
  <c r="X1440" i="3"/>
  <c r="Y1440" i="3"/>
  <c r="Z1440" i="3"/>
  <c r="N1441" i="3"/>
  <c r="O1441" i="3"/>
  <c r="P1441" i="3"/>
  <c r="Q1441" i="3"/>
  <c r="R1441" i="3"/>
  <c r="S1441" i="3"/>
  <c r="T1441" i="3"/>
  <c r="U1441" i="3"/>
  <c r="V1441" i="3"/>
  <c r="W1441" i="3"/>
  <c r="X1441" i="3"/>
  <c r="Y1441" i="3"/>
  <c r="Z1441" i="3"/>
  <c r="N1442" i="3"/>
  <c r="O1442" i="3"/>
  <c r="P1442" i="3"/>
  <c r="Q1442" i="3"/>
  <c r="R1442" i="3"/>
  <c r="S1442" i="3"/>
  <c r="T1442" i="3"/>
  <c r="U1442" i="3"/>
  <c r="V1442" i="3"/>
  <c r="W1442" i="3"/>
  <c r="X1442" i="3"/>
  <c r="Y1442" i="3"/>
  <c r="Z1442" i="3"/>
  <c r="N1443" i="3"/>
  <c r="O1443" i="3"/>
  <c r="P1443" i="3"/>
  <c r="Q1443" i="3"/>
  <c r="R1443" i="3"/>
  <c r="S1443" i="3"/>
  <c r="T1443" i="3"/>
  <c r="U1443" i="3"/>
  <c r="V1443" i="3"/>
  <c r="W1443" i="3"/>
  <c r="X1443" i="3"/>
  <c r="Y1443" i="3"/>
  <c r="Z1443" i="3"/>
  <c r="N1444" i="3"/>
  <c r="O1444" i="3"/>
  <c r="P1444" i="3"/>
  <c r="Q1444" i="3"/>
  <c r="R1444" i="3"/>
  <c r="S1444" i="3"/>
  <c r="T1444" i="3"/>
  <c r="U1444" i="3"/>
  <c r="V1444" i="3"/>
  <c r="W1444" i="3"/>
  <c r="X1444" i="3"/>
  <c r="Y1444" i="3"/>
  <c r="Z1444" i="3"/>
  <c r="N1445" i="3"/>
  <c r="O1445" i="3"/>
  <c r="P1445" i="3"/>
  <c r="Q1445" i="3"/>
  <c r="R1445" i="3"/>
  <c r="S1445" i="3"/>
  <c r="T1445" i="3"/>
  <c r="U1445" i="3"/>
  <c r="V1445" i="3"/>
  <c r="W1445" i="3"/>
  <c r="X1445" i="3"/>
  <c r="Y1445" i="3"/>
  <c r="Z1445" i="3"/>
  <c r="N1446" i="3"/>
  <c r="O1446" i="3"/>
  <c r="P1446" i="3"/>
  <c r="Q1446" i="3"/>
  <c r="R1446" i="3"/>
  <c r="S1446" i="3"/>
  <c r="T1446" i="3"/>
  <c r="U1446" i="3"/>
  <c r="V1446" i="3"/>
  <c r="W1446" i="3"/>
  <c r="X1446" i="3"/>
  <c r="Y1446" i="3"/>
  <c r="Z1446" i="3"/>
  <c r="N1447" i="3"/>
  <c r="O1447" i="3"/>
  <c r="P1447" i="3"/>
  <c r="Q1447" i="3"/>
  <c r="R1447" i="3"/>
  <c r="S1447" i="3"/>
  <c r="T1447" i="3"/>
  <c r="U1447" i="3"/>
  <c r="V1447" i="3"/>
  <c r="W1447" i="3"/>
  <c r="X1447" i="3"/>
  <c r="Y1447" i="3"/>
  <c r="Z1447" i="3"/>
  <c r="N1448" i="3"/>
  <c r="O1448" i="3"/>
  <c r="P1448" i="3"/>
  <c r="Q1448" i="3"/>
  <c r="R1448" i="3"/>
  <c r="S1448" i="3"/>
  <c r="T1448" i="3"/>
  <c r="U1448" i="3"/>
  <c r="V1448" i="3"/>
  <c r="W1448" i="3"/>
  <c r="X1448" i="3"/>
  <c r="Y1448" i="3"/>
  <c r="Z1448" i="3"/>
  <c r="N1449" i="3"/>
  <c r="O1449" i="3"/>
  <c r="P1449" i="3"/>
  <c r="Q1449" i="3"/>
  <c r="R1449" i="3"/>
  <c r="S1449" i="3"/>
  <c r="T1449" i="3"/>
  <c r="U1449" i="3"/>
  <c r="V1449" i="3"/>
  <c r="W1449" i="3"/>
  <c r="X1449" i="3"/>
  <c r="Y1449" i="3"/>
  <c r="Z1449" i="3"/>
  <c r="N1450" i="3"/>
  <c r="O1450" i="3"/>
  <c r="P1450" i="3"/>
  <c r="Q1450" i="3"/>
  <c r="R1450" i="3"/>
  <c r="S1450" i="3"/>
  <c r="T1450" i="3"/>
  <c r="U1450" i="3"/>
  <c r="V1450" i="3"/>
  <c r="W1450" i="3"/>
  <c r="X1450" i="3"/>
  <c r="Y1450" i="3"/>
  <c r="Z1450" i="3"/>
  <c r="N1451" i="3"/>
  <c r="O1451" i="3"/>
  <c r="P1451" i="3"/>
  <c r="Q1451" i="3"/>
  <c r="R1451" i="3"/>
  <c r="S1451" i="3"/>
  <c r="T1451" i="3"/>
  <c r="U1451" i="3"/>
  <c r="V1451" i="3"/>
  <c r="W1451" i="3"/>
  <c r="X1451" i="3"/>
  <c r="Y1451" i="3"/>
  <c r="Z1451" i="3"/>
  <c r="N1452" i="3"/>
  <c r="O1452" i="3"/>
  <c r="P1452" i="3"/>
  <c r="Q1452" i="3"/>
  <c r="R1452" i="3"/>
  <c r="S1452" i="3"/>
  <c r="T1452" i="3"/>
  <c r="U1452" i="3"/>
  <c r="V1452" i="3"/>
  <c r="W1452" i="3"/>
  <c r="X1452" i="3"/>
  <c r="Y1452" i="3"/>
  <c r="Z1452" i="3"/>
  <c r="N1453" i="3"/>
  <c r="O1453" i="3"/>
  <c r="P1453" i="3"/>
  <c r="Q1453" i="3"/>
  <c r="R1453" i="3"/>
  <c r="S1453" i="3"/>
  <c r="T1453" i="3"/>
  <c r="U1453" i="3"/>
  <c r="V1453" i="3"/>
  <c r="W1453" i="3"/>
  <c r="X1453" i="3"/>
  <c r="Y1453" i="3"/>
  <c r="Z1453" i="3"/>
  <c r="N1454" i="3"/>
  <c r="O1454" i="3"/>
  <c r="P1454" i="3"/>
  <c r="Q1454" i="3"/>
  <c r="R1454" i="3"/>
  <c r="S1454" i="3"/>
  <c r="T1454" i="3"/>
  <c r="U1454" i="3"/>
  <c r="V1454" i="3"/>
  <c r="W1454" i="3"/>
  <c r="X1454" i="3"/>
  <c r="Y1454" i="3"/>
  <c r="Z1454" i="3"/>
  <c r="N1455" i="3"/>
  <c r="O1455" i="3"/>
  <c r="P1455" i="3"/>
  <c r="Q1455" i="3"/>
  <c r="R1455" i="3"/>
  <c r="S1455" i="3"/>
  <c r="T1455" i="3"/>
  <c r="U1455" i="3"/>
  <c r="V1455" i="3"/>
  <c r="W1455" i="3"/>
  <c r="X1455" i="3"/>
  <c r="Y1455" i="3"/>
  <c r="Z1455" i="3"/>
  <c r="N1456" i="3"/>
  <c r="O1456" i="3"/>
  <c r="P1456" i="3"/>
  <c r="Q1456" i="3"/>
  <c r="R1456" i="3"/>
  <c r="S1456" i="3"/>
  <c r="T1456" i="3"/>
  <c r="U1456" i="3"/>
  <c r="V1456" i="3"/>
  <c r="W1456" i="3"/>
  <c r="X1456" i="3"/>
  <c r="Y1456" i="3"/>
  <c r="Z1456" i="3"/>
  <c r="N1457" i="3"/>
  <c r="O1457" i="3"/>
  <c r="P1457" i="3"/>
  <c r="Q1457" i="3"/>
  <c r="R1457" i="3"/>
  <c r="S1457" i="3"/>
  <c r="T1457" i="3"/>
  <c r="U1457" i="3"/>
  <c r="V1457" i="3"/>
  <c r="W1457" i="3"/>
  <c r="X1457" i="3"/>
  <c r="Y1457" i="3"/>
  <c r="Z1457" i="3"/>
  <c r="N1458" i="3"/>
  <c r="O1458" i="3"/>
  <c r="P1458" i="3"/>
  <c r="Q1458" i="3"/>
  <c r="R1458" i="3"/>
  <c r="S1458" i="3"/>
  <c r="T1458" i="3"/>
  <c r="U1458" i="3"/>
  <c r="V1458" i="3"/>
  <c r="W1458" i="3"/>
  <c r="X1458" i="3"/>
  <c r="Y1458" i="3"/>
  <c r="Z1458" i="3"/>
  <c r="N1459" i="3"/>
  <c r="O1459" i="3"/>
  <c r="P1459" i="3"/>
  <c r="Q1459" i="3"/>
  <c r="R1459" i="3"/>
  <c r="S1459" i="3"/>
  <c r="T1459" i="3"/>
  <c r="U1459" i="3"/>
  <c r="V1459" i="3"/>
  <c r="W1459" i="3"/>
  <c r="X1459" i="3"/>
  <c r="Y1459" i="3"/>
  <c r="Z1459" i="3"/>
  <c r="N1460" i="3"/>
  <c r="O1460" i="3"/>
  <c r="P1460" i="3"/>
  <c r="Q1460" i="3"/>
  <c r="R1460" i="3"/>
  <c r="S1460" i="3"/>
  <c r="T1460" i="3"/>
  <c r="U1460" i="3"/>
  <c r="V1460" i="3"/>
  <c r="W1460" i="3"/>
  <c r="X1460" i="3"/>
  <c r="Y1460" i="3"/>
  <c r="Z1460" i="3"/>
  <c r="N1461" i="3"/>
  <c r="O1461" i="3"/>
  <c r="P1461" i="3"/>
  <c r="Q1461" i="3"/>
  <c r="R1461" i="3"/>
  <c r="S1461" i="3"/>
  <c r="T1461" i="3"/>
  <c r="U1461" i="3"/>
  <c r="V1461" i="3"/>
  <c r="W1461" i="3"/>
  <c r="X1461" i="3"/>
  <c r="Y1461" i="3"/>
  <c r="Z1461" i="3"/>
  <c r="N1462" i="3"/>
  <c r="O1462" i="3"/>
  <c r="P1462" i="3"/>
  <c r="Q1462" i="3"/>
  <c r="R1462" i="3"/>
  <c r="S1462" i="3"/>
  <c r="T1462" i="3"/>
  <c r="U1462" i="3"/>
  <c r="V1462" i="3"/>
  <c r="W1462" i="3"/>
  <c r="X1462" i="3"/>
  <c r="Y1462" i="3"/>
  <c r="Z1462" i="3"/>
  <c r="N1463" i="3"/>
  <c r="O1463" i="3"/>
  <c r="P1463" i="3"/>
  <c r="Q1463" i="3"/>
  <c r="R1463" i="3"/>
  <c r="S1463" i="3"/>
  <c r="T1463" i="3"/>
  <c r="U1463" i="3"/>
  <c r="V1463" i="3"/>
  <c r="W1463" i="3"/>
  <c r="X1463" i="3"/>
  <c r="Y1463" i="3"/>
  <c r="Z1463" i="3"/>
  <c r="N1464" i="3"/>
  <c r="O1464" i="3"/>
  <c r="P1464" i="3"/>
  <c r="Q1464" i="3"/>
  <c r="R1464" i="3"/>
  <c r="S1464" i="3"/>
  <c r="T1464" i="3"/>
  <c r="U1464" i="3"/>
  <c r="V1464" i="3"/>
  <c r="W1464" i="3"/>
  <c r="X1464" i="3"/>
  <c r="Y1464" i="3"/>
  <c r="Z1464" i="3"/>
  <c r="N1465" i="3"/>
  <c r="O1465" i="3"/>
  <c r="P1465" i="3"/>
  <c r="Q1465" i="3"/>
  <c r="R1465" i="3"/>
  <c r="S1465" i="3"/>
  <c r="T1465" i="3"/>
  <c r="U1465" i="3"/>
  <c r="V1465" i="3"/>
  <c r="W1465" i="3"/>
  <c r="X1465" i="3"/>
  <c r="Y1465" i="3"/>
  <c r="Z1465" i="3"/>
  <c r="N1466" i="3"/>
  <c r="O1466" i="3"/>
  <c r="P1466" i="3"/>
  <c r="Q1466" i="3"/>
  <c r="R1466" i="3"/>
  <c r="S1466" i="3"/>
  <c r="T1466" i="3"/>
  <c r="U1466" i="3"/>
  <c r="V1466" i="3"/>
  <c r="W1466" i="3"/>
  <c r="X1466" i="3"/>
  <c r="Y1466" i="3"/>
  <c r="Z1466" i="3"/>
  <c r="N1467" i="3"/>
  <c r="O1467" i="3"/>
  <c r="P1467" i="3"/>
  <c r="Q1467" i="3"/>
  <c r="R1467" i="3"/>
  <c r="S1467" i="3"/>
  <c r="T1467" i="3"/>
  <c r="U1467" i="3"/>
  <c r="V1467" i="3"/>
  <c r="W1467" i="3"/>
  <c r="X1467" i="3"/>
  <c r="Y1467" i="3"/>
  <c r="Z1467" i="3"/>
  <c r="N1468" i="3"/>
  <c r="O1468" i="3"/>
  <c r="P1468" i="3"/>
  <c r="Q1468" i="3"/>
  <c r="R1468" i="3"/>
  <c r="S1468" i="3"/>
  <c r="T1468" i="3"/>
  <c r="U1468" i="3"/>
  <c r="V1468" i="3"/>
  <c r="W1468" i="3"/>
  <c r="X1468" i="3"/>
  <c r="Y1468" i="3"/>
  <c r="Z1468" i="3"/>
  <c r="N1469" i="3"/>
  <c r="O1469" i="3"/>
  <c r="P1469" i="3"/>
  <c r="Q1469" i="3"/>
  <c r="R1469" i="3"/>
  <c r="S1469" i="3"/>
  <c r="T1469" i="3"/>
  <c r="U1469" i="3"/>
  <c r="V1469" i="3"/>
  <c r="W1469" i="3"/>
  <c r="X1469" i="3"/>
  <c r="Y1469" i="3"/>
  <c r="Z1469" i="3"/>
  <c r="N1470" i="3"/>
  <c r="O1470" i="3"/>
  <c r="P1470" i="3"/>
  <c r="Q1470" i="3"/>
  <c r="R1470" i="3"/>
  <c r="S1470" i="3"/>
  <c r="T1470" i="3"/>
  <c r="U1470" i="3"/>
  <c r="V1470" i="3"/>
  <c r="W1470" i="3"/>
  <c r="X1470" i="3"/>
  <c r="Y1470" i="3"/>
  <c r="Z1470" i="3"/>
  <c r="N1471" i="3"/>
  <c r="O1471" i="3"/>
  <c r="P1471" i="3"/>
  <c r="Q1471" i="3"/>
  <c r="R1471" i="3"/>
  <c r="S1471" i="3"/>
  <c r="T1471" i="3"/>
  <c r="U1471" i="3"/>
  <c r="V1471" i="3"/>
  <c r="W1471" i="3"/>
  <c r="X1471" i="3"/>
  <c r="Y1471" i="3"/>
  <c r="Z1471" i="3"/>
  <c r="N1472" i="3"/>
  <c r="O1472" i="3"/>
  <c r="P1472" i="3"/>
  <c r="Q1472" i="3"/>
  <c r="R1472" i="3"/>
  <c r="S1472" i="3"/>
  <c r="T1472" i="3"/>
  <c r="U1472" i="3"/>
  <c r="V1472" i="3"/>
  <c r="W1472" i="3"/>
  <c r="X1472" i="3"/>
  <c r="Y1472" i="3"/>
  <c r="Z1472" i="3"/>
  <c r="N1473" i="3"/>
  <c r="O1473" i="3"/>
  <c r="P1473" i="3"/>
  <c r="Q1473" i="3"/>
  <c r="R1473" i="3"/>
  <c r="S1473" i="3"/>
  <c r="T1473" i="3"/>
  <c r="U1473" i="3"/>
  <c r="V1473" i="3"/>
  <c r="W1473" i="3"/>
  <c r="X1473" i="3"/>
  <c r="Y1473" i="3"/>
  <c r="Z1473" i="3"/>
  <c r="N1474" i="3"/>
  <c r="O1474" i="3"/>
  <c r="P1474" i="3"/>
  <c r="Q1474" i="3"/>
  <c r="R1474" i="3"/>
  <c r="S1474" i="3"/>
  <c r="T1474" i="3"/>
  <c r="U1474" i="3"/>
  <c r="V1474" i="3"/>
  <c r="W1474" i="3"/>
  <c r="X1474" i="3"/>
  <c r="Y1474" i="3"/>
  <c r="Z1474" i="3"/>
  <c r="N1475" i="3"/>
  <c r="O1475" i="3"/>
  <c r="P1475" i="3"/>
  <c r="Q1475" i="3"/>
  <c r="R1475" i="3"/>
  <c r="S1475" i="3"/>
  <c r="T1475" i="3"/>
  <c r="U1475" i="3"/>
  <c r="V1475" i="3"/>
  <c r="W1475" i="3"/>
  <c r="X1475" i="3"/>
  <c r="Y1475" i="3"/>
  <c r="Z1475" i="3"/>
  <c r="N1476" i="3"/>
  <c r="O1476" i="3"/>
  <c r="P1476" i="3"/>
  <c r="Q1476" i="3"/>
  <c r="R1476" i="3"/>
  <c r="S1476" i="3"/>
  <c r="T1476" i="3"/>
  <c r="U1476" i="3"/>
  <c r="V1476" i="3"/>
  <c r="W1476" i="3"/>
  <c r="X1476" i="3"/>
  <c r="Y1476" i="3"/>
  <c r="Z1476" i="3"/>
  <c r="N1477" i="3"/>
  <c r="O1477" i="3"/>
  <c r="P1477" i="3"/>
  <c r="Q1477" i="3"/>
  <c r="R1477" i="3"/>
  <c r="S1477" i="3"/>
  <c r="T1477" i="3"/>
  <c r="U1477" i="3"/>
  <c r="V1477" i="3"/>
  <c r="W1477" i="3"/>
  <c r="X1477" i="3"/>
  <c r="Y1477" i="3"/>
  <c r="Z1477" i="3"/>
  <c r="N1478" i="3"/>
  <c r="O1478" i="3"/>
  <c r="P1478" i="3"/>
  <c r="Q1478" i="3"/>
  <c r="R1478" i="3"/>
  <c r="S1478" i="3"/>
  <c r="T1478" i="3"/>
  <c r="U1478" i="3"/>
  <c r="V1478" i="3"/>
  <c r="W1478" i="3"/>
  <c r="X1478" i="3"/>
  <c r="Y1478" i="3"/>
  <c r="Z1478" i="3"/>
  <c r="N1479" i="3"/>
  <c r="O1479" i="3"/>
  <c r="P1479" i="3"/>
  <c r="Q1479" i="3"/>
  <c r="R1479" i="3"/>
  <c r="S1479" i="3"/>
  <c r="T1479" i="3"/>
  <c r="U1479" i="3"/>
  <c r="V1479" i="3"/>
  <c r="W1479" i="3"/>
  <c r="X1479" i="3"/>
  <c r="Y1479" i="3"/>
  <c r="Z1479" i="3"/>
  <c r="N1480" i="3"/>
  <c r="O1480" i="3"/>
  <c r="P1480" i="3"/>
  <c r="Q1480" i="3"/>
  <c r="R1480" i="3"/>
  <c r="S1480" i="3"/>
  <c r="T1480" i="3"/>
  <c r="U1480" i="3"/>
  <c r="V1480" i="3"/>
  <c r="W1480" i="3"/>
  <c r="X1480" i="3"/>
  <c r="Y1480" i="3"/>
  <c r="Z1480" i="3"/>
  <c r="N1481" i="3"/>
  <c r="O1481" i="3"/>
  <c r="P1481" i="3"/>
  <c r="Q1481" i="3"/>
  <c r="R1481" i="3"/>
  <c r="S1481" i="3"/>
  <c r="T1481" i="3"/>
  <c r="U1481" i="3"/>
  <c r="V1481" i="3"/>
  <c r="W1481" i="3"/>
  <c r="X1481" i="3"/>
  <c r="Y1481" i="3"/>
  <c r="Z1481" i="3"/>
  <c r="N1482" i="3"/>
  <c r="O1482" i="3"/>
  <c r="P1482" i="3"/>
  <c r="Q1482" i="3"/>
  <c r="R1482" i="3"/>
  <c r="S1482" i="3"/>
  <c r="T1482" i="3"/>
  <c r="U1482" i="3"/>
  <c r="V1482" i="3"/>
  <c r="W1482" i="3"/>
  <c r="X1482" i="3"/>
  <c r="Y1482" i="3"/>
  <c r="Z1482" i="3"/>
  <c r="N1483" i="3"/>
  <c r="O1483" i="3"/>
  <c r="P1483" i="3"/>
  <c r="Q1483" i="3"/>
  <c r="R1483" i="3"/>
  <c r="S1483" i="3"/>
  <c r="T1483" i="3"/>
  <c r="U1483" i="3"/>
  <c r="V1483" i="3"/>
  <c r="W1483" i="3"/>
  <c r="X1483" i="3"/>
  <c r="Y1483" i="3"/>
  <c r="Z1483" i="3"/>
  <c r="N1484" i="3"/>
  <c r="O1484" i="3"/>
  <c r="P1484" i="3"/>
  <c r="Q1484" i="3"/>
  <c r="R1484" i="3"/>
  <c r="S1484" i="3"/>
  <c r="T1484" i="3"/>
  <c r="U1484" i="3"/>
  <c r="V1484" i="3"/>
  <c r="W1484" i="3"/>
  <c r="X1484" i="3"/>
  <c r="Y1484" i="3"/>
  <c r="Z1484" i="3"/>
  <c r="N1485" i="3"/>
  <c r="O1485" i="3"/>
  <c r="P1485" i="3"/>
  <c r="Q1485" i="3"/>
  <c r="R1485" i="3"/>
  <c r="S1485" i="3"/>
  <c r="T1485" i="3"/>
  <c r="U1485" i="3"/>
  <c r="V1485" i="3"/>
  <c r="W1485" i="3"/>
  <c r="X1485" i="3"/>
  <c r="Y1485" i="3"/>
  <c r="Z1485" i="3"/>
  <c r="N1486" i="3"/>
  <c r="O1486" i="3"/>
  <c r="P1486" i="3"/>
  <c r="Q1486" i="3"/>
  <c r="R1486" i="3"/>
  <c r="S1486" i="3"/>
  <c r="T1486" i="3"/>
  <c r="U1486" i="3"/>
  <c r="V1486" i="3"/>
  <c r="W1486" i="3"/>
  <c r="X1486" i="3"/>
  <c r="Y1486" i="3"/>
  <c r="Z1486" i="3"/>
  <c r="N1487" i="3"/>
  <c r="O1487" i="3"/>
  <c r="P1487" i="3"/>
  <c r="Q1487" i="3"/>
  <c r="R1487" i="3"/>
  <c r="S1487" i="3"/>
  <c r="T1487" i="3"/>
  <c r="U1487" i="3"/>
  <c r="V1487" i="3"/>
  <c r="W1487" i="3"/>
  <c r="X1487" i="3"/>
  <c r="Y1487" i="3"/>
  <c r="Z1487" i="3"/>
  <c r="N1488" i="3"/>
  <c r="O1488" i="3"/>
  <c r="P1488" i="3"/>
  <c r="Q1488" i="3"/>
  <c r="R1488" i="3"/>
  <c r="S1488" i="3"/>
  <c r="T1488" i="3"/>
  <c r="U1488" i="3"/>
  <c r="V1488" i="3"/>
  <c r="W1488" i="3"/>
  <c r="X1488" i="3"/>
  <c r="Y1488" i="3"/>
  <c r="Z1488" i="3"/>
  <c r="N1489" i="3"/>
  <c r="O1489" i="3"/>
  <c r="P1489" i="3"/>
  <c r="Q1489" i="3"/>
  <c r="R1489" i="3"/>
  <c r="S1489" i="3"/>
  <c r="T1489" i="3"/>
  <c r="U1489" i="3"/>
  <c r="V1489" i="3"/>
  <c r="W1489" i="3"/>
  <c r="X1489" i="3"/>
  <c r="Y1489" i="3"/>
  <c r="Z1489" i="3"/>
  <c r="N1490" i="3"/>
  <c r="O1490" i="3"/>
  <c r="P1490" i="3"/>
  <c r="Q1490" i="3"/>
  <c r="R1490" i="3"/>
  <c r="S1490" i="3"/>
  <c r="T1490" i="3"/>
  <c r="U1490" i="3"/>
  <c r="V1490" i="3"/>
  <c r="W1490" i="3"/>
  <c r="X1490" i="3"/>
  <c r="Y1490" i="3"/>
  <c r="Z1490" i="3"/>
  <c r="N1491" i="3"/>
  <c r="O1491" i="3"/>
  <c r="P1491" i="3"/>
  <c r="Q1491" i="3"/>
  <c r="R1491" i="3"/>
  <c r="S1491" i="3"/>
  <c r="T1491" i="3"/>
  <c r="U1491" i="3"/>
  <c r="V1491" i="3"/>
  <c r="W1491" i="3"/>
  <c r="X1491" i="3"/>
  <c r="Y1491" i="3"/>
  <c r="Z1491" i="3"/>
  <c r="N1492" i="3"/>
  <c r="O1492" i="3"/>
  <c r="P1492" i="3"/>
  <c r="Q1492" i="3"/>
  <c r="R1492" i="3"/>
  <c r="S1492" i="3"/>
  <c r="T1492" i="3"/>
  <c r="U1492" i="3"/>
  <c r="V1492" i="3"/>
  <c r="W1492" i="3"/>
  <c r="X1492" i="3"/>
  <c r="Y1492" i="3"/>
  <c r="Z1492" i="3"/>
  <c r="N1493" i="3"/>
  <c r="O1493" i="3"/>
  <c r="P1493" i="3"/>
  <c r="Q1493" i="3"/>
  <c r="R1493" i="3"/>
  <c r="S1493" i="3"/>
  <c r="T1493" i="3"/>
  <c r="U1493" i="3"/>
  <c r="V1493" i="3"/>
  <c r="W1493" i="3"/>
  <c r="X1493" i="3"/>
  <c r="Y1493" i="3"/>
  <c r="Z1493" i="3"/>
  <c r="N1494" i="3"/>
  <c r="O1494" i="3"/>
  <c r="P1494" i="3"/>
  <c r="Q1494" i="3"/>
  <c r="R1494" i="3"/>
  <c r="S1494" i="3"/>
  <c r="T1494" i="3"/>
  <c r="U1494" i="3"/>
  <c r="V1494" i="3"/>
  <c r="W1494" i="3"/>
  <c r="X1494" i="3"/>
  <c r="Y1494" i="3"/>
  <c r="Z1494" i="3"/>
  <c r="N1495" i="3"/>
  <c r="O1495" i="3"/>
  <c r="P1495" i="3"/>
  <c r="Q1495" i="3"/>
  <c r="R1495" i="3"/>
  <c r="S1495" i="3"/>
  <c r="T1495" i="3"/>
  <c r="U1495" i="3"/>
  <c r="V1495" i="3"/>
  <c r="W1495" i="3"/>
  <c r="X1495" i="3"/>
  <c r="Y1495" i="3"/>
  <c r="Z1495" i="3"/>
  <c r="N1496" i="3"/>
  <c r="O1496" i="3"/>
  <c r="P1496" i="3"/>
  <c r="Q1496" i="3"/>
  <c r="R1496" i="3"/>
  <c r="S1496" i="3"/>
  <c r="T1496" i="3"/>
  <c r="U1496" i="3"/>
  <c r="V1496" i="3"/>
  <c r="W1496" i="3"/>
  <c r="X1496" i="3"/>
  <c r="Y1496" i="3"/>
  <c r="Z1496" i="3"/>
  <c r="N1497" i="3"/>
  <c r="O1497" i="3"/>
  <c r="P1497" i="3"/>
  <c r="Q1497" i="3"/>
  <c r="R1497" i="3"/>
  <c r="S1497" i="3"/>
  <c r="T1497" i="3"/>
  <c r="U1497" i="3"/>
  <c r="V1497" i="3"/>
  <c r="W1497" i="3"/>
  <c r="X1497" i="3"/>
  <c r="Y1497" i="3"/>
  <c r="Z1497" i="3"/>
  <c r="N1498" i="3"/>
  <c r="O1498" i="3"/>
  <c r="P1498" i="3"/>
  <c r="Q1498" i="3"/>
  <c r="R1498" i="3"/>
  <c r="S1498" i="3"/>
  <c r="T1498" i="3"/>
  <c r="U1498" i="3"/>
  <c r="V1498" i="3"/>
  <c r="W1498" i="3"/>
  <c r="X1498" i="3"/>
  <c r="Y1498" i="3"/>
  <c r="Z1498" i="3"/>
  <c r="N1499" i="3"/>
  <c r="O1499" i="3"/>
  <c r="P1499" i="3"/>
  <c r="Q1499" i="3"/>
  <c r="R1499" i="3"/>
  <c r="S1499" i="3"/>
  <c r="T1499" i="3"/>
  <c r="U1499" i="3"/>
  <c r="V1499" i="3"/>
  <c r="W1499" i="3"/>
  <c r="X1499" i="3"/>
  <c r="Y1499" i="3"/>
  <c r="Z1499" i="3"/>
  <c r="N1500" i="3"/>
  <c r="O1500" i="3"/>
  <c r="P1500" i="3"/>
  <c r="Q1500" i="3"/>
  <c r="R1500" i="3"/>
  <c r="S1500" i="3"/>
  <c r="T1500" i="3"/>
  <c r="U1500" i="3"/>
  <c r="V1500" i="3"/>
  <c r="W1500" i="3"/>
  <c r="X1500" i="3"/>
  <c r="Y1500" i="3"/>
  <c r="Z1500" i="3"/>
  <c r="N1501" i="3"/>
  <c r="O1501" i="3"/>
  <c r="P1501" i="3"/>
  <c r="Q1501" i="3"/>
  <c r="R1501" i="3"/>
  <c r="S1501" i="3"/>
  <c r="T1501" i="3"/>
  <c r="U1501" i="3"/>
  <c r="V1501" i="3"/>
  <c r="W1501" i="3"/>
  <c r="X1501" i="3"/>
  <c r="Y1501" i="3"/>
  <c r="Z1501" i="3"/>
  <c r="N1502" i="3"/>
  <c r="O1502" i="3"/>
  <c r="P1502" i="3"/>
  <c r="Q1502" i="3"/>
  <c r="R1502" i="3"/>
  <c r="S1502" i="3"/>
  <c r="T1502" i="3"/>
  <c r="U1502" i="3"/>
  <c r="V1502" i="3"/>
  <c r="W1502" i="3"/>
  <c r="X1502" i="3"/>
  <c r="Y1502" i="3"/>
  <c r="Z1502" i="3"/>
  <c r="N1503" i="3"/>
  <c r="O1503" i="3"/>
  <c r="P1503" i="3"/>
  <c r="Q1503" i="3"/>
  <c r="R1503" i="3"/>
  <c r="S1503" i="3"/>
  <c r="T1503" i="3"/>
  <c r="U1503" i="3"/>
  <c r="V1503" i="3"/>
  <c r="W1503" i="3"/>
  <c r="X1503" i="3"/>
  <c r="Y1503" i="3"/>
  <c r="Z1503" i="3"/>
  <c r="N1504" i="3"/>
  <c r="O1504" i="3"/>
  <c r="P1504" i="3"/>
  <c r="Q1504" i="3"/>
  <c r="R1504" i="3"/>
  <c r="S1504" i="3"/>
  <c r="T1504" i="3"/>
  <c r="U1504" i="3"/>
  <c r="V1504" i="3"/>
  <c r="W1504" i="3"/>
  <c r="X1504" i="3"/>
  <c r="Y1504" i="3"/>
  <c r="Z1504" i="3"/>
  <c r="N1505" i="3"/>
  <c r="O1505" i="3"/>
  <c r="P1505" i="3"/>
  <c r="Q1505" i="3"/>
  <c r="R1505" i="3"/>
  <c r="S1505" i="3"/>
  <c r="T1505" i="3"/>
  <c r="U1505" i="3"/>
  <c r="V1505" i="3"/>
  <c r="W1505" i="3"/>
  <c r="X1505" i="3"/>
  <c r="Y1505" i="3"/>
  <c r="Z1505" i="3"/>
  <c r="N1506" i="3"/>
  <c r="O1506" i="3"/>
  <c r="P1506" i="3"/>
  <c r="Q1506" i="3"/>
  <c r="R1506" i="3"/>
  <c r="S1506" i="3"/>
  <c r="T1506" i="3"/>
  <c r="U1506" i="3"/>
  <c r="V1506" i="3"/>
  <c r="W1506" i="3"/>
  <c r="X1506" i="3"/>
  <c r="Y1506" i="3"/>
  <c r="Z1506" i="3"/>
  <c r="N1507" i="3"/>
  <c r="O1507" i="3"/>
  <c r="P1507" i="3"/>
  <c r="Q1507" i="3"/>
  <c r="R1507" i="3"/>
  <c r="S1507" i="3"/>
  <c r="T1507" i="3"/>
  <c r="U1507" i="3"/>
  <c r="V1507" i="3"/>
  <c r="W1507" i="3"/>
  <c r="X1507" i="3"/>
  <c r="Y1507" i="3"/>
  <c r="Z1507" i="3"/>
  <c r="N1508" i="3"/>
  <c r="O1508" i="3"/>
  <c r="P1508" i="3"/>
  <c r="Q1508" i="3"/>
  <c r="R1508" i="3"/>
  <c r="S1508" i="3"/>
  <c r="T1508" i="3"/>
  <c r="U1508" i="3"/>
  <c r="V1508" i="3"/>
  <c r="W1508" i="3"/>
  <c r="X1508" i="3"/>
  <c r="Y1508" i="3"/>
  <c r="Z1508" i="3"/>
  <c r="N1509" i="3"/>
  <c r="O1509" i="3"/>
  <c r="P1509" i="3"/>
  <c r="Q1509" i="3"/>
  <c r="R1509" i="3"/>
  <c r="S1509" i="3"/>
  <c r="T1509" i="3"/>
  <c r="U1509" i="3"/>
  <c r="V1509" i="3"/>
  <c r="W1509" i="3"/>
  <c r="X1509" i="3"/>
  <c r="Y1509" i="3"/>
  <c r="Z1509" i="3"/>
  <c r="N1510" i="3"/>
  <c r="O1510" i="3"/>
  <c r="P1510" i="3"/>
  <c r="Q1510" i="3"/>
  <c r="R1510" i="3"/>
  <c r="S1510" i="3"/>
  <c r="T1510" i="3"/>
  <c r="U1510" i="3"/>
  <c r="V1510" i="3"/>
  <c r="W1510" i="3"/>
  <c r="X1510" i="3"/>
  <c r="Y1510" i="3"/>
  <c r="Z1510" i="3"/>
  <c r="N1511" i="3"/>
  <c r="O1511" i="3"/>
  <c r="P1511" i="3"/>
  <c r="Q1511" i="3"/>
  <c r="R1511" i="3"/>
  <c r="S1511" i="3"/>
  <c r="T1511" i="3"/>
  <c r="U1511" i="3"/>
  <c r="V1511" i="3"/>
  <c r="W1511" i="3"/>
  <c r="X1511" i="3"/>
  <c r="Y1511" i="3"/>
  <c r="Z1511" i="3"/>
  <c r="N1512" i="3"/>
  <c r="O1512" i="3"/>
  <c r="P1512" i="3"/>
  <c r="Q1512" i="3"/>
  <c r="R1512" i="3"/>
  <c r="S1512" i="3"/>
  <c r="T1512" i="3"/>
  <c r="U1512" i="3"/>
  <c r="V1512" i="3"/>
  <c r="W1512" i="3"/>
  <c r="X1512" i="3"/>
  <c r="Y1512" i="3"/>
  <c r="Z1512" i="3"/>
  <c r="N1513" i="3"/>
  <c r="O1513" i="3"/>
  <c r="P1513" i="3"/>
  <c r="Q1513" i="3"/>
  <c r="R1513" i="3"/>
  <c r="S1513" i="3"/>
  <c r="T1513" i="3"/>
  <c r="U1513" i="3"/>
  <c r="V1513" i="3"/>
  <c r="W1513" i="3"/>
  <c r="X1513" i="3"/>
  <c r="Y1513" i="3"/>
  <c r="Z1513" i="3"/>
  <c r="N1514" i="3"/>
  <c r="O1514" i="3"/>
  <c r="P1514" i="3"/>
  <c r="Q1514" i="3"/>
  <c r="R1514" i="3"/>
  <c r="S1514" i="3"/>
  <c r="T1514" i="3"/>
  <c r="U1514" i="3"/>
  <c r="V1514" i="3"/>
  <c r="W1514" i="3"/>
  <c r="X1514" i="3"/>
  <c r="Y1514" i="3"/>
  <c r="Z1514" i="3"/>
  <c r="N1515" i="3"/>
  <c r="O1515" i="3"/>
  <c r="P1515" i="3"/>
  <c r="Q1515" i="3"/>
  <c r="R1515" i="3"/>
  <c r="S1515" i="3"/>
  <c r="T1515" i="3"/>
  <c r="U1515" i="3"/>
  <c r="V1515" i="3"/>
  <c r="W1515" i="3"/>
  <c r="X1515" i="3"/>
  <c r="Y1515" i="3"/>
  <c r="Z1515" i="3"/>
  <c r="N1516" i="3"/>
  <c r="O1516" i="3"/>
  <c r="P1516" i="3"/>
  <c r="Q1516" i="3"/>
  <c r="R1516" i="3"/>
  <c r="S1516" i="3"/>
  <c r="T1516" i="3"/>
  <c r="U1516" i="3"/>
  <c r="V1516" i="3"/>
  <c r="W1516" i="3"/>
  <c r="X1516" i="3"/>
  <c r="Y1516" i="3"/>
  <c r="Z1516" i="3"/>
  <c r="N1517" i="3"/>
  <c r="O1517" i="3"/>
  <c r="P1517" i="3"/>
  <c r="Q1517" i="3"/>
  <c r="R1517" i="3"/>
  <c r="S1517" i="3"/>
  <c r="T1517" i="3"/>
  <c r="U1517" i="3"/>
  <c r="V1517" i="3"/>
  <c r="W1517" i="3"/>
  <c r="X1517" i="3"/>
  <c r="Y1517" i="3"/>
  <c r="Z1517" i="3"/>
  <c r="N1518" i="3"/>
  <c r="O1518" i="3"/>
  <c r="P1518" i="3"/>
  <c r="Q1518" i="3"/>
  <c r="R1518" i="3"/>
  <c r="S1518" i="3"/>
  <c r="T1518" i="3"/>
  <c r="U1518" i="3"/>
  <c r="V1518" i="3"/>
  <c r="W1518" i="3"/>
  <c r="X1518" i="3"/>
  <c r="Y1518" i="3"/>
  <c r="Z1518" i="3"/>
  <c r="N1519" i="3"/>
  <c r="O1519" i="3"/>
  <c r="P1519" i="3"/>
  <c r="Q1519" i="3"/>
  <c r="R1519" i="3"/>
  <c r="S1519" i="3"/>
  <c r="T1519" i="3"/>
  <c r="U1519" i="3"/>
  <c r="V1519" i="3"/>
  <c r="W1519" i="3"/>
  <c r="X1519" i="3"/>
  <c r="Y1519" i="3"/>
  <c r="Z1519" i="3"/>
  <c r="N1520" i="3"/>
  <c r="O1520" i="3"/>
  <c r="P1520" i="3"/>
  <c r="Q1520" i="3"/>
  <c r="R1520" i="3"/>
  <c r="S1520" i="3"/>
  <c r="T1520" i="3"/>
  <c r="U1520" i="3"/>
  <c r="V1520" i="3"/>
  <c r="W1520" i="3"/>
  <c r="X1520" i="3"/>
  <c r="Y1520" i="3"/>
  <c r="Z1520" i="3"/>
  <c r="N1521" i="3"/>
  <c r="O1521" i="3"/>
  <c r="P1521" i="3"/>
  <c r="Q1521" i="3"/>
  <c r="R1521" i="3"/>
  <c r="S1521" i="3"/>
  <c r="T1521" i="3"/>
  <c r="U1521" i="3"/>
  <c r="V1521" i="3"/>
  <c r="W1521" i="3"/>
  <c r="X1521" i="3"/>
  <c r="Y1521" i="3"/>
  <c r="Z1521" i="3"/>
  <c r="N1522" i="3"/>
  <c r="O1522" i="3"/>
  <c r="P1522" i="3"/>
  <c r="Q1522" i="3"/>
  <c r="R1522" i="3"/>
  <c r="S1522" i="3"/>
  <c r="T1522" i="3"/>
  <c r="U1522" i="3"/>
  <c r="V1522" i="3"/>
  <c r="W1522" i="3"/>
  <c r="X1522" i="3"/>
  <c r="Y1522" i="3"/>
  <c r="Z1522" i="3"/>
  <c r="N1523" i="3"/>
  <c r="O1523" i="3"/>
  <c r="P1523" i="3"/>
  <c r="Q1523" i="3"/>
  <c r="R1523" i="3"/>
  <c r="S1523" i="3"/>
  <c r="T1523" i="3"/>
  <c r="U1523" i="3"/>
  <c r="V1523" i="3"/>
  <c r="W1523" i="3"/>
  <c r="X1523" i="3"/>
  <c r="Y1523" i="3"/>
  <c r="Z1523" i="3"/>
  <c r="N1524" i="3"/>
  <c r="O1524" i="3"/>
  <c r="P1524" i="3"/>
  <c r="Q1524" i="3"/>
  <c r="R1524" i="3"/>
  <c r="S1524" i="3"/>
  <c r="T1524" i="3"/>
  <c r="U1524" i="3"/>
  <c r="V1524" i="3"/>
  <c r="W1524" i="3"/>
  <c r="X1524" i="3"/>
  <c r="Y1524" i="3"/>
  <c r="Z1524" i="3"/>
  <c r="N1525" i="3"/>
  <c r="O1525" i="3"/>
  <c r="P1525" i="3"/>
  <c r="Q1525" i="3"/>
  <c r="R1525" i="3"/>
  <c r="S1525" i="3"/>
  <c r="T1525" i="3"/>
  <c r="U1525" i="3"/>
  <c r="V1525" i="3"/>
  <c r="W1525" i="3"/>
  <c r="X1525" i="3"/>
  <c r="Y1525" i="3"/>
  <c r="Z1525" i="3"/>
  <c r="N1526" i="3"/>
  <c r="O1526" i="3"/>
  <c r="P1526" i="3"/>
  <c r="Q1526" i="3"/>
  <c r="R1526" i="3"/>
  <c r="S1526" i="3"/>
  <c r="T1526" i="3"/>
  <c r="U1526" i="3"/>
  <c r="V1526" i="3"/>
  <c r="W1526" i="3"/>
  <c r="X1526" i="3"/>
  <c r="Y1526" i="3"/>
  <c r="Z1526" i="3"/>
  <c r="N1527" i="3"/>
  <c r="O1527" i="3"/>
  <c r="P1527" i="3"/>
  <c r="Q1527" i="3"/>
  <c r="R1527" i="3"/>
  <c r="S1527" i="3"/>
  <c r="T1527" i="3"/>
  <c r="U1527" i="3"/>
  <c r="V1527" i="3"/>
  <c r="W1527" i="3"/>
  <c r="X1527" i="3"/>
  <c r="Y1527" i="3"/>
  <c r="Z1527" i="3"/>
  <c r="N1528" i="3"/>
  <c r="O1528" i="3"/>
  <c r="P1528" i="3"/>
  <c r="Q1528" i="3"/>
  <c r="R1528" i="3"/>
  <c r="S1528" i="3"/>
  <c r="T1528" i="3"/>
  <c r="U1528" i="3"/>
  <c r="V1528" i="3"/>
  <c r="W1528" i="3"/>
  <c r="X1528" i="3"/>
  <c r="Y1528" i="3"/>
  <c r="Z1528" i="3"/>
  <c r="N1529" i="3"/>
  <c r="O1529" i="3"/>
  <c r="P1529" i="3"/>
  <c r="Q1529" i="3"/>
  <c r="R1529" i="3"/>
  <c r="S1529" i="3"/>
  <c r="T1529" i="3"/>
  <c r="U1529" i="3"/>
  <c r="V1529" i="3"/>
  <c r="W1529" i="3"/>
  <c r="X1529" i="3"/>
  <c r="Y1529" i="3"/>
  <c r="Z1529" i="3"/>
  <c r="N1530" i="3"/>
  <c r="O1530" i="3"/>
  <c r="P1530" i="3"/>
  <c r="Q1530" i="3"/>
  <c r="R1530" i="3"/>
  <c r="S1530" i="3"/>
  <c r="T1530" i="3"/>
  <c r="U1530" i="3"/>
  <c r="V1530" i="3"/>
  <c r="W1530" i="3"/>
  <c r="X1530" i="3"/>
  <c r="Y1530" i="3"/>
  <c r="Z1530" i="3"/>
  <c r="N1531" i="3"/>
  <c r="O1531" i="3"/>
  <c r="P1531" i="3"/>
  <c r="Q1531" i="3"/>
  <c r="R1531" i="3"/>
  <c r="S1531" i="3"/>
  <c r="T1531" i="3"/>
  <c r="U1531" i="3"/>
  <c r="V1531" i="3"/>
  <c r="W1531" i="3"/>
  <c r="X1531" i="3"/>
  <c r="Y1531" i="3"/>
  <c r="Z1531" i="3"/>
  <c r="N1532" i="3"/>
  <c r="O1532" i="3"/>
  <c r="P1532" i="3"/>
  <c r="Q1532" i="3"/>
  <c r="R1532" i="3"/>
  <c r="S1532" i="3"/>
  <c r="T1532" i="3"/>
  <c r="U1532" i="3"/>
  <c r="V1532" i="3"/>
  <c r="W1532" i="3"/>
  <c r="X1532" i="3"/>
  <c r="Y1532" i="3"/>
  <c r="Z1532" i="3"/>
  <c r="N1533" i="3"/>
  <c r="O1533" i="3"/>
  <c r="P1533" i="3"/>
  <c r="Q1533" i="3"/>
  <c r="R1533" i="3"/>
  <c r="S1533" i="3"/>
  <c r="T1533" i="3"/>
  <c r="U1533" i="3"/>
  <c r="V1533" i="3"/>
  <c r="W1533" i="3"/>
  <c r="X1533" i="3"/>
  <c r="Y1533" i="3"/>
  <c r="Z1533" i="3"/>
  <c r="N1534" i="3"/>
  <c r="O1534" i="3"/>
  <c r="P1534" i="3"/>
  <c r="Q1534" i="3"/>
  <c r="R1534" i="3"/>
  <c r="S1534" i="3"/>
  <c r="T1534" i="3"/>
  <c r="U1534" i="3"/>
  <c r="V1534" i="3"/>
  <c r="W1534" i="3"/>
  <c r="X1534" i="3"/>
  <c r="Y1534" i="3"/>
  <c r="Z1534" i="3"/>
  <c r="N1535" i="3"/>
  <c r="O1535" i="3"/>
  <c r="P1535" i="3"/>
  <c r="Q1535" i="3"/>
  <c r="R1535" i="3"/>
  <c r="S1535" i="3"/>
  <c r="T1535" i="3"/>
  <c r="U1535" i="3"/>
  <c r="V1535" i="3"/>
  <c r="W1535" i="3"/>
  <c r="X1535" i="3"/>
  <c r="Y1535" i="3"/>
  <c r="Z1535" i="3"/>
  <c r="N1536" i="3"/>
  <c r="O1536" i="3"/>
  <c r="P1536" i="3"/>
  <c r="Q1536" i="3"/>
  <c r="R1536" i="3"/>
  <c r="S1536" i="3"/>
  <c r="T1536" i="3"/>
  <c r="U1536" i="3"/>
  <c r="V1536" i="3"/>
  <c r="W1536" i="3"/>
  <c r="X1536" i="3"/>
  <c r="Y1536" i="3"/>
  <c r="Z1536" i="3"/>
  <c r="N1537" i="3"/>
  <c r="O1537" i="3"/>
  <c r="P1537" i="3"/>
  <c r="Q1537" i="3"/>
  <c r="R1537" i="3"/>
  <c r="S1537" i="3"/>
  <c r="T1537" i="3"/>
  <c r="U1537" i="3"/>
  <c r="V1537" i="3"/>
  <c r="W1537" i="3"/>
  <c r="X1537" i="3"/>
  <c r="Y1537" i="3"/>
  <c r="Z1537" i="3"/>
  <c r="N1538" i="3"/>
  <c r="O1538" i="3"/>
  <c r="P1538" i="3"/>
  <c r="Q1538" i="3"/>
  <c r="R1538" i="3"/>
  <c r="S1538" i="3"/>
  <c r="T1538" i="3"/>
  <c r="U1538" i="3"/>
  <c r="V1538" i="3"/>
  <c r="W1538" i="3"/>
  <c r="X1538" i="3"/>
  <c r="Y1538" i="3"/>
  <c r="Z1538" i="3"/>
  <c r="N1539" i="3"/>
  <c r="O1539" i="3"/>
  <c r="P1539" i="3"/>
  <c r="Q1539" i="3"/>
  <c r="R1539" i="3"/>
  <c r="S1539" i="3"/>
  <c r="T1539" i="3"/>
  <c r="U1539" i="3"/>
  <c r="V1539" i="3"/>
  <c r="W1539" i="3"/>
  <c r="X1539" i="3"/>
  <c r="Y1539" i="3"/>
  <c r="Z1539" i="3"/>
  <c r="N1540" i="3"/>
  <c r="O1540" i="3"/>
  <c r="P1540" i="3"/>
  <c r="Q1540" i="3"/>
  <c r="R1540" i="3"/>
  <c r="S1540" i="3"/>
  <c r="T1540" i="3"/>
  <c r="U1540" i="3"/>
  <c r="V1540" i="3"/>
  <c r="W1540" i="3"/>
  <c r="X1540" i="3"/>
  <c r="Y1540" i="3"/>
  <c r="Z1540" i="3"/>
  <c r="N1541" i="3"/>
  <c r="O1541" i="3"/>
  <c r="P1541" i="3"/>
  <c r="Q1541" i="3"/>
  <c r="R1541" i="3"/>
  <c r="S1541" i="3"/>
  <c r="T1541" i="3"/>
  <c r="U1541" i="3"/>
  <c r="V1541" i="3"/>
  <c r="W1541" i="3"/>
  <c r="X1541" i="3"/>
  <c r="Y1541" i="3"/>
  <c r="Z1541" i="3"/>
  <c r="N1542" i="3"/>
  <c r="O1542" i="3"/>
  <c r="P1542" i="3"/>
  <c r="Q1542" i="3"/>
  <c r="R1542" i="3"/>
  <c r="S1542" i="3"/>
  <c r="T1542" i="3"/>
  <c r="U1542" i="3"/>
  <c r="V1542" i="3"/>
  <c r="W1542" i="3"/>
  <c r="X1542" i="3"/>
  <c r="Y1542" i="3"/>
  <c r="Z1542" i="3"/>
  <c r="N1543" i="3"/>
  <c r="O1543" i="3"/>
  <c r="P1543" i="3"/>
  <c r="Q1543" i="3"/>
  <c r="R1543" i="3"/>
  <c r="S1543" i="3"/>
  <c r="T1543" i="3"/>
  <c r="U1543" i="3"/>
  <c r="V1543" i="3"/>
  <c r="W1543" i="3"/>
  <c r="X1543" i="3"/>
  <c r="Y1543" i="3"/>
  <c r="Z1543" i="3"/>
  <c r="N1544" i="3"/>
  <c r="O1544" i="3"/>
  <c r="T1544" i="3"/>
  <c r="U1544" i="3"/>
  <c r="V1544" i="3"/>
  <c r="W1544" i="3"/>
  <c r="X1544" i="3"/>
  <c r="Y1544" i="3"/>
  <c r="N1545" i="3"/>
  <c r="O1545" i="3"/>
  <c r="U1545" i="3"/>
  <c r="V1545" i="3"/>
  <c r="W1545" i="3"/>
  <c r="X1545" i="3"/>
  <c r="Y1545" i="3"/>
  <c r="N1546" i="3"/>
  <c r="O1546" i="3"/>
  <c r="V1546" i="3"/>
  <c r="W1546" i="3"/>
  <c r="X1546" i="3"/>
  <c r="Y1546" i="3"/>
  <c r="N1547" i="3"/>
  <c r="O1547" i="3"/>
  <c r="U1547" i="3"/>
  <c r="V1547" i="3"/>
  <c r="W1547" i="3"/>
  <c r="X1547" i="3"/>
  <c r="Y1547" i="3"/>
  <c r="N1548" i="3"/>
  <c r="O1548" i="3"/>
  <c r="V1548" i="3"/>
  <c r="W1548" i="3"/>
  <c r="X1548" i="3"/>
  <c r="Y1548" i="3"/>
  <c r="N1549" i="3"/>
  <c r="O1549" i="3"/>
  <c r="Q1549" i="3" s="1"/>
  <c r="P1549" i="3"/>
  <c r="R1549" i="3" s="1"/>
  <c r="T1549" i="3"/>
  <c r="U1549" i="3"/>
  <c r="V1549" i="3"/>
  <c r="W1549" i="3"/>
  <c r="X1549" i="3"/>
  <c r="Y1549" i="3"/>
  <c r="Z1549" i="3"/>
  <c r="N1550" i="3"/>
  <c r="O1550" i="3"/>
  <c r="W1550" i="3"/>
  <c r="X1550" i="3"/>
  <c r="Y1550" i="3"/>
  <c r="N1551" i="3"/>
  <c r="O1551" i="3"/>
  <c r="W1551" i="3" s="1"/>
  <c r="X1551" i="3"/>
  <c r="Y1551" i="3"/>
  <c r="N1552" i="3"/>
  <c r="O1552" i="3"/>
  <c r="W1552" i="3" s="1"/>
  <c r="X1552" i="3"/>
  <c r="Y1552" i="3"/>
  <c r="N1553" i="3"/>
  <c r="O1553" i="3"/>
  <c r="W1553" i="3"/>
  <c r="X1553" i="3"/>
  <c r="Y1553" i="3"/>
  <c r="N1554" i="3"/>
  <c r="O1554" i="3"/>
  <c r="X1554" i="3"/>
  <c r="N1555" i="3"/>
  <c r="O1555" i="3"/>
  <c r="X1555" i="3" s="1"/>
  <c r="U1555" i="3"/>
  <c r="V1555" i="3"/>
  <c r="W1555" i="3"/>
  <c r="Y1555" i="3"/>
  <c r="N1556" i="3"/>
  <c r="O1556" i="3"/>
  <c r="Y1556" i="3"/>
  <c r="N1557" i="3"/>
  <c r="O1557" i="3"/>
  <c r="T1557" i="3"/>
  <c r="U1557" i="3"/>
  <c r="V1557" i="3"/>
  <c r="W1557" i="3"/>
  <c r="X1557" i="3"/>
  <c r="Y1557" i="3"/>
  <c r="N1558" i="3"/>
  <c r="O1558" i="3"/>
  <c r="U1558" i="3"/>
  <c r="V1558" i="3"/>
  <c r="W1558" i="3"/>
  <c r="X1558" i="3"/>
  <c r="Y1558" i="3"/>
  <c r="N1559" i="3"/>
  <c r="O1559" i="3"/>
  <c r="N1560" i="3"/>
  <c r="O1560" i="3"/>
  <c r="T1560" i="3"/>
  <c r="V1560" i="3"/>
  <c r="W1560" i="3"/>
  <c r="X1560" i="3"/>
  <c r="Y1560" i="3"/>
  <c r="N1561" i="3"/>
  <c r="O1561" i="3"/>
  <c r="W1561" i="3" s="1"/>
  <c r="X1561" i="3"/>
  <c r="Y1561" i="3"/>
  <c r="N1562" i="3"/>
  <c r="O1562" i="3"/>
  <c r="V1562" i="3"/>
  <c r="X1562" i="3"/>
  <c r="N1563" i="3"/>
  <c r="O1563" i="3"/>
  <c r="U1563" i="3"/>
  <c r="V1563" i="3"/>
  <c r="W1563" i="3"/>
  <c r="X1563" i="3"/>
  <c r="Y1563" i="3"/>
  <c r="N1564" i="3"/>
  <c r="O1564" i="3"/>
  <c r="W1564" i="3" s="1"/>
  <c r="V1564" i="3"/>
  <c r="X1564" i="3"/>
  <c r="Y1564" i="3"/>
  <c r="N1565" i="3"/>
  <c r="O1565" i="3"/>
  <c r="P1565" i="3"/>
  <c r="Q1565" i="3"/>
  <c r="R1565" i="3"/>
  <c r="S1565" i="3"/>
  <c r="T1565" i="3"/>
  <c r="U1565" i="3"/>
  <c r="V1565" i="3"/>
  <c r="W1565" i="3"/>
  <c r="X1565" i="3"/>
  <c r="Y1565" i="3"/>
  <c r="Z1565" i="3"/>
  <c r="N1566" i="3"/>
  <c r="O1566" i="3"/>
  <c r="P1566" i="3"/>
  <c r="Q1566" i="3"/>
  <c r="R1566" i="3"/>
  <c r="S1566" i="3"/>
  <c r="T1566" i="3"/>
  <c r="U1566" i="3"/>
  <c r="V1566" i="3"/>
  <c r="W1566" i="3"/>
  <c r="X1566" i="3"/>
  <c r="Y1566" i="3"/>
  <c r="Z1566" i="3"/>
  <c r="N1567" i="3"/>
  <c r="O1567" i="3"/>
  <c r="P1567" i="3"/>
  <c r="Q1567" i="3"/>
  <c r="R1567" i="3"/>
  <c r="S1567" i="3"/>
  <c r="T1567" i="3"/>
  <c r="U1567" i="3"/>
  <c r="V1567" i="3"/>
  <c r="W1567" i="3"/>
  <c r="X1567" i="3"/>
  <c r="Y1567" i="3"/>
  <c r="Z1567" i="3"/>
  <c r="N1568" i="3"/>
  <c r="O1568" i="3"/>
  <c r="P1568" i="3"/>
  <c r="Q1568" i="3"/>
  <c r="R1568" i="3"/>
  <c r="S1568" i="3"/>
  <c r="T1568" i="3"/>
  <c r="U1568" i="3"/>
  <c r="V1568" i="3"/>
  <c r="W1568" i="3"/>
  <c r="X1568" i="3"/>
  <c r="Y1568" i="3"/>
  <c r="Z1568" i="3"/>
  <c r="N1569" i="3"/>
  <c r="O1569" i="3"/>
  <c r="P1569" i="3"/>
  <c r="Q1569" i="3"/>
  <c r="R1569" i="3"/>
  <c r="S1569" i="3"/>
  <c r="T1569" i="3"/>
  <c r="U1569" i="3"/>
  <c r="V1569" i="3"/>
  <c r="W1569" i="3"/>
  <c r="X1569" i="3"/>
  <c r="Y1569" i="3"/>
  <c r="Z1569" i="3"/>
  <c r="N1570" i="3"/>
  <c r="O1570" i="3"/>
  <c r="P1570" i="3"/>
  <c r="Q1570" i="3"/>
  <c r="R1570" i="3"/>
  <c r="S1570" i="3"/>
  <c r="T1570" i="3"/>
  <c r="U1570" i="3"/>
  <c r="V1570" i="3"/>
  <c r="W1570" i="3"/>
  <c r="X1570" i="3"/>
  <c r="Y1570" i="3"/>
  <c r="Z1570" i="3"/>
  <c r="N1571" i="3"/>
  <c r="O1571" i="3"/>
  <c r="P1571" i="3"/>
  <c r="Q1571" i="3"/>
  <c r="R1571" i="3"/>
  <c r="S1571" i="3"/>
  <c r="T1571" i="3"/>
  <c r="U1571" i="3"/>
  <c r="V1571" i="3"/>
  <c r="W1571" i="3"/>
  <c r="X1571" i="3"/>
  <c r="Y1571" i="3"/>
  <c r="Z1571" i="3"/>
  <c r="N1572" i="3"/>
  <c r="O1572" i="3"/>
  <c r="P1572" i="3"/>
  <c r="Q1572" i="3"/>
  <c r="R1572" i="3"/>
  <c r="S1572" i="3"/>
  <c r="T1572" i="3"/>
  <c r="U1572" i="3"/>
  <c r="V1572" i="3"/>
  <c r="W1572" i="3"/>
  <c r="X1572" i="3"/>
  <c r="Y1572" i="3"/>
  <c r="Z1572" i="3"/>
  <c r="N1573" i="3"/>
  <c r="O1573" i="3"/>
  <c r="P1573" i="3"/>
  <c r="Q1573" i="3"/>
  <c r="R1573" i="3"/>
  <c r="S1573" i="3"/>
  <c r="T1573" i="3"/>
  <c r="U1573" i="3"/>
  <c r="V1573" i="3"/>
  <c r="W1573" i="3"/>
  <c r="X1573" i="3"/>
  <c r="Y1573" i="3"/>
  <c r="Z1573" i="3"/>
  <c r="N1574" i="3"/>
  <c r="O1574" i="3"/>
  <c r="P1574" i="3"/>
  <c r="Q1574" i="3"/>
  <c r="R1574" i="3"/>
  <c r="S1574" i="3"/>
  <c r="T1574" i="3"/>
  <c r="U1574" i="3"/>
  <c r="V1574" i="3"/>
  <c r="W1574" i="3"/>
  <c r="X1574" i="3"/>
  <c r="Y1574" i="3"/>
  <c r="Z1574" i="3"/>
  <c r="N1575" i="3"/>
  <c r="O1575" i="3"/>
  <c r="P1575" i="3"/>
  <c r="Q1575" i="3"/>
  <c r="R1575" i="3"/>
  <c r="S1575" i="3"/>
  <c r="T1575" i="3"/>
  <c r="U1575" i="3"/>
  <c r="V1575" i="3"/>
  <c r="W1575" i="3"/>
  <c r="X1575" i="3"/>
  <c r="Y1575" i="3"/>
  <c r="Z1575" i="3"/>
  <c r="N1576" i="3"/>
  <c r="O1576" i="3"/>
  <c r="P1576" i="3"/>
  <c r="Q1576" i="3"/>
  <c r="R1576" i="3"/>
  <c r="S1576" i="3"/>
  <c r="T1576" i="3"/>
  <c r="U1576" i="3"/>
  <c r="V1576" i="3"/>
  <c r="W1576" i="3"/>
  <c r="X1576" i="3"/>
  <c r="Y1576" i="3"/>
  <c r="Z1576" i="3"/>
  <c r="N1577" i="3"/>
  <c r="O1577" i="3"/>
  <c r="P1577" i="3"/>
  <c r="Q1577" i="3"/>
  <c r="R1577" i="3"/>
  <c r="S1577" i="3"/>
  <c r="T1577" i="3"/>
  <c r="U1577" i="3"/>
  <c r="V1577" i="3"/>
  <c r="W1577" i="3"/>
  <c r="X1577" i="3"/>
  <c r="Y1577" i="3"/>
  <c r="Z1577" i="3"/>
  <c r="N1578" i="3"/>
  <c r="O1578" i="3"/>
  <c r="P1578" i="3"/>
  <c r="Q1578" i="3"/>
  <c r="R1578" i="3"/>
  <c r="S1578" i="3"/>
  <c r="T1578" i="3"/>
  <c r="U1578" i="3"/>
  <c r="V1578" i="3"/>
  <c r="W1578" i="3"/>
  <c r="X1578" i="3"/>
  <c r="Y1578" i="3"/>
  <c r="Z1578" i="3"/>
  <c r="N1579" i="3"/>
  <c r="O1579" i="3"/>
  <c r="P1579" i="3"/>
  <c r="Q1579" i="3"/>
  <c r="R1579" i="3"/>
  <c r="S1579" i="3"/>
  <c r="T1579" i="3"/>
  <c r="U1579" i="3"/>
  <c r="V1579" i="3"/>
  <c r="W1579" i="3"/>
  <c r="X1579" i="3"/>
  <c r="Y1579" i="3"/>
  <c r="Z1579" i="3"/>
  <c r="N1580" i="3"/>
  <c r="O1580" i="3"/>
  <c r="P1580" i="3"/>
  <c r="Q1580" i="3"/>
  <c r="R1580" i="3"/>
  <c r="S1580" i="3"/>
  <c r="T1580" i="3"/>
  <c r="U1580" i="3"/>
  <c r="V1580" i="3"/>
  <c r="W1580" i="3"/>
  <c r="X1580" i="3"/>
  <c r="Y1580" i="3"/>
  <c r="Z1580" i="3"/>
  <c r="N1581" i="3"/>
  <c r="O1581" i="3"/>
  <c r="P1581" i="3"/>
  <c r="Q1581" i="3"/>
  <c r="R1581" i="3"/>
  <c r="S1581" i="3"/>
  <c r="T1581" i="3"/>
  <c r="U1581" i="3"/>
  <c r="V1581" i="3"/>
  <c r="W1581" i="3"/>
  <c r="X1581" i="3"/>
  <c r="Y1581" i="3"/>
  <c r="Z1581" i="3"/>
  <c r="N1582" i="3"/>
  <c r="O1582" i="3"/>
  <c r="P1582" i="3"/>
  <c r="Q1582" i="3"/>
  <c r="R1582" i="3"/>
  <c r="S1582" i="3"/>
  <c r="T1582" i="3"/>
  <c r="U1582" i="3"/>
  <c r="V1582" i="3"/>
  <c r="W1582" i="3"/>
  <c r="X1582" i="3"/>
  <c r="Y1582" i="3"/>
  <c r="Z1582" i="3"/>
  <c r="N1583" i="3"/>
  <c r="O1583" i="3"/>
  <c r="P1583" i="3"/>
  <c r="Q1583" i="3"/>
  <c r="R1583" i="3"/>
  <c r="S1583" i="3"/>
  <c r="T1583" i="3"/>
  <c r="U1583" i="3"/>
  <c r="V1583" i="3"/>
  <c r="W1583" i="3"/>
  <c r="X1583" i="3"/>
  <c r="Y1583" i="3"/>
  <c r="Z1583" i="3"/>
  <c r="N1584" i="3"/>
  <c r="O1584" i="3"/>
  <c r="P1584" i="3"/>
  <c r="Q1584" i="3"/>
  <c r="R1584" i="3"/>
  <c r="S1584" i="3"/>
  <c r="T1584" i="3"/>
  <c r="U1584" i="3"/>
  <c r="V1584" i="3"/>
  <c r="W1584" i="3"/>
  <c r="X1584" i="3"/>
  <c r="Y1584" i="3"/>
  <c r="Z1584" i="3"/>
  <c r="N1585" i="3"/>
  <c r="O1585" i="3"/>
  <c r="P1585" i="3"/>
  <c r="Q1585" i="3"/>
  <c r="R1585" i="3"/>
  <c r="S1585" i="3"/>
  <c r="T1585" i="3"/>
  <c r="U1585" i="3"/>
  <c r="V1585" i="3"/>
  <c r="W1585" i="3"/>
  <c r="X1585" i="3"/>
  <c r="Y1585" i="3"/>
  <c r="Z1585" i="3"/>
  <c r="N1586" i="3"/>
  <c r="O1586" i="3"/>
  <c r="P1586" i="3"/>
  <c r="Q1586" i="3"/>
  <c r="R1586" i="3"/>
  <c r="S1586" i="3"/>
  <c r="T1586" i="3"/>
  <c r="U1586" i="3"/>
  <c r="V1586" i="3"/>
  <c r="W1586" i="3"/>
  <c r="X1586" i="3"/>
  <c r="Y1586" i="3"/>
  <c r="Z1586" i="3"/>
  <c r="N1587" i="3"/>
  <c r="O1587" i="3"/>
  <c r="P1587" i="3"/>
  <c r="Q1587" i="3"/>
  <c r="R1587" i="3"/>
  <c r="S1587" i="3"/>
  <c r="T1587" i="3"/>
  <c r="U1587" i="3"/>
  <c r="V1587" i="3"/>
  <c r="W1587" i="3"/>
  <c r="X1587" i="3"/>
  <c r="Y1587" i="3"/>
  <c r="Z1587" i="3"/>
  <c r="N1588" i="3"/>
  <c r="O1588" i="3"/>
  <c r="P1588" i="3"/>
  <c r="Q1588" i="3"/>
  <c r="R1588" i="3"/>
  <c r="S1588" i="3"/>
  <c r="T1588" i="3"/>
  <c r="U1588" i="3"/>
  <c r="V1588" i="3"/>
  <c r="W1588" i="3"/>
  <c r="X1588" i="3"/>
  <c r="Y1588" i="3"/>
  <c r="Z1588" i="3"/>
  <c r="N1589" i="3"/>
  <c r="O1589" i="3"/>
  <c r="P1589" i="3"/>
  <c r="Q1589" i="3"/>
  <c r="R1589" i="3"/>
  <c r="S1589" i="3"/>
  <c r="T1589" i="3"/>
  <c r="U1589" i="3"/>
  <c r="V1589" i="3"/>
  <c r="W1589" i="3"/>
  <c r="X1589" i="3"/>
  <c r="Y1589" i="3"/>
  <c r="Z1589" i="3"/>
  <c r="N1590" i="3"/>
  <c r="O1590" i="3"/>
  <c r="P1590" i="3"/>
  <c r="Q1590" i="3"/>
  <c r="R1590" i="3"/>
  <c r="S1590" i="3"/>
  <c r="T1590" i="3"/>
  <c r="U1590" i="3"/>
  <c r="V1590" i="3"/>
  <c r="W1590" i="3"/>
  <c r="X1590" i="3"/>
  <c r="Y1590" i="3"/>
  <c r="Z1590" i="3"/>
  <c r="N1591" i="3"/>
  <c r="O1591" i="3"/>
  <c r="P1591" i="3"/>
  <c r="Q1591" i="3"/>
  <c r="R1591" i="3"/>
  <c r="S1591" i="3"/>
  <c r="T1591" i="3"/>
  <c r="U1591" i="3"/>
  <c r="V1591" i="3"/>
  <c r="W1591" i="3"/>
  <c r="X1591" i="3"/>
  <c r="Y1591" i="3"/>
  <c r="Z1591" i="3"/>
  <c r="N1592" i="3"/>
  <c r="O1592" i="3"/>
  <c r="P1592" i="3"/>
  <c r="Q1592" i="3"/>
  <c r="R1592" i="3"/>
  <c r="S1592" i="3"/>
  <c r="T1592" i="3"/>
  <c r="U1592" i="3"/>
  <c r="V1592" i="3"/>
  <c r="W1592" i="3"/>
  <c r="X1592" i="3"/>
  <c r="Y1592" i="3"/>
  <c r="Z1592" i="3"/>
  <c r="N1593" i="3"/>
  <c r="O1593" i="3"/>
  <c r="P1593" i="3"/>
  <c r="Q1593" i="3"/>
  <c r="R1593" i="3"/>
  <c r="S1593" i="3"/>
  <c r="T1593" i="3"/>
  <c r="U1593" i="3"/>
  <c r="V1593" i="3"/>
  <c r="W1593" i="3"/>
  <c r="X1593" i="3"/>
  <c r="Y1593" i="3"/>
  <c r="Z1593" i="3"/>
  <c r="N1594" i="3"/>
  <c r="O1594" i="3"/>
  <c r="P1594" i="3"/>
  <c r="Q1594" i="3"/>
  <c r="R1594" i="3"/>
  <c r="S1594" i="3"/>
  <c r="T1594" i="3"/>
  <c r="U1594" i="3"/>
  <c r="V1594" i="3"/>
  <c r="W1594" i="3"/>
  <c r="X1594" i="3"/>
  <c r="Y1594" i="3"/>
  <c r="Z1594" i="3"/>
  <c r="N1595" i="3"/>
  <c r="O1595" i="3"/>
  <c r="P1595" i="3"/>
  <c r="Q1595" i="3"/>
  <c r="R1595" i="3"/>
  <c r="S1595" i="3"/>
  <c r="T1595" i="3"/>
  <c r="U1595" i="3"/>
  <c r="V1595" i="3"/>
  <c r="W1595" i="3"/>
  <c r="X1595" i="3"/>
  <c r="Y1595" i="3"/>
  <c r="Z1595" i="3"/>
  <c r="N1596" i="3"/>
  <c r="O1596" i="3"/>
  <c r="P1596" i="3"/>
  <c r="Q1596" i="3"/>
  <c r="R1596" i="3"/>
  <c r="S1596" i="3"/>
  <c r="T1596" i="3"/>
  <c r="U1596" i="3"/>
  <c r="V1596" i="3"/>
  <c r="W1596" i="3"/>
  <c r="X1596" i="3"/>
  <c r="Y1596" i="3"/>
  <c r="Z1596" i="3"/>
  <c r="N1597" i="3"/>
  <c r="O1597" i="3"/>
  <c r="P1597" i="3"/>
  <c r="Q1597" i="3"/>
  <c r="R1597" i="3"/>
  <c r="S1597" i="3"/>
  <c r="T1597" i="3"/>
  <c r="U1597" i="3"/>
  <c r="V1597" i="3"/>
  <c r="W1597" i="3"/>
  <c r="X1597" i="3"/>
  <c r="Y1597" i="3"/>
  <c r="Z1597" i="3"/>
  <c r="N1598" i="3"/>
  <c r="O1598" i="3"/>
  <c r="P1598" i="3"/>
  <c r="Q1598" i="3"/>
  <c r="R1598" i="3"/>
  <c r="S1598" i="3"/>
  <c r="T1598" i="3"/>
  <c r="U1598" i="3"/>
  <c r="V1598" i="3"/>
  <c r="W1598" i="3"/>
  <c r="X1598" i="3"/>
  <c r="Y1598" i="3"/>
  <c r="Z1598" i="3"/>
  <c r="N1599" i="3"/>
  <c r="O1599" i="3"/>
  <c r="P1599" i="3"/>
  <c r="Q1599" i="3"/>
  <c r="R1599" i="3"/>
  <c r="S1599" i="3"/>
  <c r="T1599" i="3"/>
  <c r="U1599" i="3"/>
  <c r="V1599" i="3"/>
  <c r="W1599" i="3"/>
  <c r="X1599" i="3"/>
  <c r="Y1599" i="3"/>
  <c r="Z1599" i="3"/>
  <c r="N1600" i="3"/>
  <c r="O1600" i="3"/>
  <c r="P1600" i="3"/>
  <c r="Q1600" i="3"/>
  <c r="R1600" i="3"/>
  <c r="S1600" i="3"/>
  <c r="T1600" i="3"/>
  <c r="U1600" i="3"/>
  <c r="V1600" i="3"/>
  <c r="W1600" i="3"/>
  <c r="X1600" i="3"/>
  <c r="Y1600" i="3"/>
  <c r="Z1600" i="3"/>
  <c r="N1601" i="3"/>
  <c r="O1601" i="3"/>
  <c r="P1601" i="3"/>
  <c r="Q1601" i="3"/>
  <c r="R1601" i="3"/>
  <c r="S1601" i="3"/>
  <c r="T1601" i="3"/>
  <c r="U1601" i="3"/>
  <c r="V1601" i="3"/>
  <c r="W1601" i="3"/>
  <c r="X1601" i="3"/>
  <c r="Y1601" i="3"/>
  <c r="Z1601" i="3"/>
  <c r="N1602" i="3"/>
  <c r="O1602" i="3"/>
  <c r="P1602" i="3"/>
  <c r="Q1602" i="3"/>
  <c r="R1602" i="3"/>
  <c r="S1602" i="3"/>
  <c r="T1602" i="3"/>
  <c r="U1602" i="3"/>
  <c r="V1602" i="3"/>
  <c r="W1602" i="3"/>
  <c r="X1602" i="3"/>
  <c r="Y1602" i="3"/>
  <c r="Z1602" i="3"/>
  <c r="N1603" i="3"/>
  <c r="O1603" i="3"/>
  <c r="P1603" i="3"/>
  <c r="Q1603" i="3"/>
  <c r="R1603" i="3"/>
  <c r="S1603" i="3"/>
  <c r="T1603" i="3"/>
  <c r="U1603" i="3"/>
  <c r="V1603" i="3"/>
  <c r="W1603" i="3"/>
  <c r="X1603" i="3"/>
  <c r="Y1603" i="3"/>
  <c r="Z1603" i="3"/>
  <c r="N1604" i="3"/>
  <c r="O1604" i="3"/>
  <c r="P1604" i="3"/>
  <c r="Q1604" i="3"/>
  <c r="R1604" i="3"/>
  <c r="S1604" i="3"/>
  <c r="T1604" i="3"/>
  <c r="U1604" i="3"/>
  <c r="V1604" i="3"/>
  <c r="W1604" i="3"/>
  <c r="X1604" i="3"/>
  <c r="Y1604" i="3"/>
  <c r="Z1604" i="3"/>
  <c r="N1605" i="3"/>
  <c r="O1605" i="3"/>
  <c r="P1605" i="3"/>
  <c r="Q1605" i="3"/>
  <c r="R1605" i="3"/>
  <c r="S1605" i="3"/>
  <c r="T1605" i="3"/>
  <c r="U1605" i="3"/>
  <c r="V1605" i="3"/>
  <c r="W1605" i="3"/>
  <c r="X1605" i="3"/>
  <c r="Y1605" i="3"/>
  <c r="Z1605" i="3"/>
  <c r="N1606" i="3"/>
  <c r="O1606" i="3"/>
  <c r="P1606" i="3"/>
  <c r="Q1606" i="3"/>
  <c r="R1606" i="3"/>
  <c r="S1606" i="3"/>
  <c r="T1606" i="3"/>
  <c r="U1606" i="3"/>
  <c r="V1606" i="3"/>
  <c r="W1606" i="3"/>
  <c r="X1606" i="3"/>
  <c r="Y1606" i="3"/>
  <c r="Z1606" i="3"/>
  <c r="N1607" i="3"/>
  <c r="O1607" i="3"/>
  <c r="P1607" i="3"/>
  <c r="Q1607" i="3"/>
  <c r="R1607" i="3"/>
  <c r="S1607" i="3"/>
  <c r="T1607" i="3"/>
  <c r="U1607" i="3"/>
  <c r="V1607" i="3"/>
  <c r="W1607" i="3"/>
  <c r="X1607" i="3"/>
  <c r="Y1607" i="3"/>
  <c r="Z1607" i="3"/>
  <c r="N1608" i="3"/>
  <c r="O1608" i="3"/>
  <c r="P1608" i="3"/>
  <c r="Q1608" i="3"/>
  <c r="R1608" i="3"/>
  <c r="S1608" i="3"/>
  <c r="T1608" i="3"/>
  <c r="U1608" i="3"/>
  <c r="V1608" i="3"/>
  <c r="W1608" i="3"/>
  <c r="X1608" i="3"/>
  <c r="Y1608" i="3"/>
  <c r="Z1608" i="3"/>
  <c r="N1609" i="3"/>
  <c r="O1609" i="3"/>
  <c r="P1609" i="3"/>
  <c r="Q1609" i="3"/>
  <c r="R1609" i="3"/>
  <c r="S1609" i="3"/>
  <c r="T1609" i="3"/>
  <c r="U1609" i="3"/>
  <c r="V1609" i="3"/>
  <c r="W1609" i="3"/>
  <c r="X1609" i="3"/>
  <c r="Y1609" i="3"/>
  <c r="Z1609" i="3"/>
  <c r="N1610" i="3"/>
  <c r="O1610" i="3"/>
  <c r="P1610" i="3"/>
  <c r="Q1610" i="3"/>
  <c r="R1610" i="3"/>
  <c r="S1610" i="3"/>
  <c r="T1610" i="3"/>
  <c r="U1610" i="3"/>
  <c r="V1610" i="3"/>
  <c r="W1610" i="3"/>
  <c r="X1610" i="3"/>
  <c r="Y1610" i="3"/>
  <c r="Z1610" i="3"/>
  <c r="N1611" i="3"/>
  <c r="O1611" i="3"/>
  <c r="P1611" i="3"/>
  <c r="Q1611" i="3"/>
  <c r="R1611" i="3"/>
  <c r="S1611" i="3"/>
  <c r="T1611" i="3"/>
  <c r="U1611" i="3"/>
  <c r="V1611" i="3"/>
  <c r="W1611" i="3"/>
  <c r="X1611" i="3"/>
  <c r="Y1611" i="3"/>
  <c r="Z1611" i="3"/>
  <c r="N1612" i="3"/>
  <c r="O1612" i="3"/>
  <c r="P1612" i="3"/>
  <c r="Q1612" i="3"/>
  <c r="R1612" i="3"/>
  <c r="S1612" i="3"/>
  <c r="T1612" i="3"/>
  <c r="U1612" i="3"/>
  <c r="V1612" i="3"/>
  <c r="W1612" i="3"/>
  <c r="X1612" i="3"/>
  <c r="Y1612" i="3"/>
  <c r="Z1612" i="3"/>
  <c r="N1613" i="3"/>
  <c r="O1613" i="3"/>
  <c r="P1613" i="3"/>
  <c r="Q1613" i="3"/>
  <c r="R1613" i="3"/>
  <c r="S1613" i="3"/>
  <c r="T1613" i="3"/>
  <c r="U1613" i="3"/>
  <c r="V1613" i="3"/>
  <c r="W1613" i="3"/>
  <c r="X1613" i="3"/>
  <c r="Y1613" i="3"/>
  <c r="Z1613" i="3"/>
  <c r="N1614" i="3"/>
  <c r="O1614" i="3"/>
  <c r="P1614" i="3"/>
  <c r="Q1614" i="3"/>
  <c r="R1614" i="3"/>
  <c r="S1614" i="3"/>
  <c r="T1614" i="3"/>
  <c r="U1614" i="3"/>
  <c r="V1614" i="3"/>
  <c r="W1614" i="3"/>
  <c r="X1614" i="3"/>
  <c r="Y1614" i="3"/>
  <c r="Z1614" i="3"/>
  <c r="N1615" i="3"/>
  <c r="O1615" i="3"/>
  <c r="P1615" i="3"/>
  <c r="Q1615" i="3"/>
  <c r="R1615" i="3"/>
  <c r="S1615" i="3"/>
  <c r="T1615" i="3"/>
  <c r="U1615" i="3"/>
  <c r="V1615" i="3"/>
  <c r="W1615" i="3"/>
  <c r="X1615" i="3"/>
  <c r="Y1615" i="3"/>
  <c r="Z1615" i="3"/>
  <c r="N1616" i="3"/>
  <c r="O1616" i="3"/>
  <c r="P1616" i="3"/>
  <c r="Q1616" i="3"/>
  <c r="R1616" i="3"/>
  <c r="S1616" i="3"/>
  <c r="T1616" i="3"/>
  <c r="U1616" i="3"/>
  <c r="V1616" i="3"/>
  <c r="W1616" i="3"/>
  <c r="X1616" i="3"/>
  <c r="Y1616" i="3"/>
  <c r="Z1616" i="3"/>
  <c r="N1617" i="3"/>
  <c r="O1617" i="3"/>
  <c r="P1617" i="3"/>
  <c r="Q1617" i="3"/>
  <c r="R1617" i="3"/>
  <c r="S1617" i="3"/>
  <c r="T1617" i="3"/>
  <c r="U1617" i="3"/>
  <c r="V1617" i="3"/>
  <c r="W1617" i="3"/>
  <c r="X1617" i="3"/>
  <c r="Y1617" i="3"/>
  <c r="Z1617" i="3"/>
  <c r="N1618" i="3"/>
  <c r="O1618" i="3"/>
  <c r="P1618" i="3"/>
  <c r="Q1618" i="3"/>
  <c r="R1618" i="3"/>
  <c r="S1618" i="3"/>
  <c r="T1618" i="3"/>
  <c r="U1618" i="3"/>
  <c r="V1618" i="3"/>
  <c r="W1618" i="3"/>
  <c r="X1618" i="3"/>
  <c r="Y1618" i="3"/>
  <c r="Z1618" i="3"/>
  <c r="N1619" i="3"/>
  <c r="O1619" i="3"/>
  <c r="P1619" i="3"/>
  <c r="Q1619" i="3"/>
  <c r="R1619" i="3"/>
  <c r="S1619" i="3"/>
  <c r="T1619" i="3"/>
  <c r="U1619" i="3"/>
  <c r="V1619" i="3"/>
  <c r="W1619" i="3"/>
  <c r="X1619" i="3"/>
  <c r="Y1619" i="3"/>
  <c r="Z1619" i="3"/>
  <c r="N1620" i="3"/>
  <c r="O1620" i="3"/>
  <c r="P1620" i="3"/>
  <c r="Q1620" i="3"/>
  <c r="R1620" i="3"/>
  <c r="S1620" i="3"/>
  <c r="T1620" i="3"/>
  <c r="U1620" i="3"/>
  <c r="V1620" i="3"/>
  <c r="W1620" i="3"/>
  <c r="X1620" i="3"/>
  <c r="Y1620" i="3"/>
  <c r="Z1620" i="3"/>
  <c r="N1621" i="3"/>
  <c r="O1621" i="3"/>
  <c r="P1621" i="3"/>
  <c r="Q1621" i="3"/>
  <c r="R1621" i="3"/>
  <c r="S1621" i="3"/>
  <c r="T1621" i="3"/>
  <c r="U1621" i="3"/>
  <c r="V1621" i="3"/>
  <c r="W1621" i="3"/>
  <c r="X1621" i="3"/>
  <c r="Y1621" i="3"/>
  <c r="Z1621" i="3"/>
  <c r="N1622" i="3"/>
  <c r="O1622" i="3"/>
  <c r="P1622" i="3"/>
  <c r="Q1622" i="3"/>
  <c r="R1622" i="3"/>
  <c r="S1622" i="3"/>
  <c r="T1622" i="3"/>
  <c r="U1622" i="3"/>
  <c r="V1622" i="3"/>
  <c r="W1622" i="3"/>
  <c r="X1622" i="3"/>
  <c r="Y1622" i="3"/>
  <c r="Z1622" i="3"/>
  <c r="N1623" i="3"/>
  <c r="O1623" i="3"/>
  <c r="P1623" i="3"/>
  <c r="Q1623" i="3"/>
  <c r="R1623" i="3"/>
  <c r="S1623" i="3"/>
  <c r="T1623" i="3"/>
  <c r="U1623" i="3"/>
  <c r="V1623" i="3"/>
  <c r="W1623" i="3"/>
  <c r="X1623" i="3"/>
  <c r="Y1623" i="3"/>
  <c r="Z1623" i="3"/>
  <c r="N1624" i="3"/>
  <c r="O1624" i="3"/>
  <c r="P1624" i="3"/>
  <c r="Q1624" i="3"/>
  <c r="R1624" i="3"/>
  <c r="S1624" i="3"/>
  <c r="T1624" i="3"/>
  <c r="U1624" i="3"/>
  <c r="V1624" i="3"/>
  <c r="W1624" i="3"/>
  <c r="X1624" i="3"/>
  <c r="Y1624" i="3"/>
  <c r="Z1624" i="3"/>
  <c r="N1625" i="3"/>
  <c r="O1625" i="3"/>
  <c r="P1625" i="3"/>
  <c r="Q1625" i="3"/>
  <c r="R1625" i="3"/>
  <c r="S1625" i="3"/>
  <c r="T1625" i="3"/>
  <c r="U1625" i="3"/>
  <c r="V1625" i="3"/>
  <c r="W1625" i="3"/>
  <c r="X1625" i="3"/>
  <c r="Y1625" i="3"/>
  <c r="Z1625" i="3"/>
  <c r="N1626" i="3"/>
  <c r="O1626" i="3"/>
  <c r="P1626" i="3"/>
  <c r="Q1626" i="3"/>
  <c r="R1626" i="3"/>
  <c r="S1626" i="3"/>
  <c r="T1626" i="3"/>
  <c r="U1626" i="3"/>
  <c r="V1626" i="3"/>
  <c r="W1626" i="3"/>
  <c r="X1626" i="3"/>
  <c r="Y1626" i="3"/>
  <c r="Z1626" i="3"/>
  <c r="N1627" i="3"/>
  <c r="O1627" i="3"/>
  <c r="P1627" i="3"/>
  <c r="Q1627" i="3"/>
  <c r="R1627" i="3"/>
  <c r="S1627" i="3"/>
  <c r="T1627" i="3"/>
  <c r="U1627" i="3"/>
  <c r="V1627" i="3"/>
  <c r="W1627" i="3"/>
  <c r="X1627" i="3"/>
  <c r="Y1627" i="3"/>
  <c r="Z1627" i="3"/>
  <c r="N1628" i="3"/>
  <c r="O1628" i="3"/>
  <c r="P1628" i="3"/>
  <c r="Q1628" i="3"/>
  <c r="R1628" i="3"/>
  <c r="S1628" i="3"/>
  <c r="T1628" i="3"/>
  <c r="U1628" i="3"/>
  <c r="V1628" i="3"/>
  <c r="W1628" i="3"/>
  <c r="X1628" i="3"/>
  <c r="Y1628" i="3"/>
  <c r="Z1628" i="3"/>
  <c r="N1629" i="3"/>
  <c r="O1629" i="3"/>
  <c r="P1629" i="3"/>
  <c r="Q1629" i="3"/>
  <c r="R1629" i="3"/>
  <c r="S1629" i="3"/>
  <c r="T1629" i="3"/>
  <c r="U1629" i="3"/>
  <c r="V1629" i="3"/>
  <c r="W1629" i="3"/>
  <c r="X1629" i="3"/>
  <c r="Y1629" i="3"/>
  <c r="Z1629" i="3"/>
  <c r="N1630" i="3"/>
  <c r="O1630" i="3"/>
  <c r="P1630" i="3"/>
  <c r="Q1630" i="3"/>
  <c r="R1630" i="3"/>
  <c r="S1630" i="3"/>
  <c r="T1630" i="3"/>
  <c r="U1630" i="3"/>
  <c r="V1630" i="3"/>
  <c r="W1630" i="3"/>
  <c r="X1630" i="3"/>
  <c r="Y1630" i="3"/>
  <c r="Z1630" i="3"/>
  <c r="N1631" i="3"/>
  <c r="O1631" i="3"/>
  <c r="P1631" i="3"/>
  <c r="Q1631" i="3"/>
  <c r="R1631" i="3"/>
  <c r="S1631" i="3"/>
  <c r="T1631" i="3"/>
  <c r="U1631" i="3"/>
  <c r="V1631" i="3"/>
  <c r="W1631" i="3"/>
  <c r="X1631" i="3"/>
  <c r="Y1631" i="3"/>
  <c r="Z1631" i="3"/>
  <c r="N1632" i="3"/>
  <c r="O1632" i="3"/>
  <c r="P1632" i="3"/>
  <c r="Q1632" i="3"/>
  <c r="R1632" i="3"/>
  <c r="S1632" i="3"/>
  <c r="T1632" i="3"/>
  <c r="U1632" i="3"/>
  <c r="V1632" i="3"/>
  <c r="W1632" i="3"/>
  <c r="X1632" i="3"/>
  <c r="Y1632" i="3"/>
  <c r="Z1632" i="3"/>
  <c r="N1633" i="3"/>
  <c r="O1633" i="3"/>
  <c r="P1633" i="3"/>
  <c r="Q1633" i="3"/>
  <c r="R1633" i="3"/>
  <c r="S1633" i="3"/>
  <c r="T1633" i="3"/>
  <c r="U1633" i="3"/>
  <c r="V1633" i="3"/>
  <c r="W1633" i="3"/>
  <c r="X1633" i="3"/>
  <c r="Y1633" i="3"/>
  <c r="Z1633" i="3"/>
  <c r="N1634" i="3"/>
  <c r="O1634" i="3"/>
  <c r="P1634" i="3"/>
  <c r="Q1634" i="3"/>
  <c r="R1634" i="3"/>
  <c r="S1634" i="3"/>
  <c r="T1634" i="3"/>
  <c r="U1634" i="3"/>
  <c r="V1634" i="3"/>
  <c r="W1634" i="3"/>
  <c r="X1634" i="3"/>
  <c r="Y1634" i="3"/>
  <c r="Z1634" i="3"/>
  <c r="N1635" i="3"/>
  <c r="O1635" i="3"/>
  <c r="P1635" i="3"/>
  <c r="Q1635" i="3"/>
  <c r="R1635" i="3"/>
  <c r="S1635" i="3"/>
  <c r="T1635" i="3"/>
  <c r="U1635" i="3"/>
  <c r="V1635" i="3"/>
  <c r="W1635" i="3"/>
  <c r="X1635" i="3"/>
  <c r="Y1635" i="3"/>
  <c r="Z1635" i="3"/>
  <c r="N1636" i="3"/>
  <c r="O1636" i="3"/>
  <c r="P1636" i="3"/>
  <c r="Q1636" i="3"/>
  <c r="R1636" i="3"/>
  <c r="S1636" i="3"/>
  <c r="T1636" i="3"/>
  <c r="U1636" i="3"/>
  <c r="V1636" i="3"/>
  <c r="W1636" i="3"/>
  <c r="X1636" i="3"/>
  <c r="Y1636" i="3"/>
  <c r="Z1636" i="3"/>
  <c r="N1637" i="3"/>
  <c r="O1637" i="3"/>
  <c r="P1637" i="3"/>
  <c r="Q1637" i="3"/>
  <c r="R1637" i="3"/>
  <c r="S1637" i="3"/>
  <c r="T1637" i="3"/>
  <c r="U1637" i="3"/>
  <c r="V1637" i="3"/>
  <c r="W1637" i="3"/>
  <c r="X1637" i="3"/>
  <c r="Y1637" i="3"/>
  <c r="Z1637" i="3"/>
  <c r="N1638" i="3"/>
  <c r="O1638" i="3"/>
  <c r="P1638" i="3"/>
  <c r="Q1638" i="3"/>
  <c r="R1638" i="3"/>
  <c r="S1638" i="3"/>
  <c r="T1638" i="3"/>
  <c r="U1638" i="3"/>
  <c r="V1638" i="3"/>
  <c r="W1638" i="3"/>
  <c r="X1638" i="3"/>
  <c r="Y1638" i="3"/>
  <c r="Z1638" i="3"/>
  <c r="N1639" i="3"/>
  <c r="O1639" i="3"/>
  <c r="P1639" i="3"/>
  <c r="Q1639" i="3"/>
  <c r="R1639" i="3"/>
  <c r="S1639" i="3"/>
  <c r="T1639" i="3"/>
  <c r="U1639" i="3"/>
  <c r="V1639" i="3"/>
  <c r="W1639" i="3"/>
  <c r="X1639" i="3"/>
  <c r="Y1639" i="3"/>
  <c r="Z1639" i="3"/>
  <c r="N1640" i="3"/>
  <c r="O1640" i="3"/>
  <c r="P1640" i="3"/>
  <c r="Q1640" i="3"/>
  <c r="R1640" i="3"/>
  <c r="S1640" i="3"/>
  <c r="T1640" i="3"/>
  <c r="U1640" i="3"/>
  <c r="V1640" i="3"/>
  <c r="W1640" i="3"/>
  <c r="X1640" i="3"/>
  <c r="Y1640" i="3"/>
  <c r="Z1640" i="3"/>
  <c r="N1641" i="3"/>
  <c r="O1641" i="3"/>
  <c r="P1641" i="3"/>
  <c r="Q1641" i="3"/>
  <c r="R1641" i="3"/>
  <c r="S1641" i="3"/>
  <c r="T1641" i="3"/>
  <c r="U1641" i="3"/>
  <c r="V1641" i="3"/>
  <c r="W1641" i="3"/>
  <c r="X1641" i="3"/>
  <c r="Y1641" i="3"/>
  <c r="Z1641" i="3"/>
  <c r="N1642" i="3"/>
  <c r="O1642" i="3"/>
  <c r="P1642" i="3"/>
  <c r="Q1642" i="3"/>
  <c r="R1642" i="3"/>
  <c r="S1642" i="3"/>
  <c r="T1642" i="3"/>
  <c r="U1642" i="3"/>
  <c r="V1642" i="3"/>
  <c r="W1642" i="3"/>
  <c r="X1642" i="3"/>
  <c r="Y1642" i="3"/>
  <c r="Z1642" i="3"/>
  <c r="N1643" i="3"/>
  <c r="O1643" i="3"/>
  <c r="P1643" i="3"/>
  <c r="Q1643" i="3"/>
  <c r="R1643" i="3"/>
  <c r="S1643" i="3"/>
  <c r="T1643" i="3"/>
  <c r="U1643" i="3"/>
  <c r="V1643" i="3"/>
  <c r="W1643" i="3"/>
  <c r="X1643" i="3"/>
  <c r="Y1643" i="3"/>
  <c r="Z1643" i="3"/>
  <c r="N1644" i="3"/>
  <c r="O1644" i="3"/>
  <c r="P1644" i="3"/>
  <c r="Q1644" i="3"/>
  <c r="R1644" i="3"/>
  <c r="S1644" i="3"/>
  <c r="T1644" i="3"/>
  <c r="U1644" i="3"/>
  <c r="V1644" i="3"/>
  <c r="W1644" i="3"/>
  <c r="X1644" i="3"/>
  <c r="Y1644" i="3"/>
  <c r="Z1644" i="3"/>
  <c r="N1645" i="3"/>
  <c r="O1645" i="3"/>
  <c r="P1645" i="3"/>
  <c r="Q1645" i="3"/>
  <c r="R1645" i="3"/>
  <c r="S1645" i="3"/>
  <c r="T1645" i="3"/>
  <c r="U1645" i="3"/>
  <c r="V1645" i="3"/>
  <c r="W1645" i="3"/>
  <c r="X1645" i="3"/>
  <c r="Y1645" i="3"/>
  <c r="Z1645" i="3"/>
  <c r="N1646" i="3"/>
  <c r="O1646" i="3"/>
  <c r="P1646" i="3"/>
  <c r="Q1646" i="3"/>
  <c r="R1646" i="3"/>
  <c r="S1646" i="3"/>
  <c r="T1646" i="3"/>
  <c r="U1646" i="3"/>
  <c r="V1646" i="3"/>
  <c r="W1646" i="3"/>
  <c r="X1646" i="3"/>
  <c r="Y1646" i="3"/>
  <c r="Z1646" i="3"/>
  <c r="N1647" i="3"/>
  <c r="O1647" i="3"/>
  <c r="P1647" i="3"/>
  <c r="Q1647" i="3"/>
  <c r="R1647" i="3"/>
  <c r="S1647" i="3"/>
  <c r="T1647" i="3"/>
  <c r="U1647" i="3"/>
  <c r="V1647" i="3"/>
  <c r="W1647" i="3"/>
  <c r="X1647" i="3"/>
  <c r="Y1647" i="3"/>
  <c r="Z1647" i="3"/>
  <c r="N1648" i="3"/>
  <c r="O1648" i="3"/>
  <c r="P1648" i="3"/>
  <c r="Q1648" i="3"/>
  <c r="R1648" i="3"/>
  <c r="S1648" i="3"/>
  <c r="T1648" i="3"/>
  <c r="U1648" i="3"/>
  <c r="V1648" i="3"/>
  <c r="W1648" i="3"/>
  <c r="X1648" i="3"/>
  <c r="Y1648" i="3"/>
  <c r="Z1648" i="3"/>
  <c r="N1649" i="3"/>
  <c r="O1649" i="3"/>
  <c r="P1649" i="3"/>
  <c r="Q1649" i="3"/>
  <c r="R1649" i="3"/>
  <c r="S1649" i="3"/>
  <c r="T1649" i="3"/>
  <c r="U1649" i="3"/>
  <c r="V1649" i="3"/>
  <c r="W1649" i="3"/>
  <c r="X1649" i="3"/>
  <c r="Y1649" i="3"/>
  <c r="Z1649" i="3"/>
  <c r="N1650" i="3"/>
  <c r="O1650" i="3"/>
  <c r="P1650" i="3"/>
  <c r="Q1650" i="3"/>
  <c r="R1650" i="3"/>
  <c r="S1650" i="3"/>
  <c r="T1650" i="3"/>
  <c r="U1650" i="3"/>
  <c r="V1650" i="3"/>
  <c r="W1650" i="3"/>
  <c r="X1650" i="3"/>
  <c r="Y1650" i="3"/>
  <c r="Z1650" i="3"/>
  <c r="N1651" i="3"/>
  <c r="O1651" i="3"/>
  <c r="P1651" i="3"/>
  <c r="Q1651" i="3"/>
  <c r="R1651" i="3"/>
  <c r="S1651" i="3"/>
  <c r="T1651" i="3"/>
  <c r="U1651" i="3"/>
  <c r="V1651" i="3"/>
  <c r="W1651" i="3"/>
  <c r="X1651" i="3"/>
  <c r="Y1651" i="3"/>
  <c r="Z1651" i="3"/>
  <c r="N1652" i="3"/>
  <c r="O1652" i="3"/>
  <c r="P1652" i="3"/>
  <c r="Q1652" i="3"/>
  <c r="R1652" i="3"/>
  <c r="S1652" i="3"/>
  <c r="T1652" i="3"/>
  <c r="U1652" i="3"/>
  <c r="V1652" i="3"/>
  <c r="W1652" i="3"/>
  <c r="X1652" i="3"/>
  <c r="Y1652" i="3"/>
  <c r="Z1652" i="3"/>
  <c r="N1653" i="3"/>
  <c r="O1653" i="3"/>
  <c r="P1653" i="3"/>
  <c r="Q1653" i="3"/>
  <c r="R1653" i="3"/>
  <c r="S1653" i="3"/>
  <c r="T1653" i="3"/>
  <c r="U1653" i="3"/>
  <c r="V1653" i="3"/>
  <c r="W1653" i="3"/>
  <c r="X1653" i="3"/>
  <c r="Y1653" i="3"/>
  <c r="Z1653" i="3"/>
  <c r="N1654" i="3"/>
  <c r="O1654" i="3"/>
  <c r="P1654" i="3"/>
  <c r="Q1654" i="3"/>
  <c r="R1654" i="3"/>
  <c r="S1654" i="3"/>
  <c r="T1654" i="3"/>
  <c r="U1654" i="3"/>
  <c r="V1654" i="3"/>
  <c r="W1654" i="3"/>
  <c r="X1654" i="3"/>
  <c r="Y1654" i="3"/>
  <c r="Z1654" i="3"/>
  <c r="N1655" i="3"/>
  <c r="O1655" i="3"/>
  <c r="P1655" i="3"/>
  <c r="Q1655" i="3"/>
  <c r="R1655" i="3"/>
  <c r="S1655" i="3"/>
  <c r="T1655" i="3"/>
  <c r="U1655" i="3"/>
  <c r="V1655" i="3"/>
  <c r="W1655" i="3"/>
  <c r="X1655" i="3"/>
  <c r="Y1655" i="3"/>
  <c r="Z1655" i="3"/>
  <c r="N1656" i="3"/>
  <c r="O1656" i="3"/>
  <c r="P1656" i="3"/>
  <c r="Q1656" i="3"/>
  <c r="R1656" i="3"/>
  <c r="S1656" i="3"/>
  <c r="T1656" i="3"/>
  <c r="U1656" i="3"/>
  <c r="V1656" i="3"/>
  <c r="W1656" i="3"/>
  <c r="X1656" i="3"/>
  <c r="Y1656" i="3"/>
  <c r="Z1656" i="3"/>
  <c r="N1657" i="3"/>
  <c r="O1657" i="3"/>
  <c r="P1657" i="3"/>
  <c r="Q1657" i="3"/>
  <c r="R1657" i="3"/>
  <c r="S1657" i="3"/>
  <c r="T1657" i="3"/>
  <c r="U1657" i="3"/>
  <c r="V1657" i="3"/>
  <c r="W1657" i="3"/>
  <c r="X1657" i="3"/>
  <c r="Y1657" i="3"/>
  <c r="Z1657" i="3"/>
  <c r="N1658" i="3"/>
  <c r="O1658" i="3"/>
  <c r="P1658" i="3"/>
  <c r="Q1658" i="3"/>
  <c r="R1658" i="3"/>
  <c r="S1658" i="3"/>
  <c r="T1658" i="3"/>
  <c r="U1658" i="3"/>
  <c r="V1658" i="3"/>
  <c r="W1658" i="3"/>
  <c r="X1658" i="3"/>
  <c r="Y1658" i="3"/>
  <c r="Z1658" i="3"/>
  <c r="N1659" i="3"/>
  <c r="O1659" i="3"/>
  <c r="P1659" i="3"/>
  <c r="Q1659" i="3"/>
  <c r="R1659" i="3"/>
  <c r="S1659" i="3"/>
  <c r="T1659" i="3"/>
  <c r="U1659" i="3"/>
  <c r="V1659" i="3"/>
  <c r="W1659" i="3"/>
  <c r="X1659" i="3"/>
  <c r="Y1659" i="3"/>
  <c r="Z1659" i="3"/>
  <c r="N1660" i="3"/>
  <c r="O1660" i="3"/>
  <c r="P1660" i="3"/>
  <c r="Q1660" i="3"/>
  <c r="R1660" i="3"/>
  <c r="S1660" i="3"/>
  <c r="T1660" i="3"/>
  <c r="U1660" i="3"/>
  <c r="V1660" i="3"/>
  <c r="W1660" i="3"/>
  <c r="X1660" i="3"/>
  <c r="Y1660" i="3"/>
  <c r="Z1660" i="3"/>
  <c r="N1661" i="3"/>
  <c r="O1661" i="3"/>
  <c r="P1661" i="3"/>
  <c r="Q1661" i="3"/>
  <c r="R1661" i="3"/>
  <c r="S1661" i="3"/>
  <c r="T1661" i="3"/>
  <c r="U1661" i="3"/>
  <c r="V1661" i="3"/>
  <c r="W1661" i="3"/>
  <c r="X1661" i="3"/>
  <c r="Y1661" i="3"/>
  <c r="Z1661" i="3"/>
  <c r="N1662" i="3"/>
  <c r="O1662" i="3"/>
  <c r="P1662" i="3"/>
  <c r="Q1662" i="3"/>
  <c r="R1662" i="3"/>
  <c r="S1662" i="3"/>
  <c r="T1662" i="3"/>
  <c r="U1662" i="3"/>
  <c r="V1662" i="3"/>
  <c r="W1662" i="3"/>
  <c r="X1662" i="3"/>
  <c r="Y1662" i="3"/>
  <c r="Z1662" i="3"/>
  <c r="N1663" i="3"/>
  <c r="O1663" i="3"/>
  <c r="P1663" i="3"/>
  <c r="Q1663" i="3"/>
  <c r="R1663" i="3"/>
  <c r="S1663" i="3"/>
  <c r="T1663" i="3"/>
  <c r="U1663" i="3"/>
  <c r="V1663" i="3"/>
  <c r="W1663" i="3"/>
  <c r="X1663" i="3"/>
  <c r="Y1663" i="3"/>
  <c r="Z1663" i="3"/>
  <c r="N1664" i="3"/>
  <c r="O1664" i="3"/>
  <c r="P1664" i="3"/>
  <c r="Q1664" i="3"/>
  <c r="R1664" i="3"/>
  <c r="S1664" i="3"/>
  <c r="T1664" i="3"/>
  <c r="U1664" i="3"/>
  <c r="V1664" i="3"/>
  <c r="W1664" i="3"/>
  <c r="X1664" i="3"/>
  <c r="Y1664" i="3"/>
  <c r="Z1664" i="3"/>
  <c r="N1665" i="3"/>
  <c r="O1665" i="3"/>
  <c r="P1665" i="3"/>
  <c r="Q1665" i="3"/>
  <c r="R1665" i="3"/>
  <c r="S1665" i="3"/>
  <c r="T1665" i="3"/>
  <c r="U1665" i="3"/>
  <c r="V1665" i="3"/>
  <c r="W1665" i="3"/>
  <c r="X1665" i="3"/>
  <c r="Y1665" i="3"/>
  <c r="Z1665" i="3"/>
  <c r="N1666" i="3"/>
  <c r="O1666" i="3"/>
  <c r="P1666" i="3"/>
  <c r="Q1666" i="3"/>
  <c r="R1666" i="3"/>
  <c r="S1666" i="3"/>
  <c r="T1666" i="3"/>
  <c r="U1666" i="3"/>
  <c r="V1666" i="3"/>
  <c r="W1666" i="3"/>
  <c r="X1666" i="3"/>
  <c r="Y1666" i="3"/>
  <c r="Z1666" i="3"/>
  <c r="N1667" i="3"/>
  <c r="O1667" i="3"/>
  <c r="P1667" i="3"/>
  <c r="Q1667" i="3"/>
  <c r="R1667" i="3"/>
  <c r="S1667" i="3"/>
  <c r="T1667" i="3"/>
  <c r="U1667" i="3"/>
  <c r="V1667" i="3"/>
  <c r="W1667" i="3"/>
  <c r="X1667" i="3"/>
  <c r="Y1667" i="3"/>
  <c r="Z1667" i="3"/>
  <c r="N1668" i="3"/>
  <c r="O1668" i="3"/>
  <c r="P1668" i="3"/>
  <c r="Q1668" i="3"/>
  <c r="R1668" i="3"/>
  <c r="S1668" i="3"/>
  <c r="T1668" i="3"/>
  <c r="U1668" i="3"/>
  <c r="V1668" i="3"/>
  <c r="W1668" i="3"/>
  <c r="X1668" i="3"/>
  <c r="Y1668" i="3"/>
  <c r="Z1668" i="3"/>
  <c r="N1669" i="3"/>
  <c r="O1669" i="3"/>
  <c r="P1669" i="3"/>
  <c r="Q1669" i="3"/>
  <c r="R1669" i="3"/>
  <c r="S1669" i="3"/>
  <c r="T1669" i="3"/>
  <c r="U1669" i="3"/>
  <c r="V1669" i="3"/>
  <c r="W1669" i="3"/>
  <c r="X1669" i="3"/>
  <c r="Y1669" i="3"/>
  <c r="Z1669" i="3"/>
  <c r="N1670" i="3"/>
  <c r="O1670" i="3"/>
  <c r="P1670" i="3"/>
  <c r="Q1670" i="3"/>
  <c r="R1670" i="3"/>
  <c r="S1670" i="3"/>
  <c r="T1670" i="3"/>
  <c r="U1670" i="3"/>
  <c r="V1670" i="3"/>
  <c r="W1670" i="3"/>
  <c r="X1670" i="3"/>
  <c r="Y1670" i="3"/>
  <c r="Z1670" i="3"/>
  <c r="N1671" i="3"/>
  <c r="O1671" i="3"/>
  <c r="P1671" i="3"/>
  <c r="Q1671" i="3"/>
  <c r="R1671" i="3"/>
  <c r="S1671" i="3"/>
  <c r="T1671" i="3"/>
  <c r="U1671" i="3"/>
  <c r="V1671" i="3"/>
  <c r="W1671" i="3"/>
  <c r="X1671" i="3"/>
  <c r="Y1671" i="3"/>
  <c r="Z1671" i="3"/>
  <c r="N1672" i="3"/>
  <c r="O1672" i="3"/>
  <c r="P1672" i="3"/>
  <c r="Q1672" i="3"/>
  <c r="R1672" i="3"/>
  <c r="S1672" i="3"/>
  <c r="T1672" i="3"/>
  <c r="U1672" i="3"/>
  <c r="V1672" i="3"/>
  <c r="W1672" i="3"/>
  <c r="X1672" i="3"/>
  <c r="Y1672" i="3"/>
  <c r="Z1672" i="3"/>
  <c r="N1673" i="3"/>
  <c r="O1673" i="3"/>
  <c r="P1673" i="3"/>
  <c r="Q1673" i="3"/>
  <c r="R1673" i="3"/>
  <c r="S1673" i="3"/>
  <c r="T1673" i="3"/>
  <c r="U1673" i="3"/>
  <c r="V1673" i="3"/>
  <c r="W1673" i="3"/>
  <c r="X1673" i="3"/>
  <c r="Y1673" i="3"/>
  <c r="Z1673" i="3"/>
  <c r="N1674" i="3"/>
  <c r="O1674" i="3"/>
  <c r="P1674" i="3"/>
  <c r="Q1674" i="3"/>
  <c r="R1674" i="3"/>
  <c r="S1674" i="3"/>
  <c r="T1674" i="3"/>
  <c r="U1674" i="3"/>
  <c r="V1674" i="3"/>
  <c r="W1674" i="3"/>
  <c r="X1674" i="3"/>
  <c r="Y1674" i="3"/>
  <c r="Z1674" i="3"/>
  <c r="N1675" i="3"/>
  <c r="O1675" i="3"/>
  <c r="P1675" i="3"/>
  <c r="Q1675" i="3"/>
  <c r="R1675" i="3"/>
  <c r="S1675" i="3"/>
  <c r="T1675" i="3"/>
  <c r="U1675" i="3"/>
  <c r="V1675" i="3"/>
  <c r="W1675" i="3"/>
  <c r="X1675" i="3"/>
  <c r="Y1675" i="3"/>
  <c r="Z1675" i="3"/>
  <c r="N1676" i="3"/>
  <c r="O1676" i="3"/>
  <c r="P1676" i="3"/>
  <c r="Q1676" i="3"/>
  <c r="R1676" i="3"/>
  <c r="S1676" i="3"/>
  <c r="T1676" i="3"/>
  <c r="U1676" i="3"/>
  <c r="V1676" i="3"/>
  <c r="W1676" i="3"/>
  <c r="X1676" i="3"/>
  <c r="Y1676" i="3"/>
  <c r="Z1676" i="3"/>
  <c r="N1677" i="3"/>
  <c r="O1677" i="3"/>
  <c r="P1677" i="3"/>
  <c r="Q1677" i="3"/>
  <c r="R1677" i="3"/>
  <c r="S1677" i="3"/>
  <c r="T1677" i="3"/>
  <c r="U1677" i="3"/>
  <c r="V1677" i="3"/>
  <c r="W1677" i="3"/>
  <c r="X1677" i="3"/>
  <c r="Y1677" i="3"/>
  <c r="Z1677" i="3"/>
  <c r="N1678" i="3"/>
  <c r="O1678" i="3"/>
  <c r="P1678" i="3"/>
  <c r="Q1678" i="3"/>
  <c r="R1678" i="3"/>
  <c r="S1678" i="3"/>
  <c r="T1678" i="3"/>
  <c r="U1678" i="3"/>
  <c r="V1678" i="3"/>
  <c r="W1678" i="3"/>
  <c r="X1678" i="3"/>
  <c r="Y1678" i="3"/>
  <c r="Z1678" i="3"/>
  <c r="N1679" i="3"/>
  <c r="O1679" i="3"/>
  <c r="P1679" i="3"/>
  <c r="Q1679" i="3"/>
  <c r="R1679" i="3"/>
  <c r="S1679" i="3"/>
  <c r="T1679" i="3"/>
  <c r="U1679" i="3"/>
  <c r="V1679" i="3"/>
  <c r="W1679" i="3"/>
  <c r="X1679" i="3"/>
  <c r="Y1679" i="3"/>
  <c r="Z1679" i="3"/>
  <c r="N1680" i="3"/>
  <c r="O1680" i="3"/>
  <c r="P1680" i="3"/>
  <c r="Q1680" i="3"/>
  <c r="R1680" i="3"/>
  <c r="S1680" i="3"/>
  <c r="T1680" i="3"/>
  <c r="U1680" i="3"/>
  <c r="V1680" i="3"/>
  <c r="W1680" i="3"/>
  <c r="X1680" i="3"/>
  <c r="Y1680" i="3"/>
  <c r="Z1680" i="3"/>
  <c r="N1681" i="3"/>
  <c r="O1681" i="3"/>
  <c r="P1681" i="3"/>
  <c r="Q1681" i="3"/>
  <c r="R1681" i="3"/>
  <c r="S1681" i="3"/>
  <c r="T1681" i="3"/>
  <c r="U1681" i="3"/>
  <c r="V1681" i="3"/>
  <c r="W1681" i="3"/>
  <c r="X1681" i="3"/>
  <c r="Y1681" i="3"/>
  <c r="Z1681" i="3"/>
  <c r="N1682" i="3"/>
  <c r="O1682" i="3"/>
  <c r="P1682" i="3"/>
  <c r="Q1682" i="3"/>
  <c r="R1682" i="3"/>
  <c r="S1682" i="3"/>
  <c r="T1682" i="3"/>
  <c r="U1682" i="3"/>
  <c r="V1682" i="3"/>
  <c r="W1682" i="3"/>
  <c r="X1682" i="3"/>
  <c r="Y1682" i="3"/>
  <c r="Z1682" i="3"/>
  <c r="N1683" i="3"/>
  <c r="O1683" i="3"/>
  <c r="P1683" i="3"/>
  <c r="Q1683" i="3"/>
  <c r="R1683" i="3"/>
  <c r="S1683" i="3"/>
  <c r="T1683" i="3"/>
  <c r="U1683" i="3"/>
  <c r="V1683" i="3"/>
  <c r="W1683" i="3"/>
  <c r="X1683" i="3"/>
  <c r="Y1683" i="3"/>
  <c r="Z1683" i="3"/>
  <c r="N1684" i="3"/>
  <c r="O1684" i="3"/>
  <c r="P1684" i="3"/>
  <c r="Q1684" i="3"/>
  <c r="R1684" i="3"/>
  <c r="S1684" i="3"/>
  <c r="T1684" i="3"/>
  <c r="U1684" i="3"/>
  <c r="V1684" i="3"/>
  <c r="W1684" i="3"/>
  <c r="X1684" i="3"/>
  <c r="Y1684" i="3"/>
  <c r="Z1684" i="3"/>
  <c r="N1685" i="3"/>
  <c r="O1685" i="3"/>
  <c r="P1685" i="3"/>
  <c r="Q1685" i="3"/>
  <c r="R1685" i="3"/>
  <c r="S1685" i="3"/>
  <c r="T1685" i="3"/>
  <c r="U1685" i="3"/>
  <c r="V1685" i="3"/>
  <c r="W1685" i="3"/>
  <c r="X1685" i="3"/>
  <c r="Y1685" i="3"/>
  <c r="Z1685" i="3"/>
  <c r="N1686" i="3"/>
  <c r="O1686" i="3"/>
  <c r="P1686" i="3"/>
  <c r="Q1686" i="3"/>
  <c r="R1686" i="3"/>
  <c r="S1686" i="3"/>
  <c r="T1686" i="3"/>
  <c r="U1686" i="3"/>
  <c r="V1686" i="3"/>
  <c r="W1686" i="3"/>
  <c r="X1686" i="3"/>
  <c r="Y1686" i="3"/>
  <c r="Z1686" i="3"/>
  <c r="N1687" i="3"/>
  <c r="O1687" i="3"/>
  <c r="P1687" i="3"/>
  <c r="Q1687" i="3"/>
  <c r="R1687" i="3"/>
  <c r="S1687" i="3"/>
  <c r="T1687" i="3"/>
  <c r="U1687" i="3"/>
  <c r="V1687" i="3"/>
  <c r="W1687" i="3"/>
  <c r="X1687" i="3"/>
  <c r="Y1687" i="3"/>
  <c r="Z1687" i="3"/>
  <c r="N1688" i="3"/>
  <c r="O1688" i="3"/>
  <c r="P1688" i="3"/>
  <c r="Q1688" i="3"/>
  <c r="R1688" i="3"/>
  <c r="S1688" i="3"/>
  <c r="T1688" i="3"/>
  <c r="U1688" i="3"/>
  <c r="V1688" i="3"/>
  <c r="W1688" i="3"/>
  <c r="X1688" i="3"/>
  <c r="Y1688" i="3"/>
  <c r="Z1688" i="3"/>
  <c r="N1689" i="3"/>
  <c r="O1689" i="3"/>
  <c r="P1689" i="3"/>
  <c r="Q1689" i="3"/>
  <c r="R1689" i="3"/>
  <c r="S1689" i="3"/>
  <c r="T1689" i="3"/>
  <c r="U1689" i="3"/>
  <c r="V1689" i="3"/>
  <c r="W1689" i="3"/>
  <c r="X1689" i="3"/>
  <c r="Y1689" i="3"/>
  <c r="Z1689" i="3"/>
  <c r="N1690" i="3"/>
  <c r="O1690" i="3"/>
  <c r="P1690" i="3"/>
  <c r="Q1690" i="3"/>
  <c r="R1690" i="3"/>
  <c r="S1690" i="3"/>
  <c r="T1690" i="3"/>
  <c r="U1690" i="3"/>
  <c r="V1690" i="3"/>
  <c r="W1690" i="3"/>
  <c r="X1690" i="3"/>
  <c r="Y1690" i="3"/>
  <c r="Z1690" i="3"/>
  <c r="N1691" i="3"/>
  <c r="O1691" i="3"/>
  <c r="P1691" i="3"/>
  <c r="Q1691" i="3"/>
  <c r="R1691" i="3"/>
  <c r="S1691" i="3"/>
  <c r="T1691" i="3"/>
  <c r="U1691" i="3"/>
  <c r="V1691" i="3"/>
  <c r="W1691" i="3"/>
  <c r="X1691" i="3"/>
  <c r="Y1691" i="3"/>
  <c r="Z1691" i="3"/>
  <c r="N1692" i="3"/>
  <c r="O1692" i="3"/>
  <c r="P1692" i="3"/>
  <c r="Q1692" i="3"/>
  <c r="R1692" i="3"/>
  <c r="S1692" i="3"/>
  <c r="T1692" i="3"/>
  <c r="U1692" i="3"/>
  <c r="V1692" i="3"/>
  <c r="W1692" i="3"/>
  <c r="X1692" i="3"/>
  <c r="Y1692" i="3"/>
  <c r="Z1692" i="3"/>
  <c r="N1693" i="3"/>
  <c r="O1693" i="3"/>
  <c r="P1693" i="3"/>
  <c r="Q1693" i="3"/>
  <c r="R1693" i="3"/>
  <c r="S1693" i="3"/>
  <c r="T1693" i="3"/>
  <c r="U1693" i="3"/>
  <c r="V1693" i="3"/>
  <c r="W1693" i="3"/>
  <c r="X1693" i="3"/>
  <c r="Y1693" i="3"/>
  <c r="Z1693" i="3"/>
  <c r="N1694" i="3"/>
  <c r="O1694" i="3"/>
  <c r="P1694" i="3"/>
  <c r="Q1694" i="3"/>
  <c r="R1694" i="3"/>
  <c r="S1694" i="3"/>
  <c r="T1694" i="3"/>
  <c r="U1694" i="3"/>
  <c r="V1694" i="3"/>
  <c r="W1694" i="3"/>
  <c r="X1694" i="3"/>
  <c r="Y1694" i="3"/>
  <c r="Z1694" i="3"/>
  <c r="N1695" i="3"/>
  <c r="O1695" i="3"/>
  <c r="P1695" i="3"/>
  <c r="Q1695" i="3"/>
  <c r="R1695" i="3"/>
  <c r="S1695" i="3"/>
  <c r="T1695" i="3"/>
  <c r="U1695" i="3"/>
  <c r="V1695" i="3"/>
  <c r="W1695" i="3"/>
  <c r="X1695" i="3"/>
  <c r="Y1695" i="3"/>
  <c r="Z1695" i="3"/>
  <c r="N1696" i="3"/>
  <c r="O1696" i="3"/>
  <c r="P1696" i="3"/>
  <c r="Q1696" i="3"/>
  <c r="S1696" i="3" s="1"/>
  <c r="R1696" i="3"/>
  <c r="T1696" i="3"/>
  <c r="U1696" i="3"/>
  <c r="V1696" i="3"/>
  <c r="W1696" i="3"/>
  <c r="X1696" i="3"/>
  <c r="Y1696" i="3"/>
  <c r="Z1696" i="3"/>
  <c r="N1697" i="3"/>
  <c r="O1697" i="3"/>
  <c r="U1697" i="3"/>
  <c r="W1697" i="3"/>
  <c r="X1697" i="3"/>
  <c r="Y1697" i="3"/>
  <c r="N1698" i="3"/>
  <c r="O1698" i="3"/>
  <c r="T1698" i="3"/>
  <c r="U1698" i="3"/>
  <c r="V1698" i="3"/>
  <c r="W1698" i="3"/>
  <c r="X1698" i="3"/>
  <c r="Y1698" i="3"/>
  <c r="N1699" i="3"/>
  <c r="O1699" i="3"/>
  <c r="V1699" i="3"/>
  <c r="W1699" i="3"/>
  <c r="X1699" i="3"/>
  <c r="Y1699" i="3"/>
  <c r="N1700" i="3"/>
  <c r="O1700" i="3"/>
  <c r="W1700" i="3" s="1"/>
  <c r="X1700" i="3"/>
  <c r="Y1700" i="3"/>
  <c r="N1701" i="3"/>
  <c r="O1701" i="3"/>
  <c r="W1701" i="3"/>
  <c r="X1701" i="3"/>
  <c r="Y1701" i="3"/>
  <c r="N1702" i="3"/>
  <c r="O1702" i="3"/>
  <c r="W1702" i="3" s="1"/>
  <c r="U1702" i="3"/>
  <c r="V1702" i="3"/>
  <c r="X1702" i="3"/>
  <c r="Y1702" i="3"/>
  <c r="N1703" i="3"/>
  <c r="O1703" i="3"/>
  <c r="U1703" i="3"/>
  <c r="V1703" i="3"/>
  <c r="W1703" i="3"/>
  <c r="X1703" i="3"/>
  <c r="Y1703" i="3"/>
  <c r="N1704" i="3"/>
  <c r="O1704" i="3"/>
  <c r="W1704" i="3" s="1"/>
  <c r="X1704" i="3"/>
  <c r="Y1704" i="3"/>
  <c r="N1705" i="3"/>
  <c r="O1705" i="3"/>
  <c r="W1705" i="3" s="1"/>
  <c r="T1705" i="3"/>
  <c r="U1705" i="3"/>
  <c r="V1705" i="3"/>
  <c r="X1705" i="3"/>
  <c r="Y1705" i="3"/>
  <c r="N1706" i="3"/>
  <c r="O1706" i="3"/>
  <c r="V1706" i="3"/>
  <c r="N1707" i="3"/>
  <c r="O1707" i="3"/>
  <c r="U1707" i="3"/>
  <c r="V1707" i="3"/>
  <c r="W1707" i="3"/>
  <c r="X1707" i="3"/>
  <c r="Y1707" i="3"/>
  <c r="N1708" i="3"/>
  <c r="O1708" i="3"/>
  <c r="P1708" i="3"/>
  <c r="Q1708" i="3"/>
  <c r="S1708" i="3" s="1"/>
  <c r="R1708" i="3"/>
  <c r="T1708" i="3"/>
  <c r="U1708" i="3"/>
  <c r="V1708" i="3"/>
  <c r="W1708" i="3"/>
  <c r="X1708" i="3"/>
  <c r="Y1708" i="3"/>
  <c r="Z1708" i="3"/>
  <c r="N1709" i="3"/>
  <c r="O1709" i="3"/>
  <c r="Y1709" i="3"/>
  <c r="N1710" i="3"/>
  <c r="O1710" i="3"/>
  <c r="V1710" i="3"/>
  <c r="W1710" i="3"/>
  <c r="X1710" i="3"/>
  <c r="Y1710" i="3"/>
  <c r="N1711" i="3"/>
  <c r="O1711" i="3"/>
  <c r="Q1711" i="3" s="1"/>
  <c r="P1711" i="3"/>
  <c r="R1711" i="3" s="1"/>
  <c r="T1711" i="3"/>
  <c r="U1711" i="3"/>
  <c r="V1711" i="3"/>
  <c r="W1711" i="3"/>
  <c r="X1711" i="3"/>
  <c r="Y1711" i="3"/>
  <c r="Z1711" i="3"/>
  <c r="N1712" i="3"/>
  <c r="O1712" i="3"/>
  <c r="W1712" i="3" s="1"/>
  <c r="X1712" i="3"/>
  <c r="Y1712" i="3"/>
  <c r="N1713" i="3"/>
  <c r="O1713" i="3"/>
  <c r="T1713" i="3"/>
  <c r="U1713" i="3"/>
  <c r="V1713" i="3"/>
  <c r="W1713" i="3"/>
  <c r="X1713" i="3"/>
  <c r="Y1713" i="3"/>
  <c r="N1714" i="3"/>
  <c r="O1714" i="3"/>
  <c r="U1714" i="3"/>
  <c r="V1714" i="3"/>
  <c r="X1714" i="3"/>
  <c r="N1715" i="3"/>
  <c r="O1715" i="3"/>
  <c r="Y1715" i="3"/>
  <c r="N1716" i="3"/>
  <c r="O1716" i="3"/>
  <c r="V1716" i="3"/>
  <c r="W1716" i="3"/>
  <c r="X1716" i="3"/>
  <c r="Y1716" i="3"/>
  <c r="N1717" i="3"/>
  <c r="Q1717" i="3" s="1"/>
  <c r="O1717" i="3"/>
  <c r="W1717" i="3" s="1"/>
  <c r="P1717" i="3"/>
  <c r="R1717" i="3" s="1"/>
  <c r="T1717" i="3"/>
  <c r="U1717" i="3"/>
  <c r="V1717" i="3"/>
  <c r="X1717" i="3"/>
  <c r="Y1717" i="3"/>
  <c r="Z1717" i="3"/>
  <c r="N1718" i="3"/>
  <c r="O1718" i="3"/>
  <c r="W1718" i="3"/>
  <c r="X1718" i="3"/>
  <c r="Y1718" i="3"/>
  <c r="N1719" i="3"/>
  <c r="O1719" i="3"/>
  <c r="U1719" i="3"/>
  <c r="V1719" i="3"/>
  <c r="W1719" i="3"/>
  <c r="X1719" i="3"/>
  <c r="Y1719" i="3"/>
  <c r="N1720" i="3"/>
  <c r="O1720" i="3"/>
  <c r="W1720" i="3"/>
  <c r="X1720" i="3"/>
  <c r="Y1720" i="3"/>
  <c r="N1721" i="3"/>
  <c r="O1721" i="3"/>
  <c r="N1722" i="3"/>
  <c r="O1722" i="3"/>
  <c r="P1722" i="3"/>
  <c r="Q1722" i="3"/>
  <c r="R1722" i="3"/>
  <c r="S1722" i="3"/>
  <c r="T1722" i="3"/>
  <c r="U1722" i="3"/>
  <c r="V1722" i="3"/>
  <c r="W1722" i="3"/>
  <c r="X1722" i="3"/>
  <c r="Y1722" i="3"/>
  <c r="Z1722" i="3"/>
  <c r="N1723" i="3"/>
  <c r="O1723" i="3"/>
  <c r="P1723" i="3"/>
  <c r="Q1723" i="3"/>
  <c r="R1723" i="3"/>
  <c r="S1723" i="3"/>
  <c r="T1723" i="3"/>
  <c r="U1723" i="3"/>
  <c r="V1723" i="3"/>
  <c r="W1723" i="3"/>
  <c r="X1723" i="3"/>
  <c r="Y1723" i="3"/>
  <c r="Z1723" i="3"/>
  <c r="N1724" i="3"/>
  <c r="O1724" i="3"/>
  <c r="P1724" i="3"/>
  <c r="Q1724" i="3"/>
  <c r="R1724" i="3"/>
  <c r="S1724" i="3"/>
  <c r="T1724" i="3"/>
  <c r="U1724" i="3"/>
  <c r="V1724" i="3"/>
  <c r="W1724" i="3"/>
  <c r="X1724" i="3"/>
  <c r="Y1724" i="3"/>
  <c r="Z1724" i="3"/>
  <c r="N1725" i="3"/>
  <c r="O1725" i="3"/>
  <c r="P1725" i="3"/>
  <c r="Q1725" i="3"/>
  <c r="R1725" i="3"/>
  <c r="S1725" i="3"/>
  <c r="T1725" i="3"/>
  <c r="U1725" i="3"/>
  <c r="V1725" i="3"/>
  <c r="W1725" i="3"/>
  <c r="X1725" i="3"/>
  <c r="Y1725" i="3"/>
  <c r="Z1725" i="3"/>
  <c r="N1726" i="3"/>
  <c r="O1726" i="3"/>
  <c r="P1726" i="3"/>
  <c r="Q1726" i="3"/>
  <c r="R1726" i="3"/>
  <c r="S1726" i="3"/>
  <c r="T1726" i="3"/>
  <c r="U1726" i="3"/>
  <c r="V1726" i="3"/>
  <c r="W1726" i="3"/>
  <c r="X1726" i="3"/>
  <c r="Y1726" i="3"/>
  <c r="Z1726" i="3"/>
  <c r="N1727" i="3"/>
  <c r="O1727" i="3"/>
  <c r="P1727" i="3"/>
  <c r="Q1727" i="3"/>
  <c r="R1727" i="3"/>
  <c r="S1727" i="3"/>
  <c r="T1727" i="3"/>
  <c r="U1727" i="3"/>
  <c r="V1727" i="3"/>
  <c r="W1727" i="3"/>
  <c r="X1727" i="3"/>
  <c r="Y1727" i="3"/>
  <c r="Z1727" i="3"/>
  <c r="N1728" i="3"/>
  <c r="O1728" i="3"/>
  <c r="P1728" i="3"/>
  <c r="Q1728" i="3"/>
  <c r="R1728" i="3"/>
  <c r="S1728" i="3"/>
  <c r="T1728" i="3"/>
  <c r="U1728" i="3"/>
  <c r="V1728" i="3"/>
  <c r="W1728" i="3"/>
  <c r="X1728" i="3"/>
  <c r="Y1728" i="3"/>
  <c r="Z1728" i="3"/>
  <c r="N1729" i="3"/>
  <c r="O1729" i="3"/>
  <c r="P1729" i="3"/>
  <c r="Q1729" i="3"/>
  <c r="R1729" i="3"/>
  <c r="S1729" i="3"/>
  <c r="T1729" i="3"/>
  <c r="U1729" i="3"/>
  <c r="V1729" i="3"/>
  <c r="W1729" i="3"/>
  <c r="X1729" i="3"/>
  <c r="Y1729" i="3"/>
  <c r="Z1729" i="3"/>
  <c r="N1730" i="3"/>
  <c r="O1730" i="3"/>
  <c r="P1730" i="3"/>
  <c r="Q1730" i="3"/>
  <c r="R1730" i="3"/>
  <c r="S1730" i="3"/>
  <c r="T1730" i="3"/>
  <c r="U1730" i="3"/>
  <c r="V1730" i="3"/>
  <c r="W1730" i="3"/>
  <c r="X1730" i="3"/>
  <c r="Y1730" i="3"/>
  <c r="Z1730" i="3"/>
  <c r="N1731" i="3"/>
  <c r="O1731" i="3"/>
  <c r="P1731" i="3"/>
  <c r="Q1731" i="3"/>
  <c r="R1731" i="3"/>
  <c r="S1731" i="3"/>
  <c r="T1731" i="3"/>
  <c r="U1731" i="3"/>
  <c r="V1731" i="3"/>
  <c r="W1731" i="3"/>
  <c r="X1731" i="3"/>
  <c r="Y1731" i="3"/>
  <c r="Z1731" i="3"/>
  <c r="N1732" i="3"/>
  <c r="O1732" i="3"/>
  <c r="P1732" i="3"/>
  <c r="Q1732" i="3"/>
  <c r="R1732" i="3"/>
  <c r="S1732" i="3"/>
  <c r="T1732" i="3"/>
  <c r="U1732" i="3"/>
  <c r="V1732" i="3"/>
  <c r="W1732" i="3"/>
  <c r="X1732" i="3"/>
  <c r="Y1732" i="3"/>
  <c r="Z1732" i="3"/>
  <c r="N1733" i="3"/>
  <c r="O1733" i="3"/>
  <c r="P1733" i="3"/>
  <c r="Q1733" i="3"/>
  <c r="R1733" i="3"/>
  <c r="S1733" i="3"/>
  <c r="T1733" i="3"/>
  <c r="U1733" i="3"/>
  <c r="V1733" i="3"/>
  <c r="W1733" i="3"/>
  <c r="X1733" i="3"/>
  <c r="Y1733" i="3"/>
  <c r="Z1733" i="3"/>
  <c r="N1734" i="3"/>
  <c r="O1734" i="3"/>
  <c r="P1734" i="3"/>
  <c r="Q1734" i="3"/>
  <c r="R1734" i="3"/>
  <c r="S1734" i="3"/>
  <c r="T1734" i="3"/>
  <c r="U1734" i="3"/>
  <c r="V1734" i="3"/>
  <c r="W1734" i="3"/>
  <c r="X1734" i="3"/>
  <c r="Y1734" i="3"/>
  <c r="Z1734" i="3"/>
  <c r="N1735" i="3"/>
  <c r="O1735" i="3"/>
  <c r="P1735" i="3"/>
  <c r="Q1735" i="3"/>
  <c r="R1735" i="3"/>
  <c r="S1735" i="3"/>
  <c r="T1735" i="3"/>
  <c r="U1735" i="3"/>
  <c r="V1735" i="3"/>
  <c r="W1735" i="3"/>
  <c r="X1735" i="3"/>
  <c r="Y1735" i="3"/>
  <c r="Z1735" i="3"/>
  <c r="N1736" i="3"/>
  <c r="O1736" i="3"/>
  <c r="P1736" i="3"/>
  <c r="Q1736" i="3"/>
  <c r="R1736" i="3"/>
  <c r="S1736" i="3"/>
  <c r="T1736" i="3"/>
  <c r="U1736" i="3"/>
  <c r="V1736" i="3"/>
  <c r="W1736" i="3"/>
  <c r="X1736" i="3"/>
  <c r="Y1736" i="3"/>
  <c r="Z1736" i="3"/>
  <c r="N1737" i="3"/>
  <c r="O1737" i="3"/>
  <c r="P1737" i="3"/>
  <c r="Q1737" i="3"/>
  <c r="R1737" i="3"/>
  <c r="S1737" i="3"/>
  <c r="T1737" i="3"/>
  <c r="U1737" i="3"/>
  <c r="V1737" i="3"/>
  <c r="W1737" i="3"/>
  <c r="X1737" i="3"/>
  <c r="Y1737" i="3"/>
  <c r="Z1737" i="3"/>
  <c r="N1738" i="3"/>
  <c r="O1738" i="3"/>
  <c r="P1738" i="3"/>
  <c r="Q1738" i="3"/>
  <c r="R1738" i="3"/>
  <c r="S1738" i="3"/>
  <c r="T1738" i="3"/>
  <c r="U1738" i="3"/>
  <c r="V1738" i="3"/>
  <c r="W1738" i="3"/>
  <c r="X1738" i="3"/>
  <c r="Y1738" i="3"/>
  <c r="Z1738" i="3"/>
  <c r="N1739" i="3"/>
  <c r="O1739" i="3"/>
  <c r="P1739" i="3"/>
  <c r="Q1739" i="3"/>
  <c r="R1739" i="3"/>
  <c r="S1739" i="3"/>
  <c r="T1739" i="3"/>
  <c r="U1739" i="3"/>
  <c r="V1739" i="3"/>
  <c r="W1739" i="3"/>
  <c r="X1739" i="3"/>
  <c r="Y1739" i="3"/>
  <c r="Z1739" i="3"/>
  <c r="N1740" i="3"/>
  <c r="O1740" i="3"/>
  <c r="P1740" i="3"/>
  <c r="Q1740" i="3"/>
  <c r="R1740" i="3"/>
  <c r="S1740" i="3"/>
  <c r="T1740" i="3"/>
  <c r="U1740" i="3"/>
  <c r="V1740" i="3"/>
  <c r="W1740" i="3"/>
  <c r="X1740" i="3"/>
  <c r="Y1740" i="3"/>
  <c r="Z1740" i="3"/>
  <c r="N1741" i="3"/>
  <c r="O1741" i="3"/>
  <c r="P1741" i="3"/>
  <c r="Q1741" i="3"/>
  <c r="R1741" i="3"/>
  <c r="S1741" i="3"/>
  <c r="T1741" i="3"/>
  <c r="U1741" i="3"/>
  <c r="V1741" i="3"/>
  <c r="W1741" i="3"/>
  <c r="X1741" i="3"/>
  <c r="Y1741" i="3"/>
  <c r="Z1741" i="3"/>
  <c r="N1742" i="3"/>
  <c r="O1742" i="3"/>
  <c r="P1742" i="3"/>
  <c r="Q1742" i="3"/>
  <c r="R1742" i="3"/>
  <c r="S1742" i="3"/>
  <c r="T1742" i="3"/>
  <c r="U1742" i="3"/>
  <c r="V1742" i="3"/>
  <c r="W1742" i="3"/>
  <c r="X1742" i="3"/>
  <c r="Y1742" i="3"/>
  <c r="Z1742" i="3"/>
  <c r="N1743" i="3"/>
  <c r="O1743" i="3"/>
  <c r="P1743" i="3"/>
  <c r="Q1743" i="3"/>
  <c r="R1743" i="3"/>
  <c r="S1743" i="3"/>
  <c r="T1743" i="3"/>
  <c r="U1743" i="3"/>
  <c r="V1743" i="3"/>
  <c r="W1743" i="3"/>
  <c r="X1743" i="3"/>
  <c r="Y1743" i="3"/>
  <c r="Z1743" i="3"/>
  <c r="N1744" i="3"/>
  <c r="O1744" i="3"/>
  <c r="P1744" i="3"/>
  <c r="Q1744" i="3"/>
  <c r="R1744" i="3"/>
  <c r="S1744" i="3"/>
  <c r="T1744" i="3"/>
  <c r="U1744" i="3"/>
  <c r="V1744" i="3"/>
  <c r="W1744" i="3"/>
  <c r="X1744" i="3"/>
  <c r="Y1744" i="3"/>
  <c r="Z1744" i="3"/>
  <c r="N1745" i="3"/>
  <c r="O1745" i="3"/>
  <c r="P1745" i="3"/>
  <c r="Q1745" i="3"/>
  <c r="R1745" i="3"/>
  <c r="S1745" i="3"/>
  <c r="T1745" i="3"/>
  <c r="U1745" i="3"/>
  <c r="V1745" i="3"/>
  <c r="W1745" i="3"/>
  <c r="X1745" i="3"/>
  <c r="Y1745" i="3"/>
  <c r="Z1745" i="3"/>
  <c r="N1746" i="3"/>
  <c r="O1746" i="3"/>
  <c r="P1746" i="3"/>
  <c r="Q1746" i="3"/>
  <c r="R1746" i="3"/>
  <c r="S1746" i="3"/>
  <c r="T1746" i="3"/>
  <c r="U1746" i="3"/>
  <c r="V1746" i="3"/>
  <c r="W1746" i="3"/>
  <c r="X1746" i="3"/>
  <c r="Y1746" i="3"/>
  <c r="Z1746" i="3"/>
  <c r="N1747" i="3"/>
  <c r="O1747" i="3"/>
  <c r="P1747" i="3"/>
  <c r="Q1747" i="3"/>
  <c r="R1747" i="3"/>
  <c r="S1747" i="3"/>
  <c r="T1747" i="3"/>
  <c r="U1747" i="3"/>
  <c r="V1747" i="3"/>
  <c r="W1747" i="3"/>
  <c r="X1747" i="3"/>
  <c r="Y1747" i="3"/>
  <c r="Z1747" i="3"/>
  <c r="N1748" i="3"/>
  <c r="O1748" i="3"/>
  <c r="P1748" i="3"/>
  <c r="Q1748" i="3"/>
  <c r="R1748" i="3"/>
  <c r="S1748" i="3"/>
  <c r="T1748" i="3"/>
  <c r="U1748" i="3"/>
  <c r="V1748" i="3"/>
  <c r="W1748" i="3"/>
  <c r="X1748" i="3"/>
  <c r="Y1748" i="3"/>
  <c r="Z1748" i="3"/>
  <c r="N1749" i="3"/>
  <c r="O1749" i="3"/>
  <c r="P1749" i="3"/>
  <c r="Q1749" i="3"/>
  <c r="R1749" i="3"/>
  <c r="S1749" i="3"/>
  <c r="T1749" i="3"/>
  <c r="U1749" i="3"/>
  <c r="V1749" i="3"/>
  <c r="W1749" i="3"/>
  <c r="X1749" i="3"/>
  <c r="Y1749" i="3"/>
  <c r="Z1749" i="3"/>
  <c r="N1750" i="3"/>
  <c r="O1750" i="3"/>
  <c r="P1750" i="3"/>
  <c r="Q1750" i="3"/>
  <c r="R1750" i="3"/>
  <c r="S1750" i="3"/>
  <c r="T1750" i="3"/>
  <c r="U1750" i="3"/>
  <c r="V1750" i="3"/>
  <c r="W1750" i="3"/>
  <c r="X1750" i="3"/>
  <c r="Y1750" i="3"/>
  <c r="Z1750" i="3"/>
  <c r="N1751" i="3"/>
  <c r="O1751" i="3"/>
  <c r="P1751" i="3"/>
  <c r="Q1751" i="3"/>
  <c r="R1751" i="3"/>
  <c r="S1751" i="3"/>
  <c r="T1751" i="3"/>
  <c r="U1751" i="3"/>
  <c r="V1751" i="3"/>
  <c r="W1751" i="3"/>
  <c r="X1751" i="3"/>
  <c r="Y1751" i="3"/>
  <c r="Z1751" i="3"/>
  <c r="N1752" i="3"/>
  <c r="O1752" i="3"/>
  <c r="P1752" i="3"/>
  <c r="Q1752" i="3"/>
  <c r="R1752" i="3"/>
  <c r="S1752" i="3"/>
  <c r="T1752" i="3"/>
  <c r="U1752" i="3"/>
  <c r="V1752" i="3"/>
  <c r="W1752" i="3"/>
  <c r="X1752" i="3"/>
  <c r="Y1752" i="3"/>
  <c r="Z1752" i="3"/>
  <c r="N1753" i="3"/>
  <c r="O1753" i="3"/>
  <c r="P1753" i="3"/>
  <c r="Q1753" i="3"/>
  <c r="R1753" i="3"/>
  <c r="S1753" i="3"/>
  <c r="T1753" i="3"/>
  <c r="U1753" i="3"/>
  <c r="V1753" i="3"/>
  <c r="W1753" i="3"/>
  <c r="X1753" i="3"/>
  <c r="Y1753" i="3"/>
  <c r="Z1753" i="3"/>
  <c r="N1754" i="3"/>
  <c r="O1754" i="3"/>
  <c r="P1754" i="3"/>
  <c r="Q1754" i="3"/>
  <c r="R1754" i="3"/>
  <c r="S1754" i="3"/>
  <c r="T1754" i="3"/>
  <c r="U1754" i="3"/>
  <c r="V1754" i="3"/>
  <c r="W1754" i="3"/>
  <c r="X1754" i="3"/>
  <c r="Y1754" i="3"/>
  <c r="Z1754" i="3"/>
  <c r="N1755" i="3"/>
  <c r="O1755" i="3"/>
  <c r="P1755" i="3"/>
  <c r="Q1755" i="3"/>
  <c r="R1755" i="3"/>
  <c r="S1755" i="3"/>
  <c r="T1755" i="3"/>
  <c r="U1755" i="3"/>
  <c r="V1755" i="3"/>
  <c r="W1755" i="3"/>
  <c r="X1755" i="3"/>
  <c r="Y1755" i="3"/>
  <c r="Z1755" i="3"/>
  <c r="N1756" i="3"/>
  <c r="O1756" i="3"/>
  <c r="P1756" i="3"/>
  <c r="Q1756" i="3"/>
  <c r="R1756" i="3"/>
  <c r="S1756" i="3"/>
  <c r="T1756" i="3"/>
  <c r="U1756" i="3"/>
  <c r="V1756" i="3"/>
  <c r="W1756" i="3"/>
  <c r="X1756" i="3"/>
  <c r="Y1756" i="3"/>
  <c r="Z1756" i="3"/>
  <c r="N1757" i="3"/>
  <c r="O1757" i="3"/>
  <c r="P1757" i="3"/>
  <c r="Q1757" i="3"/>
  <c r="R1757" i="3"/>
  <c r="S1757" i="3"/>
  <c r="T1757" i="3"/>
  <c r="U1757" i="3"/>
  <c r="V1757" i="3"/>
  <c r="W1757" i="3"/>
  <c r="X1757" i="3"/>
  <c r="Y1757" i="3"/>
  <c r="Z1757" i="3"/>
  <c r="N1758" i="3"/>
  <c r="O1758" i="3"/>
  <c r="P1758" i="3"/>
  <c r="Q1758" i="3"/>
  <c r="R1758" i="3"/>
  <c r="S1758" i="3"/>
  <c r="T1758" i="3"/>
  <c r="U1758" i="3"/>
  <c r="V1758" i="3"/>
  <c r="W1758" i="3"/>
  <c r="X1758" i="3"/>
  <c r="Y1758" i="3"/>
  <c r="Z1758" i="3"/>
  <c r="N1759" i="3"/>
  <c r="O1759" i="3"/>
  <c r="P1759" i="3"/>
  <c r="Q1759" i="3"/>
  <c r="R1759" i="3"/>
  <c r="S1759" i="3"/>
  <c r="T1759" i="3"/>
  <c r="U1759" i="3"/>
  <c r="V1759" i="3"/>
  <c r="W1759" i="3"/>
  <c r="X1759" i="3"/>
  <c r="Y1759" i="3"/>
  <c r="Z1759" i="3"/>
  <c r="N1760" i="3"/>
  <c r="O1760" i="3"/>
  <c r="P1760" i="3"/>
  <c r="Q1760" i="3"/>
  <c r="R1760" i="3"/>
  <c r="S1760" i="3"/>
  <c r="T1760" i="3"/>
  <c r="U1760" i="3"/>
  <c r="V1760" i="3"/>
  <c r="W1760" i="3"/>
  <c r="X1760" i="3"/>
  <c r="Y1760" i="3"/>
  <c r="Z1760" i="3"/>
  <c r="N1761" i="3"/>
  <c r="O1761" i="3"/>
  <c r="P1761" i="3"/>
  <c r="Q1761" i="3"/>
  <c r="R1761" i="3"/>
  <c r="S1761" i="3"/>
  <c r="T1761" i="3"/>
  <c r="U1761" i="3"/>
  <c r="V1761" i="3"/>
  <c r="W1761" i="3"/>
  <c r="X1761" i="3"/>
  <c r="Y1761" i="3"/>
  <c r="Z1761" i="3"/>
  <c r="N1762" i="3"/>
  <c r="O1762" i="3"/>
  <c r="P1762" i="3"/>
  <c r="Q1762" i="3"/>
  <c r="R1762" i="3"/>
  <c r="S1762" i="3"/>
  <c r="T1762" i="3"/>
  <c r="U1762" i="3"/>
  <c r="V1762" i="3"/>
  <c r="W1762" i="3"/>
  <c r="X1762" i="3"/>
  <c r="Y1762" i="3"/>
  <c r="Z1762" i="3"/>
  <c r="N1763" i="3"/>
  <c r="O1763" i="3"/>
  <c r="P1763" i="3"/>
  <c r="Q1763" i="3"/>
  <c r="R1763" i="3"/>
  <c r="S1763" i="3"/>
  <c r="T1763" i="3"/>
  <c r="U1763" i="3"/>
  <c r="V1763" i="3"/>
  <c r="W1763" i="3"/>
  <c r="X1763" i="3"/>
  <c r="Y1763" i="3"/>
  <c r="Z1763" i="3"/>
  <c r="N1764" i="3"/>
  <c r="O1764" i="3"/>
  <c r="P1764" i="3"/>
  <c r="Q1764" i="3"/>
  <c r="R1764" i="3"/>
  <c r="S1764" i="3"/>
  <c r="T1764" i="3"/>
  <c r="U1764" i="3"/>
  <c r="V1764" i="3"/>
  <c r="W1764" i="3"/>
  <c r="X1764" i="3"/>
  <c r="Y1764" i="3"/>
  <c r="Z1764" i="3"/>
  <c r="N1765" i="3"/>
  <c r="O1765" i="3"/>
  <c r="P1765" i="3"/>
  <c r="Q1765" i="3"/>
  <c r="R1765" i="3"/>
  <c r="S1765" i="3"/>
  <c r="T1765" i="3"/>
  <c r="U1765" i="3"/>
  <c r="V1765" i="3"/>
  <c r="W1765" i="3"/>
  <c r="X1765" i="3"/>
  <c r="Y1765" i="3"/>
  <c r="Z1765" i="3"/>
  <c r="N1766" i="3"/>
  <c r="O1766" i="3"/>
  <c r="P1766" i="3"/>
  <c r="Q1766" i="3"/>
  <c r="R1766" i="3"/>
  <c r="S1766" i="3"/>
  <c r="T1766" i="3"/>
  <c r="U1766" i="3"/>
  <c r="V1766" i="3"/>
  <c r="W1766" i="3"/>
  <c r="X1766" i="3"/>
  <c r="Y1766" i="3"/>
  <c r="Z1766" i="3"/>
  <c r="N1767" i="3"/>
  <c r="O1767" i="3"/>
  <c r="P1767" i="3"/>
  <c r="Q1767" i="3"/>
  <c r="R1767" i="3"/>
  <c r="S1767" i="3"/>
  <c r="T1767" i="3"/>
  <c r="U1767" i="3"/>
  <c r="V1767" i="3"/>
  <c r="W1767" i="3"/>
  <c r="X1767" i="3"/>
  <c r="Y1767" i="3"/>
  <c r="Z1767" i="3"/>
  <c r="N1768" i="3"/>
  <c r="O1768" i="3"/>
  <c r="P1768" i="3"/>
  <c r="Q1768" i="3"/>
  <c r="R1768" i="3"/>
  <c r="S1768" i="3"/>
  <c r="T1768" i="3"/>
  <c r="U1768" i="3"/>
  <c r="V1768" i="3"/>
  <c r="W1768" i="3"/>
  <c r="X1768" i="3"/>
  <c r="Y1768" i="3"/>
  <c r="Z1768" i="3"/>
  <c r="N1769" i="3"/>
  <c r="O1769" i="3"/>
  <c r="P1769" i="3"/>
  <c r="Q1769" i="3"/>
  <c r="R1769" i="3"/>
  <c r="S1769" i="3"/>
  <c r="T1769" i="3"/>
  <c r="U1769" i="3"/>
  <c r="V1769" i="3"/>
  <c r="W1769" i="3"/>
  <c r="X1769" i="3"/>
  <c r="Y1769" i="3"/>
  <c r="Z1769" i="3"/>
  <c r="N1770" i="3"/>
  <c r="O1770" i="3"/>
  <c r="P1770" i="3"/>
  <c r="Q1770" i="3"/>
  <c r="R1770" i="3"/>
  <c r="S1770" i="3"/>
  <c r="T1770" i="3"/>
  <c r="U1770" i="3"/>
  <c r="V1770" i="3"/>
  <c r="W1770" i="3"/>
  <c r="X1770" i="3"/>
  <c r="Y1770" i="3"/>
  <c r="Z1770" i="3"/>
  <c r="N1771" i="3"/>
  <c r="O1771" i="3"/>
  <c r="P1771" i="3"/>
  <c r="Q1771" i="3"/>
  <c r="R1771" i="3"/>
  <c r="S1771" i="3"/>
  <c r="T1771" i="3"/>
  <c r="U1771" i="3"/>
  <c r="V1771" i="3"/>
  <c r="W1771" i="3"/>
  <c r="X1771" i="3"/>
  <c r="Y1771" i="3"/>
  <c r="Z1771" i="3"/>
  <c r="N1772" i="3"/>
  <c r="O1772" i="3"/>
  <c r="P1772" i="3"/>
  <c r="Q1772" i="3"/>
  <c r="R1772" i="3"/>
  <c r="S1772" i="3"/>
  <c r="T1772" i="3"/>
  <c r="U1772" i="3"/>
  <c r="V1772" i="3"/>
  <c r="W1772" i="3"/>
  <c r="X1772" i="3"/>
  <c r="Y1772" i="3"/>
  <c r="Z1772" i="3"/>
  <c r="N1773" i="3"/>
  <c r="O1773" i="3"/>
  <c r="P1773" i="3"/>
  <c r="Q1773" i="3"/>
  <c r="R1773" i="3"/>
  <c r="S1773" i="3"/>
  <c r="T1773" i="3"/>
  <c r="U1773" i="3"/>
  <c r="V1773" i="3"/>
  <c r="W1773" i="3"/>
  <c r="X1773" i="3"/>
  <c r="Y1773" i="3"/>
  <c r="Z1773" i="3"/>
  <c r="N1774" i="3"/>
  <c r="O1774" i="3"/>
  <c r="P1774" i="3"/>
  <c r="Q1774" i="3"/>
  <c r="R1774" i="3"/>
  <c r="S1774" i="3"/>
  <c r="T1774" i="3"/>
  <c r="U1774" i="3"/>
  <c r="V1774" i="3"/>
  <c r="W1774" i="3"/>
  <c r="X1774" i="3"/>
  <c r="Y1774" i="3"/>
  <c r="Z1774" i="3"/>
  <c r="N1775" i="3"/>
  <c r="O1775" i="3"/>
  <c r="P1775" i="3"/>
  <c r="Q1775" i="3"/>
  <c r="R1775" i="3"/>
  <c r="S1775" i="3"/>
  <c r="T1775" i="3"/>
  <c r="U1775" i="3"/>
  <c r="V1775" i="3"/>
  <c r="W1775" i="3"/>
  <c r="X1775" i="3"/>
  <c r="Y1775" i="3"/>
  <c r="Z1775" i="3"/>
  <c r="N1776" i="3"/>
  <c r="O1776" i="3"/>
  <c r="P1776" i="3"/>
  <c r="Q1776" i="3"/>
  <c r="R1776" i="3"/>
  <c r="S1776" i="3"/>
  <c r="T1776" i="3"/>
  <c r="U1776" i="3"/>
  <c r="V1776" i="3"/>
  <c r="W1776" i="3"/>
  <c r="X1776" i="3"/>
  <c r="Y1776" i="3"/>
  <c r="Z1776" i="3"/>
  <c r="N1777" i="3"/>
  <c r="O1777" i="3"/>
  <c r="P1777" i="3"/>
  <c r="Q1777" i="3"/>
  <c r="R1777" i="3"/>
  <c r="S1777" i="3"/>
  <c r="T1777" i="3"/>
  <c r="U1777" i="3"/>
  <c r="V1777" i="3"/>
  <c r="W1777" i="3"/>
  <c r="X1777" i="3"/>
  <c r="Y1777" i="3"/>
  <c r="Z1777" i="3"/>
  <c r="N1778" i="3"/>
  <c r="O1778" i="3"/>
  <c r="P1778" i="3"/>
  <c r="Q1778" i="3"/>
  <c r="R1778" i="3"/>
  <c r="S1778" i="3"/>
  <c r="T1778" i="3"/>
  <c r="U1778" i="3"/>
  <c r="V1778" i="3"/>
  <c r="W1778" i="3"/>
  <c r="X1778" i="3"/>
  <c r="Y1778" i="3"/>
  <c r="Z1778" i="3"/>
  <c r="N1779" i="3"/>
  <c r="O1779" i="3"/>
  <c r="P1779" i="3"/>
  <c r="Q1779" i="3"/>
  <c r="R1779" i="3"/>
  <c r="S1779" i="3"/>
  <c r="T1779" i="3"/>
  <c r="U1779" i="3"/>
  <c r="V1779" i="3"/>
  <c r="W1779" i="3"/>
  <c r="X1779" i="3"/>
  <c r="Y1779" i="3"/>
  <c r="Z1779" i="3"/>
  <c r="N1780" i="3"/>
  <c r="O1780" i="3"/>
  <c r="P1780" i="3"/>
  <c r="Q1780" i="3"/>
  <c r="R1780" i="3"/>
  <c r="S1780" i="3"/>
  <c r="T1780" i="3"/>
  <c r="U1780" i="3"/>
  <c r="V1780" i="3"/>
  <c r="W1780" i="3"/>
  <c r="X1780" i="3"/>
  <c r="Y1780" i="3"/>
  <c r="Z1780" i="3"/>
  <c r="N1781" i="3"/>
  <c r="O1781" i="3"/>
  <c r="P1781" i="3"/>
  <c r="Q1781" i="3"/>
  <c r="R1781" i="3"/>
  <c r="S1781" i="3"/>
  <c r="T1781" i="3"/>
  <c r="U1781" i="3"/>
  <c r="V1781" i="3"/>
  <c r="W1781" i="3"/>
  <c r="X1781" i="3"/>
  <c r="Y1781" i="3"/>
  <c r="Z1781" i="3"/>
  <c r="N1782" i="3"/>
  <c r="O1782" i="3"/>
  <c r="P1782" i="3"/>
  <c r="Q1782" i="3"/>
  <c r="R1782" i="3"/>
  <c r="S1782" i="3"/>
  <c r="T1782" i="3"/>
  <c r="U1782" i="3"/>
  <c r="V1782" i="3"/>
  <c r="W1782" i="3"/>
  <c r="X1782" i="3"/>
  <c r="Y1782" i="3"/>
  <c r="Z1782" i="3"/>
  <c r="N1783" i="3"/>
  <c r="O1783" i="3"/>
  <c r="P1783" i="3"/>
  <c r="Q1783" i="3"/>
  <c r="R1783" i="3"/>
  <c r="S1783" i="3"/>
  <c r="T1783" i="3"/>
  <c r="U1783" i="3"/>
  <c r="V1783" i="3"/>
  <c r="W1783" i="3"/>
  <c r="X1783" i="3"/>
  <c r="Y1783" i="3"/>
  <c r="Z1783" i="3"/>
  <c r="N1784" i="3"/>
  <c r="O1784" i="3"/>
  <c r="P1784" i="3"/>
  <c r="Q1784" i="3"/>
  <c r="R1784" i="3"/>
  <c r="S1784" i="3"/>
  <c r="T1784" i="3"/>
  <c r="U1784" i="3"/>
  <c r="V1784" i="3"/>
  <c r="W1784" i="3"/>
  <c r="X1784" i="3"/>
  <c r="Y1784" i="3"/>
  <c r="Z1784" i="3"/>
  <c r="N1785" i="3"/>
  <c r="O1785" i="3"/>
  <c r="P1785" i="3"/>
  <c r="Q1785" i="3"/>
  <c r="R1785" i="3"/>
  <c r="S1785" i="3"/>
  <c r="T1785" i="3"/>
  <c r="U1785" i="3"/>
  <c r="V1785" i="3"/>
  <c r="W1785" i="3"/>
  <c r="X1785" i="3"/>
  <c r="Y1785" i="3"/>
  <c r="Z1785" i="3"/>
  <c r="N1786" i="3"/>
  <c r="O1786" i="3"/>
  <c r="P1786" i="3"/>
  <c r="Q1786" i="3"/>
  <c r="R1786" i="3"/>
  <c r="S1786" i="3"/>
  <c r="T1786" i="3"/>
  <c r="U1786" i="3"/>
  <c r="V1786" i="3"/>
  <c r="W1786" i="3"/>
  <c r="X1786" i="3"/>
  <c r="Y1786" i="3"/>
  <c r="Z1786" i="3"/>
  <c r="N1787" i="3"/>
  <c r="O1787" i="3"/>
  <c r="P1787" i="3"/>
  <c r="Q1787" i="3"/>
  <c r="R1787" i="3"/>
  <c r="S1787" i="3"/>
  <c r="T1787" i="3"/>
  <c r="U1787" i="3"/>
  <c r="V1787" i="3"/>
  <c r="W1787" i="3"/>
  <c r="X1787" i="3"/>
  <c r="Y1787" i="3"/>
  <c r="Z1787" i="3"/>
  <c r="N1788" i="3"/>
  <c r="O1788" i="3"/>
  <c r="P1788" i="3"/>
  <c r="Q1788" i="3"/>
  <c r="R1788" i="3"/>
  <c r="S1788" i="3"/>
  <c r="T1788" i="3"/>
  <c r="U1788" i="3"/>
  <c r="V1788" i="3"/>
  <c r="W1788" i="3"/>
  <c r="X1788" i="3"/>
  <c r="Y1788" i="3"/>
  <c r="Z1788" i="3"/>
  <c r="N1789" i="3"/>
  <c r="O1789" i="3"/>
  <c r="P1789" i="3"/>
  <c r="Q1789" i="3"/>
  <c r="R1789" i="3"/>
  <c r="S1789" i="3"/>
  <c r="T1789" i="3"/>
  <c r="U1789" i="3"/>
  <c r="V1789" i="3"/>
  <c r="W1789" i="3"/>
  <c r="X1789" i="3"/>
  <c r="Y1789" i="3"/>
  <c r="Z1789" i="3"/>
  <c r="N1790" i="3"/>
  <c r="O1790" i="3"/>
  <c r="P1790" i="3"/>
  <c r="Q1790" i="3"/>
  <c r="R1790" i="3"/>
  <c r="S1790" i="3"/>
  <c r="T1790" i="3"/>
  <c r="U1790" i="3"/>
  <c r="V1790" i="3"/>
  <c r="W1790" i="3"/>
  <c r="X1790" i="3"/>
  <c r="Y1790" i="3"/>
  <c r="Z1790" i="3"/>
  <c r="N1791" i="3"/>
  <c r="O1791" i="3"/>
  <c r="P1791" i="3"/>
  <c r="Q1791" i="3"/>
  <c r="R1791" i="3"/>
  <c r="S1791" i="3"/>
  <c r="T1791" i="3"/>
  <c r="U1791" i="3"/>
  <c r="V1791" i="3"/>
  <c r="W1791" i="3"/>
  <c r="X1791" i="3"/>
  <c r="Y1791" i="3"/>
  <c r="Z1791" i="3"/>
  <c r="N1792" i="3"/>
  <c r="O1792" i="3"/>
  <c r="P1792" i="3"/>
  <c r="Q1792" i="3"/>
  <c r="R1792" i="3"/>
  <c r="S1792" i="3"/>
  <c r="T1792" i="3"/>
  <c r="U1792" i="3"/>
  <c r="V1792" i="3"/>
  <c r="W1792" i="3"/>
  <c r="X1792" i="3"/>
  <c r="Y1792" i="3"/>
  <c r="Z1792" i="3"/>
  <c r="N1793" i="3"/>
  <c r="O1793" i="3"/>
  <c r="P1793" i="3"/>
  <c r="Q1793" i="3"/>
  <c r="R1793" i="3"/>
  <c r="S1793" i="3"/>
  <c r="T1793" i="3"/>
  <c r="U1793" i="3"/>
  <c r="V1793" i="3"/>
  <c r="W1793" i="3"/>
  <c r="X1793" i="3"/>
  <c r="Y1793" i="3"/>
  <c r="Z1793" i="3"/>
  <c r="N1794" i="3"/>
  <c r="O1794" i="3"/>
  <c r="P1794" i="3"/>
  <c r="Q1794" i="3"/>
  <c r="R1794" i="3"/>
  <c r="S1794" i="3"/>
  <c r="T1794" i="3"/>
  <c r="U1794" i="3"/>
  <c r="V1794" i="3"/>
  <c r="W1794" i="3"/>
  <c r="X1794" i="3"/>
  <c r="Y1794" i="3"/>
  <c r="Z1794" i="3"/>
  <c r="N1795" i="3"/>
  <c r="O1795" i="3"/>
  <c r="P1795" i="3"/>
  <c r="Q1795" i="3"/>
  <c r="R1795" i="3"/>
  <c r="S1795" i="3"/>
  <c r="T1795" i="3"/>
  <c r="U1795" i="3"/>
  <c r="V1795" i="3"/>
  <c r="W1795" i="3"/>
  <c r="X1795" i="3"/>
  <c r="Y1795" i="3"/>
  <c r="Z1795" i="3"/>
  <c r="N1796" i="3"/>
  <c r="O1796" i="3"/>
  <c r="P1796" i="3"/>
  <c r="Q1796" i="3"/>
  <c r="R1796" i="3"/>
  <c r="S1796" i="3"/>
  <c r="T1796" i="3"/>
  <c r="U1796" i="3"/>
  <c r="V1796" i="3"/>
  <c r="W1796" i="3"/>
  <c r="X1796" i="3"/>
  <c r="Y1796" i="3"/>
  <c r="Z1796" i="3"/>
  <c r="N1797" i="3"/>
  <c r="O1797" i="3"/>
  <c r="P1797" i="3"/>
  <c r="Q1797" i="3"/>
  <c r="R1797" i="3"/>
  <c r="S1797" i="3"/>
  <c r="T1797" i="3"/>
  <c r="U1797" i="3"/>
  <c r="V1797" i="3"/>
  <c r="W1797" i="3"/>
  <c r="X1797" i="3"/>
  <c r="Y1797" i="3"/>
  <c r="Z1797" i="3"/>
  <c r="N1798" i="3"/>
  <c r="O1798" i="3"/>
  <c r="P1798" i="3"/>
  <c r="Q1798" i="3"/>
  <c r="R1798" i="3"/>
  <c r="S1798" i="3"/>
  <c r="T1798" i="3"/>
  <c r="U1798" i="3"/>
  <c r="V1798" i="3"/>
  <c r="W1798" i="3"/>
  <c r="X1798" i="3"/>
  <c r="Y1798" i="3"/>
  <c r="Z1798" i="3"/>
  <c r="N1799" i="3"/>
  <c r="O1799" i="3"/>
  <c r="P1799" i="3"/>
  <c r="Q1799" i="3"/>
  <c r="R1799" i="3"/>
  <c r="S1799" i="3"/>
  <c r="T1799" i="3"/>
  <c r="U1799" i="3"/>
  <c r="V1799" i="3"/>
  <c r="W1799" i="3"/>
  <c r="X1799" i="3"/>
  <c r="Y1799" i="3"/>
  <c r="Z1799" i="3"/>
  <c r="N1800" i="3"/>
  <c r="O1800" i="3"/>
  <c r="P1800" i="3"/>
  <c r="Q1800" i="3"/>
  <c r="R1800" i="3"/>
  <c r="S1800" i="3"/>
  <c r="T1800" i="3"/>
  <c r="U1800" i="3"/>
  <c r="V1800" i="3"/>
  <c r="W1800" i="3"/>
  <c r="X1800" i="3"/>
  <c r="Y1800" i="3"/>
  <c r="Z1800" i="3"/>
  <c r="N1801" i="3"/>
  <c r="O1801" i="3"/>
  <c r="P1801" i="3"/>
  <c r="Q1801" i="3"/>
  <c r="R1801" i="3"/>
  <c r="S1801" i="3"/>
  <c r="T1801" i="3"/>
  <c r="U1801" i="3"/>
  <c r="V1801" i="3"/>
  <c r="W1801" i="3"/>
  <c r="X1801" i="3"/>
  <c r="Y1801" i="3"/>
  <c r="Z1801" i="3"/>
  <c r="N1802" i="3"/>
  <c r="O1802" i="3"/>
  <c r="P1802" i="3"/>
  <c r="Q1802" i="3"/>
  <c r="R1802" i="3"/>
  <c r="S1802" i="3"/>
  <c r="T1802" i="3"/>
  <c r="U1802" i="3"/>
  <c r="V1802" i="3"/>
  <c r="W1802" i="3"/>
  <c r="X1802" i="3"/>
  <c r="Y1802" i="3"/>
  <c r="Z1802" i="3"/>
  <c r="N1803" i="3"/>
  <c r="O1803" i="3"/>
  <c r="P1803" i="3"/>
  <c r="Q1803" i="3"/>
  <c r="R1803" i="3"/>
  <c r="S1803" i="3"/>
  <c r="T1803" i="3"/>
  <c r="U1803" i="3"/>
  <c r="V1803" i="3"/>
  <c r="W1803" i="3"/>
  <c r="X1803" i="3"/>
  <c r="Y1803" i="3"/>
  <c r="Z1803" i="3"/>
  <c r="N1804" i="3"/>
  <c r="O1804" i="3"/>
  <c r="P1804" i="3"/>
  <c r="Q1804" i="3"/>
  <c r="R1804" i="3"/>
  <c r="S1804" i="3"/>
  <c r="T1804" i="3"/>
  <c r="U1804" i="3"/>
  <c r="V1804" i="3"/>
  <c r="W1804" i="3"/>
  <c r="X1804" i="3"/>
  <c r="Y1804" i="3"/>
  <c r="Z1804" i="3"/>
  <c r="N1805" i="3"/>
  <c r="O1805" i="3"/>
  <c r="P1805" i="3"/>
  <c r="Q1805" i="3"/>
  <c r="R1805" i="3"/>
  <c r="S1805" i="3"/>
  <c r="T1805" i="3"/>
  <c r="U1805" i="3"/>
  <c r="V1805" i="3"/>
  <c r="W1805" i="3"/>
  <c r="X1805" i="3"/>
  <c r="Y1805" i="3"/>
  <c r="Z1805" i="3"/>
  <c r="N1806" i="3"/>
  <c r="O1806" i="3"/>
  <c r="P1806" i="3"/>
  <c r="Q1806" i="3"/>
  <c r="R1806" i="3"/>
  <c r="S1806" i="3"/>
  <c r="T1806" i="3"/>
  <c r="U1806" i="3"/>
  <c r="V1806" i="3"/>
  <c r="W1806" i="3"/>
  <c r="X1806" i="3"/>
  <c r="Y1806" i="3"/>
  <c r="Z1806" i="3"/>
  <c r="N1807" i="3"/>
  <c r="O1807" i="3"/>
  <c r="P1807" i="3"/>
  <c r="Q1807" i="3"/>
  <c r="R1807" i="3"/>
  <c r="S1807" i="3"/>
  <c r="T1807" i="3"/>
  <c r="U1807" i="3"/>
  <c r="V1807" i="3"/>
  <c r="W1807" i="3"/>
  <c r="X1807" i="3"/>
  <c r="Y1807" i="3"/>
  <c r="Z1807" i="3"/>
  <c r="N1808" i="3"/>
  <c r="O1808" i="3"/>
  <c r="P1808" i="3"/>
  <c r="Q1808" i="3"/>
  <c r="R1808" i="3"/>
  <c r="S1808" i="3"/>
  <c r="T1808" i="3"/>
  <c r="U1808" i="3"/>
  <c r="V1808" i="3"/>
  <c r="W1808" i="3"/>
  <c r="X1808" i="3"/>
  <c r="Y1808" i="3"/>
  <c r="Z1808" i="3"/>
  <c r="N1809" i="3"/>
  <c r="O1809" i="3"/>
  <c r="P1809" i="3"/>
  <c r="Q1809" i="3"/>
  <c r="R1809" i="3"/>
  <c r="S1809" i="3"/>
  <c r="T1809" i="3"/>
  <c r="U1809" i="3"/>
  <c r="V1809" i="3"/>
  <c r="W1809" i="3"/>
  <c r="X1809" i="3"/>
  <c r="Y1809" i="3"/>
  <c r="Z1809" i="3"/>
  <c r="N1810" i="3"/>
  <c r="O1810" i="3"/>
  <c r="P1810" i="3"/>
  <c r="Q1810" i="3"/>
  <c r="R1810" i="3"/>
  <c r="S1810" i="3"/>
  <c r="T1810" i="3"/>
  <c r="U1810" i="3"/>
  <c r="V1810" i="3"/>
  <c r="W1810" i="3"/>
  <c r="X1810" i="3"/>
  <c r="Y1810" i="3"/>
  <c r="Z1810" i="3"/>
  <c r="N1811" i="3"/>
  <c r="O1811" i="3"/>
  <c r="P1811" i="3"/>
  <c r="Q1811" i="3"/>
  <c r="R1811" i="3"/>
  <c r="S1811" i="3"/>
  <c r="T1811" i="3"/>
  <c r="U1811" i="3"/>
  <c r="V1811" i="3"/>
  <c r="W1811" i="3"/>
  <c r="X1811" i="3"/>
  <c r="Y1811" i="3"/>
  <c r="Z1811" i="3"/>
  <c r="N1812" i="3"/>
  <c r="O1812" i="3"/>
  <c r="P1812" i="3"/>
  <c r="Q1812" i="3"/>
  <c r="R1812" i="3"/>
  <c r="S1812" i="3"/>
  <c r="T1812" i="3"/>
  <c r="U1812" i="3"/>
  <c r="V1812" i="3"/>
  <c r="W1812" i="3"/>
  <c r="X1812" i="3"/>
  <c r="Y1812" i="3"/>
  <c r="Z1812" i="3"/>
  <c r="N1813" i="3"/>
  <c r="O1813" i="3"/>
  <c r="P1813" i="3"/>
  <c r="Q1813" i="3"/>
  <c r="R1813" i="3"/>
  <c r="S1813" i="3"/>
  <c r="T1813" i="3"/>
  <c r="U1813" i="3"/>
  <c r="V1813" i="3"/>
  <c r="W1813" i="3"/>
  <c r="X1813" i="3"/>
  <c r="Y1813" i="3"/>
  <c r="Z1813" i="3"/>
  <c r="N1814" i="3"/>
  <c r="O1814" i="3"/>
  <c r="P1814" i="3"/>
  <c r="Q1814" i="3"/>
  <c r="R1814" i="3"/>
  <c r="S1814" i="3"/>
  <c r="T1814" i="3"/>
  <c r="U1814" i="3"/>
  <c r="V1814" i="3"/>
  <c r="W1814" i="3"/>
  <c r="X1814" i="3"/>
  <c r="Y1814" i="3"/>
  <c r="Z1814" i="3"/>
  <c r="N1815" i="3"/>
  <c r="O1815" i="3"/>
  <c r="P1815" i="3"/>
  <c r="Q1815" i="3"/>
  <c r="R1815" i="3"/>
  <c r="S1815" i="3"/>
  <c r="T1815" i="3"/>
  <c r="U1815" i="3"/>
  <c r="V1815" i="3"/>
  <c r="W1815" i="3"/>
  <c r="X1815" i="3"/>
  <c r="Y1815" i="3"/>
  <c r="Z1815" i="3"/>
  <c r="N1816" i="3"/>
  <c r="O1816" i="3"/>
  <c r="P1816" i="3"/>
  <c r="Q1816" i="3"/>
  <c r="R1816" i="3"/>
  <c r="S1816" i="3"/>
  <c r="T1816" i="3"/>
  <c r="U1816" i="3"/>
  <c r="V1816" i="3"/>
  <c r="W1816" i="3"/>
  <c r="X1816" i="3"/>
  <c r="Y1816" i="3"/>
  <c r="Z1816" i="3"/>
  <c r="N1817" i="3"/>
  <c r="O1817" i="3"/>
  <c r="P1817" i="3"/>
  <c r="Q1817" i="3"/>
  <c r="R1817" i="3"/>
  <c r="S1817" i="3"/>
  <c r="T1817" i="3"/>
  <c r="U1817" i="3"/>
  <c r="V1817" i="3"/>
  <c r="W1817" i="3"/>
  <c r="X1817" i="3"/>
  <c r="Y1817" i="3"/>
  <c r="Z1817" i="3"/>
  <c r="N1818" i="3"/>
  <c r="O1818" i="3"/>
  <c r="P1818" i="3"/>
  <c r="Q1818" i="3"/>
  <c r="R1818" i="3"/>
  <c r="S1818" i="3"/>
  <c r="T1818" i="3"/>
  <c r="U1818" i="3"/>
  <c r="V1818" i="3"/>
  <c r="W1818" i="3"/>
  <c r="X1818" i="3"/>
  <c r="Y1818" i="3"/>
  <c r="Z1818" i="3"/>
  <c r="N1819" i="3"/>
  <c r="O1819" i="3"/>
  <c r="P1819" i="3"/>
  <c r="Q1819" i="3"/>
  <c r="R1819" i="3"/>
  <c r="S1819" i="3"/>
  <c r="T1819" i="3"/>
  <c r="U1819" i="3"/>
  <c r="V1819" i="3"/>
  <c r="W1819" i="3"/>
  <c r="X1819" i="3"/>
  <c r="Y1819" i="3"/>
  <c r="Z1819" i="3"/>
  <c r="N1820" i="3"/>
  <c r="O1820" i="3"/>
  <c r="P1820" i="3"/>
  <c r="Q1820" i="3"/>
  <c r="R1820" i="3"/>
  <c r="S1820" i="3"/>
  <c r="T1820" i="3"/>
  <c r="U1820" i="3"/>
  <c r="V1820" i="3"/>
  <c r="W1820" i="3"/>
  <c r="X1820" i="3"/>
  <c r="Y1820" i="3"/>
  <c r="Z1820" i="3"/>
  <c r="N1821" i="3"/>
  <c r="O1821" i="3"/>
  <c r="P1821" i="3"/>
  <c r="Q1821" i="3"/>
  <c r="R1821" i="3"/>
  <c r="S1821" i="3"/>
  <c r="T1821" i="3"/>
  <c r="U1821" i="3"/>
  <c r="V1821" i="3"/>
  <c r="W1821" i="3"/>
  <c r="X1821" i="3"/>
  <c r="Y1821" i="3"/>
  <c r="Z1821" i="3"/>
  <c r="N1822" i="3"/>
  <c r="O1822" i="3"/>
  <c r="P1822" i="3"/>
  <c r="Q1822" i="3"/>
  <c r="R1822" i="3"/>
  <c r="S1822" i="3"/>
  <c r="T1822" i="3"/>
  <c r="U1822" i="3"/>
  <c r="V1822" i="3"/>
  <c r="W1822" i="3"/>
  <c r="X1822" i="3"/>
  <c r="Y1822" i="3"/>
  <c r="Z1822" i="3"/>
  <c r="N1823" i="3"/>
  <c r="O1823" i="3"/>
  <c r="P1823" i="3"/>
  <c r="Q1823" i="3"/>
  <c r="R1823" i="3"/>
  <c r="S1823" i="3"/>
  <c r="T1823" i="3"/>
  <c r="U1823" i="3"/>
  <c r="V1823" i="3"/>
  <c r="W1823" i="3"/>
  <c r="X1823" i="3"/>
  <c r="Y1823" i="3"/>
  <c r="Z1823" i="3"/>
  <c r="N1824" i="3"/>
  <c r="O1824" i="3"/>
  <c r="P1824" i="3"/>
  <c r="Q1824" i="3"/>
  <c r="R1824" i="3"/>
  <c r="S1824" i="3"/>
  <c r="T1824" i="3"/>
  <c r="U1824" i="3"/>
  <c r="V1824" i="3"/>
  <c r="W1824" i="3"/>
  <c r="X1824" i="3"/>
  <c r="Y1824" i="3"/>
  <c r="Z1824" i="3"/>
  <c r="N1825" i="3"/>
  <c r="O1825" i="3"/>
  <c r="P1825" i="3"/>
  <c r="Q1825" i="3"/>
  <c r="R1825" i="3"/>
  <c r="S1825" i="3"/>
  <c r="T1825" i="3"/>
  <c r="U1825" i="3"/>
  <c r="V1825" i="3"/>
  <c r="W1825" i="3"/>
  <c r="X1825" i="3"/>
  <c r="Y1825" i="3"/>
  <c r="Z1825" i="3"/>
  <c r="N1826" i="3"/>
  <c r="O1826" i="3"/>
  <c r="P1826" i="3"/>
  <c r="Q1826" i="3"/>
  <c r="R1826" i="3"/>
  <c r="S1826" i="3"/>
  <c r="T1826" i="3"/>
  <c r="U1826" i="3"/>
  <c r="V1826" i="3"/>
  <c r="W1826" i="3"/>
  <c r="X1826" i="3"/>
  <c r="Y1826" i="3"/>
  <c r="Z1826" i="3"/>
  <c r="N1827" i="3"/>
  <c r="O1827" i="3"/>
  <c r="P1827" i="3"/>
  <c r="Q1827" i="3"/>
  <c r="R1827" i="3"/>
  <c r="S1827" i="3"/>
  <c r="T1827" i="3"/>
  <c r="U1827" i="3"/>
  <c r="V1827" i="3"/>
  <c r="W1827" i="3"/>
  <c r="X1827" i="3"/>
  <c r="Y1827" i="3"/>
  <c r="Z1827" i="3"/>
  <c r="N1828" i="3"/>
  <c r="O1828" i="3"/>
  <c r="P1828" i="3"/>
  <c r="Q1828" i="3"/>
  <c r="R1828" i="3"/>
  <c r="S1828" i="3"/>
  <c r="T1828" i="3"/>
  <c r="U1828" i="3"/>
  <c r="V1828" i="3"/>
  <c r="W1828" i="3"/>
  <c r="X1828" i="3"/>
  <c r="Y1828" i="3"/>
  <c r="Z1828" i="3"/>
  <c r="N1829" i="3"/>
  <c r="O1829" i="3"/>
  <c r="P1829" i="3"/>
  <c r="Q1829" i="3"/>
  <c r="R1829" i="3"/>
  <c r="S1829" i="3"/>
  <c r="T1829" i="3"/>
  <c r="U1829" i="3"/>
  <c r="V1829" i="3"/>
  <c r="W1829" i="3"/>
  <c r="X1829" i="3"/>
  <c r="Y1829" i="3"/>
  <c r="Z1829" i="3"/>
  <c r="N1830" i="3"/>
  <c r="O1830" i="3"/>
  <c r="P1830" i="3"/>
  <c r="Q1830" i="3"/>
  <c r="R1830" i="3"/>
  <c r="S1830" i="3"/>
  <c r="T1830" i="3"/>
  <c r="U1830" i="3"/>
  <c r="V1830" i="3"/>
  <c r="W1830" i="3"/>
  <c r="X1830" i="3"/>
  <c r="Y1830" i="3"/>
  <c r="Z1830" i="3"/>
  <c r="N1831" i="3"/>
  <c r="O1831" i="3"/>
  <c r="P1831" i="3"/>
  <c r="Q1831" i="3"/>
  <c r="R1831" i="3"/>
  <c r="S1831" i="3"/>
  <c r="T1831" i="3"/>
  <c r="U1831" i="3"/>
  <c r="V1831" i="3"/>
  <c r="W1831" i="3"/>
  <c r="X1831" i="3"/>
  <c r="Y1831" i="3"/>
  <c r="Z1831" i="3"/>
  <c r="N1832" i="3"/>
  <c r="O1832" i="3"/>
  <c r="P1832" i="3"/>
  <c r="Q1832" i="3"/>
  <c r="R1832" i="3"/>
  <c r="S1832" i="3"/>
  <c r="T1832" i="3"/>
  <c r="U1832" i="3"/>
  <c r="V1832" i="3"/>
  <c r="W1832" i="3"/>
  <c r="X1832" i="3"/>
  <c r="Y1832" i="3"/>
  <c r="Z1832" i="3"/>
  <c r="N1833" i="3"/>
  <c r="O1833" i="3"/>
  <c r="P1833" i="3"/>
  <c r="Q1833" i="3"/>
  <c r="R1833" i="3"/>
  <c r="S1833" i="3"/>
  <c r="T1833" i="3"/>
  <c r="U1833" i="3"/>
  <c r="V1833" i="3"/>
  <c r="W1833" i="3"/>
  <c r="X1833" i="3"/>
  <c r="Y1833" i="3"/>
  <c r="Z1833" i="3"/>
  <c r="N1834" i="3"/>
  <c r="O1834" i="3"/>
  <c r="P1834" i="3"/>
  <c r="Q1834" i="3"/>
  <c r="R1834" i="3"/>
  <c r="S1834" i="3"/>
  <c r="T1834" i="3"/>
  <c r="U1834" i="3"/>
  <c r="V1834" i="3"/>
  <c r="W1834" i="3"/>
  <c r="X1834" i="3"/>
  <c r="Y1834" i="3"/>
  <c r="Z1834" i="3"/>
  <c r="N1835" i="3"/>
  <c r="O1835" i="3"/>
  <c r="P1835" i="3"/>
  <c r="Q1835" i="3"/>
  <c r="R1835" i="3"/>
  <c r="S1835" i="3"/>
  <c r="T1835" i="3"/>
  <c r="U1835" i="3"/>
  <c r="V1835" i="3"/>
  <c r="W1835" i="3"/>
  <c r="X1835" i="3"/>
  <c r="Y1835" i="3"/>
  <c r="Z1835" i="3"/>
  <c r="N1836" i="3"/>
  <c r="O1836" i="3"/>
  <c r="P1836" i="3"/>
  <c r="Q1836" i="3"/>
  <c r="R1836" i="3"/>
  <c r="S1836" i="3"/>
  <c r="T1836" i="3"/>
  <c r="U1836" i="3"/>
  <c r="V1836" i="3"/>
  <c r="W1836" i="3"/>
  <c r="X1836" i="3"/>
  <c r="Y1836" i="3"/>
  <c r="Z1836" i="3"/>
  <c r="N1837" i="3"/>
  <c r="O1837" i="3"/>
  <c r="P1837" i="3"/>
  <c r="Q1837" i="3"/>
  <c r="R1837" i="3"/>
  <c r="S1837" i="3"/>
  <c r="T1837" i="3"/>
  <c r="U1837" i="3"/>
  <c r="V1837" i="3"/>
  <c r="W1837" i="3"/>
  <c r="X1837" i="3"/>
  <c r="Y1837" i="3"/>
  <c r="Z1837" i="3"/>
  <c r="N1838" i="3"/>
  <c r="O1838" i="3"/>
  <c r="P1838" i="3"/>
  <c r="Q1838" i="3"/>
  <c r="R1838" i="3"/>
  <c r="S1838" i="3"/>
  <c r="T1838" i="3"/>
  <c r="U1838" i="3"/>
  <c r="V1838" i="3"/>
  <c r="W1838" i="3"/>
  <c r="X1838" i="3"/>
  <c r="Y1838" i="3"/>
  <c r="Z1838" i="3"/>
  <c r="N1839" i="3"/>
  <c r="O1839" i="3"/>
  <c r="P1839" i="3"/>
  <c r="Q1839" i="3"/>
  <c r="R1839" i="3"/>
  <c r="S1839" i="3"/>
  <c r="T1839" i="3"/>
  <c r="U1839" i="3"/>
  <c r="V1839" i="3"/>
  <c r="W1839" i="3"/>
  <c r="X1839" i="3"/>
  <c r="Y1839" i="3"/>
  <c r="Z1839" i="3"/>
  <c r="N1840" i="3"/>
  <c r="O1840" i="3"/>
  <c r="P1840" i="3"/>
  <c r="Q1840" i="3"/>
  <c r="R1840" i="3"/>
  <c r="S1840" i="3"/>
  <c r="T1840" i="3"/>
  <c r="U1840" i="3"/>
  <c r="V1840" i="3"/>
  <c r="W1840" i="3"/>
  <c r="X1840" i="3"/>
  <c r="Y1840" i="3"/>
  <c r="Z1840" i="3"/>
  <c r="N1841" i="3"/>
  <c r="O1841" i="3"/>
  <c r="P1841" i="3"/>
  <c r="Q1841" i="3"/>
  <c r="R1841" i="3"/>
  <c r="S1841" i="3"/>
  <c r="T1841" i="3"/>
  <c r="U1841" i="3"/>
  <c r="V1841" i="3"/>
  <c r="W1841" i="3"/>
  <c r="X1841" i="3"/>
  <c r="Y1841" i="3"/>
  <c r="Z1841" i="3"/>
  <c r="N1842" i="3"/>
  <c r="O1842" i="3"/>
  <c r="P1842" i="3"/>
  <c r="Q1842" i="3"/>
  <c r="R1842" i="3"/>
  <c r="S1842" i="3"/>
  <c r="T1842" i="3"/>
  <c r="U1842" i="3"/>
  <c r="V1842" i="3"/>
  <c r="W1842" i="3"/>
  <c r="X1842" i="3"/>
  <c r="Y1842" i="3"/>
  <c r="Z1842" i="3"/>
  <c r="N1843" i="3"/>
  <c r="O1843" i="3"/>
  <c r="P1843" i="3"/>
  <c r="Q1843" i="3"/>
  <c r="R1843" i="3"/>
  <c r="S1843" i="3"/>
  <c r="T1843" i="3"/>
  <c r="U1843" i="3"/>
  <c r="V1843" i="3"/>
  <c r="W1843" i="3"/>
  <c r="X1843" i="3"/>
  <c r="Y1843" i="3"/>
  <c r="Z1843" i="3"/>
  <c r="N1844" i="3"/>
  <c r="O1844" i="3"/>
  <c r="P1844" i="3"/>
  <c r="Q1844" i="3"/>
  <c r="R1844" i="3"/>
  <c r="S1844" i="3"/>
  <c r="T1844" i="3"/>
  <c r="U1844" i="3"/>
  <c r="V1844" i="3"/>
  <c r="W1844" i="3"/>
  <c r="X1844" i="3"/>
  <c r="Y1844" i="3"/>
  <c r="Z1844" i="3"/>
  <c r="N1845" i="3"/>
  <c r="O1845" i="3"/>
  <c r="P1845" i="3"/>
  <c r="Q1845" i="3"/>
  <c r="R1845" i="3"/>
  <c r="S1845" i="3"/>
  <c r="T1845" i="3"/>
  <c r="U1845" i="3"/>
  <c r="V1845" i="3"/>
  <c r="W1845" i="3"/>
  <c r="X1845" i="3"/>
  <c r="Y1845" i="3"/>
  <c r="Z1845" i="3"/>
  <c r="N1846" i="3"/>
  <c r="O1846" i="3"/>
  <c r="P1846" i="3"/>
  <c r="Q1846" i="3"/>
  <c r="R1846" i="3"/>
  <c r="S1846" i="3"/>
  <c r="T1846" i="3"/>
  <c r="U1846" i="3"/>
  <c r="V1846" i="3"/>
  <c r="W1846" i="3"/>
  <c r="X1846" i="3"/>
  <c r="Y1846" i="3"/>
  <c r="Z1846" i="3"/>
  <c r="N1847" i="3"/>
  <c r="O1847" i="3"/>
  <c r="P1847" i="3"/>
  <c r="Q1847" i="3"/>
  <c r="R1847" i="3"/>
  <c r="S1847" i="3"/>
  <c r="T1847" i="3"/>
  <c r="U1847" i="3"/>
  <c r="V1847" i="3"/>
  <c r="W1847" i="3"/>
  <c r="X1847" i="3"/>
  <c r="Y1847" i="3"/>
  <c r="Z1847" i="3"/>
  <c r="N1848" i="3"/>
  <c r="O1848" i="3"/>
  <c r="P1848" i="3"/>
  <c r="Q1848" i="3"/>
  <c r="R1848" i="3"/>
  <c r="S1848" i="3"/>
  <c r="T1848" i="3"/>
  <c r="U1848" i="3"/>
  <c r="V1848" i="3"/>
  <c r="W1848" i="3"/>
  <c r="X1848" i="3"/>
  <c r="Y1848" i="3"/>
  <c r="Z1848" i="3"/>
  <c r="N1849" i="3"/>
  <c r="O1849" i="3"/>
  <c r="P1849" i="3"/>
  <c r="Q1849" i="3"/>
  <c r="R1849" i="3"/>
  <c r="S1849" i="3"/>
  <c r="T1849" i="3"/>
  <c r="U1849" i="3"/>
  <c r="V1849" i="3"/>
  <c r="W1849" i="3"/>
  <c r="X1849" i="3"/>
  <c r="Y1849" i="3"/>
  <c r="Z1849" i="3"/>
  <c r="N1850" i="3"/>
  <c r="O1850" i="3"/>
  <c r="P1850" i="3"/>
  <c r="Q1850" i="3"/>
  <c r="R1850" i="3"/>
  <c r="S1850" i="3"/>
  <c r="T1850" i="3"/>
  <c r="U1850" i="3"/>
  <c r="V1850" i="3"/>
  <c r="W1850" i="3"/>
  <c r="X1850" i="3"/>
  <c r="Y1850" i="3"/>
  <c r="Z1850" i="3"/>
  <c r="N1851" i="3"/>
  <c r="O1851" i="3"/>
  <c r="P1851" i="3"/>
  <c r="Q1851" i="3"/>
  <c r="R1851" i="3"/>
  <c r="S1851" i="3"/>
  <c r="T1851" i="3"/>
  <c r="U1851" i="3"/>
  <c r="V1851" i="3"/>
  <c r="W1851" i="3"/>
  <c r="X1851" i="3"/>
  <c r="Y1851" i="3"/>
  <c r="Z1851" i="3"/>
  <c r="N1852" i="3"/>
  <c r="O1852" i="3"/>
  <c r="P1852" i="3"/>
  <c r="Q1852" i="3"/>
  <c r="R1852" i="3"/>
  <c r="S1852" i="3"/>
  <c r="T1852" i="3"/>
  <c r="U1852" i="3"/>
  <c r="V1852" i="3"/>
  <c r="W1852" i="3"/>
  <c r="X1852" i="3"/>
  <c r="Y1852" i="3"/>
  <c r="Z1852" i="3"/>
  <c r="N1853" i="3"/>
  <c r="O1853" i="3"/>
  <c r="P1853" i="3"/>
  <c r="Q1853" i="3"/>
  <c r="R1853" i="3"/>
  <c r="S1853" i="3"/>
  <c r="T1853" i="3"/>
  <c r="U1853" i="3"/>
  <c r="V1853" i="3"/>
  <c r="W1853" i="3"/>
  <c r="X1853" i="3"/>
  <c r="Y1853" i="3"/>
  <c r="Z1853" i="3"/>
  <c r="N1854" i="3"/>
  <c r="O1854" i="3"/>
  <c r="P1854" i="3"/>
  <c r="Q1854" i="3"/>
  <c r="R1854" i="3"/>
  <c r="S1854" i="3"/>
  <c r="T1854" i="3"/>
  <c r="U1854" i="3"/>
  <c r="V1854" i="3"/>
  <c r="W1854" i="3"/>
  <c r="X1854" i="3"/>
  <c r="Y1854" i="3"/>
  <c r="Z1854" i="3"/>
  <c r="N1855" i="3"/>
  <c r="O1855" i="3"/>
  <c r="P1855" i="3"/>
  <c r="Q1855" i="3"/>
  <c r="R1855" i="3"/>
  <c r="S1855" i="3"/>
  <c r="T1855" i="3"/>
  <c r="U1855" i="3"/>
  <c r="V1855" i="3"/>
  <c r="W1855" i="3"/>
  <c r="X1855" i="3"/>
  <c r="Y1855" i="3"/>
  <c r="Z1855" i="3"/>
  <c r="N1856" i="3"/>
  <c r="O1856" i="3"/>
  <c r="P1856" i="3"/>
  <c r="Q1856" i="3"/>
  <c r="R1856" i="3"/>
  <c r="S1856" i="3"/>
  <c r="T1856" i="3"/>
  <c r="U1856" i="3"/>
  <c r="V1856" i="3"/>
  <c r="W1856" i="3"/>
  <c r="X1856" i="3"/>
  <c r="Y1856" i="3"/>
  <c r="Z1856" i="3"/>
  <c r="N1857" i="3"/>
  <c r="O1857" i="3"/>
  <c r="P1857" i="3"/>
  <c r="Q1857" i="3"/>
  <c r="R1857" i="3"/>
  <c r="S1857" i="3"/>
  <c r="T1857" i="3"/>
  <c r="U1857" i="3"/>
  <c r="V1857" i="3"/>
  <c r="W1857" i="3"/>
  <c r="X1857" i="3"/>
  <c r="Y1857" i="3"/>
  <c r="Z1857" i="3"/>
  <c r="N1858" i="3"/>
  <c r="O1858" i="3"/>
  <c r="P1858" i="3"/>
  <c r="Q1858" i="3"/>
  <c r="R1858" i="3"/>
  <c r="S1858" i="3"/>
  <c r="T1858" i="3"/>
  <c r="U1858" i="3"/>
  <c r="V1858" i="3"/>
  <c r="W1858" i="3"/>
  <c r="X1858" i="3"/>
  <c r="Y1858" i="3"/>
  <c r="Z1858" i="3"/>
  <c r="N1859" i="3"/>
  <c r="O1859" i="3"/>
  <c r="P1859" i="3"/>
  <c r="Q1859" i="3"/>
  <c r="R1859" i="3"/>
  <c r="S1859" i="3"/>
  <c r="T1859" i="3"/>
  <c r="U1859" i="3"/>
  <c r="V1859" i="3"/>
  <c r="W1859" i="3"/>
  <c r="X1859" i="3"/>
  <c r="Y1859" i="3"/>
  <c r="Z1859" i="3"/>
  <c r="N1860" i="3"/>
  <c r="O1860" i="3"/>
  <c r="P1860" i="3"/>
  <c r="Q1860" i="3"/>
  <c r="R1860" i="3"/>
  <c r="S1860" i="3"/>
  <c r="T1860" i="3"/>
  <c r="U1860" i="3"/>
  <c r="V1860" i="3"/>
  <c r="W1860" i="3"/>
  <c r="X1860" i="3"/>
  <c r="Y1860" i="3"/>
  <c r="Z1860" i="3"/>
  <c r="N1861" i="3"/>
  <c r="O1861" i="3"/>
  <c r="P1861" i="3"/>
  <c r="Q1861" i="3"/>
  <c r="R1861" i="3"/>
  <c r="S1861" i="3"/>
  <c r="T1861" i="3"/>
  <c r="U1861" i="3"/>
  <c r="V1861" i="3"/>
  <c r="W1861" i="3"/>
  <c r="X1861" i="3"/>
  <c r="Y1861" i="3"/>
  <c r="Z1861" i="3"/>
  <c r="N1862" i="3"/>
  <c r="O1862" i="3"/>
  <c r="P1862" i="3"/>
  <c r="Q1862" i="3"/>
  <c r="R1862" i="3"/>
  <c r="S1862" i="3"/>
  <c r="T1862" i="3"/>
  <c r="U1862" i="3"/>
  <c r="V1862" i="3"/>
  <c r="W1862" i="3"/>
  <c r="X1862" i="3"/>
  <c r="Y1862" i="3"/>
  <c r="Z1862" i="3"/>
  <c r="N1863" i="3"/>
  <c r="O1863" i="3"/>
  <c r="P1863" i="3"/>
  <c r="Q1863" i="3"/>
  <c r="R1863" i="3"/>
  <c r="S1863" i="3"/>
  <c r="T1863" i="3"/>
  <c r="U1863" i="3"/>
  <c r="V1863" i="3"/>
  <c r="W1863" i="3"/>
  <c r="X1863" i="3"/>
  <c r="Y1863" i="3"/>
  <c r="Z1863" i="3"/>
  <c r="N1864" i="3"/>
  <c r="O1864" i="3"/>
  <c r="P1864" i="3"/>
  <c r="Q1864" i="3"/>
  <c r="R1864" i="3"/>
  <c r="S1864" i="3"/>
  <c r="T1864" i="3"/>
  <c r="U1864" i="3"/>
  <c r="V1864" i="3"/>
  <c r="W1864" i="3"/>
  <c r="X1864" i="3"/>
  <c r="Y1864" i="3"/>
  <c r="Z1864" i="3"/>
  <c r="N1865" i="3"/>
  <c r="O1865" i="3"/>
  <c r="P1865" i="3"/>
  <c r="Q1865" i="3"/>
  <c r="R1865" i="3"/>
  <c r="S1865" i="3"/>
  <c r="T1865" i="3"/>
  <c r="U1865" i="3"/>
  <c r="V1865" i="3"/>
  <c r="W1865" i="3"/>
  <c r="X1865" i="3"/>
  <c r="Y1865" i="3"/>
  <c r="Z1865" i="3"/>
  <c r="N1866" i="3"/>
  <c r="O1866" i="3"/>
  <c r="P1866" i="3"/>
  <c r="Q1866" i="3"/>
  <c r="R1866" i="3"/>
  <c r="S1866" i="3"/>
  <c r="T1866" i="3"/>
  <c r="U1866" i="3"/>
  <c r="V1866" i="3"/>
  <c r="W1866" i="3"/>
  <c r="X1866" i="3"/>
  <c r="Y1866" i="3"/>
  <c r="Z1866" i="3"/>
  <c r="N1867" i="3"/>
  <c r="O1867" i="3"/>
  <c r="P1867" i="3"/>
  <c r="Q1867" i="3"/>
  <c r="R1867" i="3"/>
  <c r="S1867" i="3"/>
  <c r="T1867" i="3"/>
  <c r="U1867" i="3"/>
  <c r="V1867" i="3"/>
  <c r="W1867" i="3"/>
  <c r="X1867" i="3"/>
  <c r="Y1867" i="3"/>
  <c r="Z1867" i="3"/>
  <c r="N1868" i="3"/>
  <c r="O1868" i="3"/>
  <c r="P1868" i="3"/>
  <c r="Q1868" i="3"/>
  <c r="R1868" i="3"/>
  <c r="S1868" i="3"/>
  <c r="T1868" i="3"/>
  <c r="U1868" i="3"/>
  <c r="V1868" i="3"/>
  <c r="W1868" i="3"/>
  <c r="X1868" i="3"/>
  <c r="Y1868" i="3"/>
  <c r="Z1868" i="3"/>
  <c r="N1869" i="3"/>
  <c r="O1869" i="3"/>
  <c r="N1870" i="3"/>
  <c r="Q1870" i="3" s="1"/>
  <c r="S1870" i="3" s="1"/>
  <c r="O1870" i="3"/>
  <c r="P1870" i="3"/>
  <c r="R1870" i="3"/>
  <c r="T1870" i="3"/>
  <c r="U1870" i="3"/>
  <c r="V1870" i="3"/>
  <c r="W1870" i="3"/>
  <c r="X1870" i="3"/>
  <c r="Y1870" i="3"/>
  <c r="Z1870" i="3"/>
  <c r="N1871" i="3"/>
  <c r="O1871" i="3"/>
  <c r="W1871" i="3"/>
  <c r="X1871" i="3"/>
  <c r="Y1871" i="3"/>
  <c r="N1872" i="3"/>
  <c r="O1872" i="3"/>
  <c r="W1872" i="3" s="1"/>
  <c r="U1872" i="3"/>
  <c r="X1872" i="3"/>
  <c r="Y1872" i="3"/>
  <c r="N1873" i="3"/>
  <c r="O1873" i="3"/>
  <c r="T1873" i="3"/>
  <c r="U1873" i="3"/>
  <c r="V1873" i="3"/>
  <c r="W1873" i="3"/>
  <c r="X1873" i="3"/>
  <c r="Y1873" i="3"/>
  <c r="N1874" i="3"/>
  <c r="O1874" i="3"/>
  <c r="U1874" i="3"/>
  <c r="V1874" i="3"/>
  <c r="W1874" i="3"/>
  <c r="X1874" i="3"/>
  <c r="Y1874" i="3"/>
  <c r="N1875" i="3"/>
  <c r="O1875" i="3"/>
  <c r="V1875" i="3"/>
  <c r="Y1875" i="3"/>
  <c r="N1876" i="3"/>
  <c r="O1876" i="3"/>
  <c r="W1876" i="3"/>
  <c r="X1876" i="3"/>
  <c r="Y1876" i="3"/>
  <c r="N1877" i="3"/>
  <c r="O1877" i="3"/>
  <c r="N1878" i="3"/>
  <c r="O1878" i="3"/>
  <c r="P1878" i="3"/>
  <c r="Q1878" i="3"/>
  <c r="R1878" i="3"/>
  <c r="S1878" i="3"/>
  <c r="T1878" i="3"/>
  <c r="U1878" i="3"/>
  <c r="V1878" i="3"/>
  <c r="W1878" i="3"/>
  <c r="X1878" i="3"/>
  <c r="Y1878" i="3"/>
  <c r="Z1878" i="3"/>
  <c r="N1879" i="3"/>
  <c r="O1879" i="3"/>
  <c r="P1879" i="3"/>
  <c r="Q1879" i="3"/>
  <c r="R1879" i="3"/>
  <c r="S1879" i="3"/>
  <c r="T1879" i="3"/>
  <c r="U1879" i="3"/>
  <c r="V1879" i="3"/>
  <c r="W1879" i="3"/>
  <c r="X1879" i="3"/>
  <c r="Y1879" i="3"/>
  <c r="Z1879" i="3"/>
  <c r="N1880" i="3"/>
  <c r="O1880" i="3"/>
  <c r="P1880" i="3"/>
  <c r="Q1880" i="3"/>
  <c r="R1880" i="3"/>
  <c r="S1880" i="3"/>
  <c r="T1880" i="3"/>
  <c r="U1880" i="3"/>
  <c r="V1880" i="3"/>
  <c r="W1880" i="3"/>
  <c r="X1880" i="3"/>
  <c r="Y1880" i="3"/>
  <c r="Z1880" i="3"/>
  <c r="N1881" i="3"/>
  <c r="O1881" i="3"/>
  <c r="P1881" i="3"/>
  <c r="Q1881" i="3"/>
  <c r="R1881" i="3"/>
  <c r="S1881" i="3"/>
  <c r="T1881" i="3"/>
  <c r="U1881" i="3"/>
  <c r="V1881" i="3"/>
  <c r="W1881" i="3"/>
  <c r="X1881" i="3"/>
  <c r="Y1881" i="3"/>
  <c r="Z1881" i="3"/>
  <c r="N1882" i="3"/>
  <c r="O1882" i="3"/>
  <c r="P1882" i="3"/>
  <c r="Q1882" i="3"/>
  <c r="R1882" i="3"/>
  <c r="S1882" i="3"/>
  <c r="T1882" i="3"/>
  <c r="U1882" i="3"/>
  <c r="V1882" i="3"/>
  <c r="W1882" i="3"/>
  <c r="X1882" i="3"/>
  <c r="Y1882" i="3"/>
  <c r="Z1882" i="3"/>
  <c r="N1883" i="3"/>
  <c r="O1883" i="3"/>
  <c r="P1883" i="3"/>
  <c r="Q1883" i="3"/>
  <c r="R1883" i="3"/>
  <c r="S1883" i="3"/>
  <c r="T1883" i="3"/>
  <c r="U1883" i="3"/>
  <c r="V1883" i="3"/>
  <c r="W1883" i="3"/>
  <c r="X1883" i="3"/>
  <c r="Y1883" i="3"/>
  <c r="Z1883" i="3"/>
  <c r="N1884" i="3"/>
  <c r="O1884" i="3"/>
  <c r="P1884" i="3"/>
  <c r="Q1884" i="3"/>
  <c r="R1884" i="3"/>
  <c r="S1884" i="3"/>
  <c r="T1884" i="3"/>
  <c r="U1884" i="3"/>
  <c r="V1884" i="3"/>
  <c r="W1884" i="3"/>
  <c r="X1884" i="3"/>
  <c r="Y1884" i="3"/>
  <c r="Z1884" i="3"/>
  <c r="N1885" i="3"/>
  <c r="O1885" i="3"/>
  <c r="P1885" i="3"/>
  <c r="Q1885" i="3"/>
  <c r="R1885" i="3"/>
  <c r="S1885" i="3"/>
  <c r="T1885" i="3"/>
  <c r="U1885" i="3"/>
  <c r="V1885" i="3"/>
  <c r="W1885" i="3"/>
  <c r="X1885" i="3"/>
  <c r="Y1885" i="3"/>
  <c r="Z1885" i="3"/>
  <c r="N1886" i="3"/>
  <c r="O1886" i="3"/>
  <c r="P1886" i="3"/>
  <c r="Q1886" i="3"/>
  <c r="R1886" i="3"/>
  <c r="S1886" i="3"/>
  <c r="T1886" i="3"/>
  <c r="U1886" i="3"/>
  <c r="V1886" i="3"/>
  <c r="W1886" i="3"/>
  <c r="X1886" i="3"/>
  <c r="Y1886" i="3"/>
  <c r="Z1886" i="3"/>
  <c r="N1887" i="3"/>
  <c r="O1887" i="3"/>
  <c r="P1887" i="3"/>
  <c r="Q1887" i="3"/>
  <c r="R1887" i="3"/>
  <c r="S1887" i="3"/>
  <c r="T1887" i="3"/>
  <c r="U1887" i="3"/>
  <c r="V1887" i="3"/>
  <c r="W1887" i="3"/>
  <c r="X1887" i="3"/>
  <c r="Y1887" i="3"/>
  <c r="Z1887" i="3"/>
  <c r="N1888" i="3"/>
  <c r="O1888" i="3"/>
  <c r="P1888" i="3"/>
  <c r="Q1888" i="3"/>
  <c r="R1888" i="3"/>
  <c r="S1888" i="3"/>
  <c r="T1888" i="3"/>
  <c r="U1888" i="3"/>
  <c r="V1888" i="3"/>
  <c r="W1888" i="3"/>
  <c r="X1888" i="3"/>
  <c r="Y1888" i="3"/>
  <c r="Z1888" i="3"/>
  <c r="N1889" i="3"/>
  <c r="O1889" i="3"/>
  <c r="P1889" i="3"/>
  <c r="Q1889" i="3"/>
  <c r="R1889" i="3"/>
  <c r="S1889" i="3"/>
  <c r="T1889" i="3"/>
  <c r="U1889" i="3"/>
  <c r="V1889" i="3"/>
  <c r="W1889" i="3"/>
  <c r="X1889" i="3"/>
  <c r="Y1889" i="3"/>
  <c r="Z1889" i="3"/>
  <c r="N1890" i="3"/>
  <c r="O1890" i="3"/>
  <c r="P1890" i="3"/>
  <c r="Q1890" i="3"/>
  <c r="R1890" i="3"/>
  <c r="S1890" i="3"/>
  <c r="T1890" i="3"/>
  <c r="U1890" i="3"/>
  <c r="V1890" i="3"/>
  <c r="W1890" i="3"/>
  <c r="X1890" i="3"/>
  <c r="Y1890" i="3"/>
  <c r="Z1890" i="3"/>
  <c r="N1891" i="3"/>
  <c r="O1891" i="3"/>
  <c r="P1891" i="3"/>
  <c r="Q1891" i="3"/>
  <c r="R1891" i="3"/>
  <c r="S1891" i="3"/>
  <c r="T1891" i="3"/>
  <c r="U1891" i="3"/>
  <c r="V1891" i="3"/>
  <c r="W1891" i="3"/>
  <c r="X1891" i="3"/>
  <c r="Y1891" i="3"/>
  <c r="Z1891" i="3"/>
  <c r="N1892" i="3"/>
  <c r="O1892" i="3"/>
  <c r="P1892" i="3"/>
  <c r="Q1892" i="3"/>
  <c r="R1892" i="3"/>
  <c r="S1892" i="3"/>
  <c r="T1892" i="3"/>
  <c r="U1892" i="3"/>
  <c r="V1892" i="3"/>
  <c r="W1892" i="3"/>
  <c r="X1892" i="3"/>
  <c r="Y1892" i="3"/>
  <c r="Z1892" i="3"/>
  <c r="N1893" i="3"/>
  <c r="O1893" i="3"/>
  <c r="P1893" i="3"/>
  <c r="Q1893" i="3"/>
  <c r="R1893" i="3"/>
  <c r="S1893" i="3"/>
  <c r="T1893" i="3"/>
  <c r="U1893" i="3"/>
  <c r="V1893" i="3"/>
  <c r="W1893" i="3"/>
  <c r="X1893" i="3"/>
  <c r="Y1893" i="3"/>
  <c r="Z1893" i="3"/>
  <c r="N1894" i="3"/>
  <c r="O1894" i="3"/>
  <c r="P1894" i="3"/>
  <c r="Q1894" i="3"/>
  <c r="R1894" i="3"/>
  <c r="S1894" i="3"/>
  <c r="T1894" i="3"/>
  <c r="U1894" i="3"/>
  <c r="V1894" i="3"/>
  <c r="W1894" i="3"/>
  <c r="X1894" i="3"/>
  <c r="Y1894" i="3"/>
  <c r="Z1894" i="3"/>
  <c r="N1895" i="3"/>
  <c r="O1895" i="3"/>
  <c r="P1895" i="3"/>
  <c r="Q1895" i="3"/>
  <c r="R1895" i="3"/>
  <c r="S1895" i="3"/>
  <c r="T1895" i="3"/>
  <c r="U1895" i="3"/>
  <c r="V1895" i="3"/>
  <c r="W1895" i="3"/>
  <c r="X1895" i="3"/>
  <c r="Y1895" i="3"/>
  <c r="Z1895" i="3"/>
  <c r="N1896" i="3"/>
  <c r="O1896" i="3"/>
  <c r="P1896" i="3"/>
  <c r="Q1896" i="3"/>
  <c r="R1896" i="3"/>
  <c r="S1896" i="3"/>
  <c r="T1896" i="3"/>
  <c r="U1896" i="3"/>
  <c r="V1896" i="3"/>
  <c r="W1896" i="3"/>
  <c r="X1896" i="3"/>
  <c r="Y1896" i="3"/>
  <c r="Z1896" i="3"/>
  <c r="N1897" i="3"/>
  <c r="O1897" i="3"/>
  <c r="P1897" i="3"/>
  <c r="Q1897" i="3"/>
  <c r="R1897" i="3"/>
  <c r="S1897" i="3"/>
  <c r="T1897" i="3"/>
  <c r="U1897" i="3"/>
  <c r="V1897" i="3"/>
  <c r="W1897" i="3"/>
  <c r="X1897" i="3"/>
  <c r="Y1897" i="3"/>
  <c r="Z1897" i="3"/>
  <c r="N1898" i="3"/>
  <c r="O1898" i="3"/>
  <c r="P1898" i="3"/>
  <c r="Q1898" i="3"/>
  <c r="R1898" i="3"/>
  <c r="S1898" i="3"/>
  <c r="T1898" i="3"/>
  <c r="U1898" i="3"/>
  <c r="V1898" i="3"/>
  <c r="W1898" i="3"/>
  <c r="X1898" i="3"/>
  <c r="Y1898" i="3"/>
  <c r="Z1898" i="3"/>
  <c r="N1899" i="3"/>
  <c r="O1899" i="3"/>
  <c r="P1899" i="3"/>
  <c r="Q1899" i="3"/>
  <c r="R1899" i="3"/>
  <c r="S1899" i="3"/>
  <c r="T1899" i="3"/>
  <c r="U1899" i="3"/>
  <c r="V1899" i="3"/>
  <c r="W1899" i="3"/>
  <c r="X1899" i="3"/>
  <c r="Y1899" i="3"/>
  <c r="Z1899" i="3"/>
  <c r="N1900" i="3"/>
  <c r="O1900" i="3"/>
  <c r="P1900" i="3"/>
  <c r="Q1900" i="3"/>
  <c r="R1900" i="3"/>
  <c r="S1900" i="3"/>
  <c r="T1900" i="3"/>
  <c r="U1900" i="3"/>
  <c r="V1900" i="3"/>
  <c r="W1900" i="3"/>
  <c r="X1900" i="3"/>
  <c r="Y1900" i="3"/>
  <c r="Z1900" i="3"/>
  <c r="N1901" i="3"/>
  <c r="O1901" i="3"/>
  <c r="P1901" i="3"/>
  <c r="Q1901" i="3"/>
  <c r="R1901" i="3"/>
  <c r="S1901" i="3"/>
  <c r="T1901" i="3"/>
  <c r="U1901" i="3"/>
  <c r="V1901" i="3"/>
  <c r="W1901" i="3"/>
  <c r="X1901" i="3"/>
  <c r="Y1901" i="3"/>
  <c r="Z1901" i="3"/>
  <c r="N1902" i="3"/>
  <c r="O1902" i="3"/>
  <c r="P1902" i="3"/>
  <c r="Q1902" i="3"/>
  <c r="R1902" i="3"/>
  <c r="S1902" i="3"/>
  <c r="T1902" i="3"/>
  <c r="U1902" i="3"/>
  <c r="V1902" i="3"/>
  <c r="W1902" i="3"/>
  <c r="X1902" i="3"/>
  <c r="Y1902" i="3"/>
  <c r="Z1902" i="3"/>
  <c r="N1903" i="3"/>
  <c r="O1903" i="3"/>
  <c r="P1903" i="3"/>
  <c r="Q1903" i="3"/>
  <c r="R1903" i="3"/>
  <c r="S1903" i="3"/>
  <c r="T1903" i="3"/>
  <c r="U1903" i="3"/>
  <c r="V1903" i="3"/>
  <c r="W1903" i="3"/>
  <c r="X1903" i="3"/>
  <c r="Y1903" i="3"/>
  <c r="Z1903" i="3"/>
  <c r="N1904" i="3"/>
  <c r="O1904" i="3"/>
  <c r="P1904" i="3"/>
  <c r="Q1904" i="3"/>
  <c r="R1904" i="3"/>
  <c r="S1904" i="3"/>
  <c r="T1904" i="3"/>
  <c r="U1904" i="3"/>
  <c r="V1904" i="3"/>
  <c r="W1904" i="3"/>
  <c r="X1904" i="3"/>
  <c r="Y1904" i="3"/>
  <c r="Z1904" i="3"/>
  <c r="N1905" i="3"/>
  <c r="O1905" i="3"/>
  <c r="P1905" i="3"/>
  <c r="Q1905" i="3"/>
  <c r="R1905" i="3"/>
  <c r="S1905" i="3"/>
  <c r="T1905" i="3"/>
  <c r="U1905" i="3"/>
  <c r="V1905" i="3"/>
  <c r="W1905" i="3"/>
  <c r="X1905" i="3"/>
  <c r="Y1905" i="3"/>
  <c r="Z1905" i="3"/>
  <c r="N1906" i="3"/>
  <c r="O1906" i="3"/>
  <c r="P1906" i="3"/>
  <c r="Q1906" i="3"/>
  <c r="R1906" i="3"/>
  <c r="S1906" i="3"/>
  <c r="T1906" i="3"/>
  <c r="U1906" i="3"/>
  <c r="V1906" i="3"/>
  <c r="W1906" i="3"/>
  <c r="X1906" i="3"/>
  <c r="Y1906" i="3"/>
  <c r="Z1906" i="3"/>
  <c r="N1907" i="3"/>
  <c r="O1907" i="3"/>
  <c r="P1907" i="3"/>
  <c r="Q1907" i="3"/>
  <c r="R1907" i="3"/>
  <c r="S1907" i="3"/>
  <c r="T1907" i="3"/>
  <c r="U1907" i="3"/>
  <c r="V1907" i="3"/>
  <c r="W1907" i="3"/>
  <c r="X1907" i="3"/>
  <c r="Y1907" i="3"/>
  <c r="Z1907" i="3"/>
  <c r="N1908" i="3"/>
  <c r="O1908" i="3"/>
  <c r="P1908" i="3"/>
  <c r="Q1908" i="3"/>
  <c r="R1908" i="3"/>
  <c r="S1908" i="3"/>
  <c r="T1908" i="3"/>
  <c r="U1908" i="3"/>
  <c r="V1908" i="3"/>
  <c r="W1908" i="3"/>
  <c r="X1908" i="3"/>
  <c r="Y1908" i="3"/>
  <c r="Z1908" i="3"/>
  <c r="N1909" i="3"/>
  <c r="O1909" i="3"/>
  <c r="P1909" i="3"/>
  <c r="Q1909" i="3"/>
  <c r="R1909" i="3"/>
  <c r="S1909" i="3"/>
  <c r="T1909" i="3"/>
  <c r="U1909" i="3"/>
  <c r="V1909" i="3"/>
  <c r="W1909" i="3"/>
  <c r="X1909" i="3"/>
  <c r="Y1909" i="3"/>
  <c r="Z1909" i="3"/>
  <c r="N1910" i="3"/>
  <c r="O1910" i="3"/>
  <c r="P1910" i="3"/>
  <c r="Q1910" i="3"/>
  <c r="R1910" i="3"/>
  <c r="S1910" i="3"/>
  <c r="T1910" i="3"/>
  <c r="U1910" i="3"/>
  <c r="V1910" i="3"/>
  <c r="W1910" i="3"/>
  <c r="X1910" i="3"/>
  <c r="Y1910" i="3"/>
  <c r="Z1910" i="3"/>
  <c r="N1911" i="3"/>
  <c r="O1911" i="3"/>
  <c r="P1911" i="3"/>
  <c r="Q1911" i="3"/>
  <c r="R1911" i="3"/>
  <c r="S1911" i="3"/>
  <c r="T1911" i="3"/>
  <c r="U1911" i="3"/>
  <c r="V1911" i="3"/>
  <c r="W1911" i="3"/>
  <c r="X1911" i="3"/>
  <c r="Y1911" i="3"/>
  <c r="Z1911" i="3"/>
  <c r="N1912" i="3"/>
  <c r="O1912" i="3"/>
  <c r="P1912" i="3"/>
  <c r="Q1912" i="3"/>
  <c r="R1912" i="3"/>
  <c r="S1912" i="3"/>
  <c r="T1912" i="3"/>
  <c r="U1912" i="3"/>
  <c r="V1912" i="3"/>
  <c r="W1912" i="3"/>
  <c r="X1912" i="3"/>
  <c r="Y1912" i="3"/>
  <c r="Z1912" i="3"/>
  <c r="N1913" i="3"/>
  <c r="O1913" i="3"/>
  <c r="P1913" i="3"/>
  <c r="Q1913" i="3"/>
  <c r="R1913" i="3"/>
  <c r="S1913" i="3"/>
  <c r="T1913" i="3"/>
  <c r="U1913" i="3"/>
  <c r="V1913" i="3"/>
  <c r="W1913" i="3"/>
  <c r="X1913" i="3"/>
  <c r="Y1913" i="3"/>
  <c r="Z1913" i="3"/>
  <c r="N1914" i="3"/>
  <c r="O1914" i="3"/>
  <c r="P1914" i="3"/>
  <c r="Q1914" i="3"/>
  <c r="R1914" i="3"/>
  <c r="S1914" i="3"/>
  <c r="T1914" i="3"/>
  <c r="U1914" i="3"/>
  <c r="V1914" i="3"/>
  <c r="W1914" i="3"/>
  <c r="X1914" i="3"/>
  <c r="Y1914" i="3"/>
  <c r="Z1914" i="3"/>
  <c r="N1915" i="3"/>
  <c r="O1915" i="3"/>
  <c r="P1915" i="3"/>
  <c r="Q1915" i="3"/>
  <c r="R1915" i="3"/>
  <c r="S1915" i="3"/>
  <c r="T1915" i="3"/>
  <c r="U1915" i="3"/>
  <c r="V1915" i="3"/>
  <c r="W1915" i="3"/>
  <c r="X1915" i="3"/>
  <c r="Y1915" i="3"/>
  <c r="Z1915" i="3"/>
  <c r="N1916" i="3"/>
  <c r="O1916" i="3"/>
  <c r="P1916" i="3"/>
  <c r="Q1916" i="3"/>
  <c r="R1916" i="3"/>
  <c r="S1916" i="3"/>
  <c r="T1916" i="3"/>
  <c r="U1916" i="3"/>
  <c r="V1916" i="3"/>
  <c r="W1916" i="3"/>
  <c r="X1916" i="3"/>
  <c r="Y1916" i="3"/>
  <c r="Z1916" i="3"/>
  <c r="N1917" i="3"/>
  <c r="O1917" i="3"/>
  <c r="P1917" i="3"/>
  <c r="Q1917" i="3"/>
  <c r="R1917" i="3"/>
  <c r="S1917" i="3"/>
  <c r="T1917" i="3"/>
  <c r="U1917" i="3"/>
  <c r="V1917" i="3"/>
  <c r="W1917" i="3"/>
  <c r="X1917" i="3"/>
  <c r="Y1917" i="3"/>
  <c r="Z1917" i="3"/>
  <c r="N1918" i="3"/>
  <c r="O1918" i="3"/>
  <c r="P1918" i="3"/>
  <c r="Q1918" i="3"/>
  <c r="R1918" i="3"/>
  <c r="S1918" i="3"/>
  <c r="T1918" i="3"/>
  <c r="U1918" i="3"/>
  <c r="V1918" i="3"/>
  <c r="W1918" i="3"/>
  <c r="X1918" i="3"/>
  <c r="Y1918" i="3"/>
  <c r="Z1918" i="3"/>
  <c r="N1919" i="3"/>
  <c r="O1919" i="3"/>
  <c r="P1919" i="3"/>
  <c r="Q1919" i="3"/>
  <c r="R1919" i="3"/>
  <c r="S1919" i="3"/>
  <c r="T1919" i="3"/>
  <c r="U1919" i="3"/>
  <c r="V1919" i="3"/>
  <c r="W1919" i="3"/>
  <c r="X1919" i="3"/>
  <c r="Y1919" i="3"/>
  <c r="Z1919" i="3"/>
  <c r="N1920" i="3"/>
  <c r="O1920" i="3"/>
  <c r="P1920" i="3"/>
  <c r="Q1920" i="3"/>
  <c r="R1920" i="3"/>
  <c r="S1920" i="3"/>
  <c r="T1920" i="3"/>
  <c r="U1920" i="3"/>
  <c r="V1920" i="3"/>
  <c r="W1920" i="3"/>
  <c r="X1920" i="3"/>
  <c r="Y1920" i="3"/>
  <c r="Z1920" i="3"/>
  <c r="N1921" i="3"/>
  <c r="O1921" i="3"/>
  <c r="P1921" i="3"/>
  <c r="Q1921" i="3"/>
  <c r="R1921" i="3"/>
  <c r="S1921" i="3"/>
  <c r="T1921" i="3"/>
  <c r="U1921" i="3"/>
  <c r="V1921" i="3"/>
  <c r="W1921" i="3"/>
  <c r="X1921" i="3"/>
  <c r="Y1921" i="3"/>
  <c r="Z1921" i="3"/>
  <c r="N1922" i="3"/>
  <c r="O1922" i="3"/>
  <c r="P1922" i="3"/>
  <c r="Q1922" i="3"/>
  <c r="R1922" i="3"/>
  <c r="S1922" i="3"/>
  <c r="T1922" i="3"/>
  <c r="U1922" i="3"/>
  <c r="V1922" i="3"/>
  <c r="W1922" i="3"/>
  <c r="X1922" i="3"/>
  <c r="Y1922" i="3"/>
  <c r="Z1922" i="3"/>
  <c r="N1923" i="3"/>
  <c r="O1923" i="3"/>
  <c r="P1923" i="3"/>
  <c r="Q1923" i="3"/>
  <c r="R1923" i="3"/>
  <c r="S1923" i="3"/>
  <c r="T1923" i="3"/>
  <c r="U1923" i="3"/>
  <c r="V1923" i="3"/>
  <c r="W1923" i="3"/>
  <c r="X1923" i="3"/>
  <c r="Y1923" i="3"/>
  <c r="Z1923" i="3"/>
  <c r="N1924" i="3"/>
  <c r="O1924" i="3"/>
  <c r="P1924" i="3"/>
  <c r="Q1924" i="3"/>
  <c r="R1924" i="3"/>
  <c r="S1924" i="3"/>
  <c r="T1924" i="3"/>
  <c r="U1924" i="3"/>
  <c r="V1924" i="3"/>
  <c r="W1924" i="3"/>
  <c r="X1924" i="3"/>
  <c r="Y1924" i="3"/>
  <c r="Z1924" i="3"/>
  <c r="N1925" i="3"/>
  <c r="O1925" i="3"/>
  <c r="P1925" i="3"/>
  <c r="Q1925" i="3"/>
  <c r="R1925" i="3"/>
  <c r="S1925" i="3"/>
  <c r="T1925" i="3"/>
  <c r="U1925" i="3"/>
  <c r="V1925" i="3"/>
  <c r="W1925" i="3"/>
  <c r="X1925" i="3"/>
  <c r="Y1925" i="3"/>
  <c r="Z1925" i="3"/>
  <c r="N1926" i="3"/>
  <c r="O1926" i="3"/>
  <c r="P1926" i="3"/>
  <c r="Q1926" i="3"/>
  <c r="R1926" i="3"/>
  <c r="S1926" i="3"/>
  <c r="T1926" i="3"/>
  <c r="U1926" i="3"/>
  <c r="V1926" i="3"/>
  <c r="W1926" i="3"/>
  <c r="X1926" i="3"/>
  <c r="Y1926" i="3"/>
  <c r="Z1926" i="3"/>
  <c r="N1927" i="3"/>
  <c r="O1927" i="3"/>
  <c r="P1927" i="3"/>
  <c r="Q1927" i="3"/>
  <c r="R1927" i="3"/>
  <c r="S1927" i="3"/>
  <c r="T1927" i="3"/>
  <c r="U1927" i="3"/>
  <c r="V1927" i="3"/>
  <c r="W1927" i="3"/>
  <c r="X1927" i="3"/>
  <c r="Y1927" i="3"/>
  <c r="Z1927" i="3"/>
  <c r="N1928" i="3"/>
  <c r="O1928" i="3"/>
  <c r="P1928" i="3"/>
  <c r="Q1928" i="3"/>
  <c r="R1928" i="3"/>
  <c r="S1928" i="3"/>
  <c r="T1928" i="3"/>
  <c r="U1928" i="3"/>
  <c r="V1928" i="3"/>
  <c r="W1928" i="3"/>
  <c r="X1928" i="3"/>
  <c r="Y1928" i="3"/>
  <c r="Z1928" i="3"/>
  <c r="N1929" i="3"/>
  <c r="O1929" i="3"/>
  <c r="P1929" i="3"/>
  <c r="Q1929" i="3"/>
  <c r="R1929" i="3"/>
  <c r="S1929" i="3"/>
  <c r="T1929" i="3"/>
  <c r="U1929" i="3"/>
  <c r="V1929" i="3"/>
  <c r="W1929" i="3"/>
  <c r="X1929" i="3"/>
  <c r="Y1929" i="3"/>
  <c r="Z1929" i="3"/>
  <c r="N1930" i="3"/>
  <c r="O1930" i="3"/>
  <c r="P1930" i="3"/>
  <c r="Q1930" i="3"/>
  <c r="R1930" i="3"/>
  <c r="S1930" i="3"/>
  <c r="T1930" i="3"/>
  <c r="U1930" i="3"/>
  <c r="V1930" i="3"/>
  <c r="W1930" i="3"/>
  <c r="X1930" i="3"/>
  <c r="Y1930" i="3"/>
  <c r="Z1930" i="3"/>
  <c r="N1931" i="3"/>
  <c r="O1931" i="3"/>
  <c r="P1931" i="3"/>
  <c r="Q1931" i="3"/>
  <c r="R1931" i="3"/>
  <c r="S1931" i="3"/>
  <c r="T1931" i="3"/>
  <c r="U1931" i="3"/>
  <c r="V1931" i="3"/>
  <c r="W1931" i="3"/>
  <c r="X1931" i="3"/>
  <c r="Y1931" i="3"/>
  <c r="Z1931" i="3"/>
  <c r="N1932" i="3"/>
  <c r="O1932" i="3"/>
  <c r="P1932" i="3"/>
  <c r="Q1932" i="3"/>
  <c r="R1932" i="3"/>
  <c r="S1932" i="3"/>
  <c r="T1932" i="3"/>
  <c r="U1932" i="3"/>
  <c r="V1932" i="3"/>
  <c r="W1932" i="3"/>
  <c r="X1932" i="3"/>
  <c r="Y1932" i="3"/>
  <c r="Z1932" i="3"/>
  <c r="N1933" i="3"/>
  <c r="O1933" i="3"/>
  <c r="P1933" i="3"/>
  <c r="Q1933" i="3"/>
  <c r="R1933" i="3"/>
  <c r="S1933" i="3"/>
  <c r="T1933" i="3"/>
  <c r="U1933" i="3"/>
  <c r="V1933" i="3"/>
  <c r="W1933" i="3"/>
  <c r="X1933" i="3"/>
  <c r="Y1933" i="3"/>
  <c r="Z1933" i="3"/>
  <c r="N1934" i="3"/>
  <c r="O1934" i="3"/>
  <c r="P1934" i="3"/>
  <c r="Q1934" i="3"/>
  <c r="R1934" i="3"/>
  <c r="S1934" i="3"/>
  <c r="T1934" i="3"/>
  <c r="U1934" i="3"/>
  <c r="V1934" i="3"/>
  <c r="W1934" i="3"/>
  <c r="X1934" i="3"/>
  <c r="Y1934" i="3"/>
  <c r="Z1934" i="3"/>
  <c r="N1935" i="3"/>
  <c r="O1935" i="3"/>
  <c r="P1935" i="3"/>
  <c r="Q1935" i="3"/>
  <c r="R1935" i="3"/>
  <c r="S1935" i="3"/>
  <c r="T1935" i="3"/>
  <c r="U1935" i="3"/>
  <c r="V1935" i="3"/>
  <c r="W1935" i="3"/>
  <c r="X1935" i="3"/>
  <c r="Y1935" i="3"/>
  <c r="Z1935" i="3"/>
  <c r="N1936" i="3"/>
  <c r="O1936" i="3"/>
  <c r="P1936" i="3"/>
  <c r="Q1936" i="3"/>
  <c r="R1936" i="3"/>
  <c r="S1936" i="3"/>
  <c r="T1936" i="3"/>
  <c r="U1936" i="3"/>
  <c r="V1936" i="3"/>
  <c r="W1936" i="3"/>
  <c r="X1936" i="3"/>
  <c r="Y1936" i="3"/>
  <c r="Z1936" i="3"/>
  <c r="N1937" i="3"/>
  <c r="O1937" i="3"/>
  <c r="P1937" i="3"/>
  <c r="Q1937" i="3"/>
  <c r="R1937" i="3"/>
  <c r="S1937" i="3"/>
  <c r="T1937" i="3"/>
  <c r="U1937" i="3"/>
  <c r="V1937" i="3"/>
  <c r="W1937" i="3"/>
  <c r="X1937" i="3"/>
  <c r="Y1937" i="3"/>
  <c r="Z1937" i="3"/>
  <c r="N1938" i="3"/>
  <c r="O1938" i="3"/>
  <c r="P1938" i="3"/>
  <c r="Q1938" i="3"/>
  <c r="R1938" i="3"/>
  <c r="S1938" i="3"/>
  <c r="T1938" i="3"/>
  <c r="U1938" i="3"/>
  <c r="V1938" i="3"/>
  <c r="W1938" i="3"/>
  <c r="X1938" i="3"/>
  <c r="Y1938" i="3"/>
  <c r="Z1938" i="3"/>
  <c r="N1939" i="3"/>
  <c r="O1939" i="3"/>
  <c r="P1939" i="3"/>
  <c r="Q1939" i="3"/>
  <c r="R1939" i="3"/>
  <c r="S1939" i="3"/>
  <c r="T1939" i="3"/>
  <c r="U1939" i="3"/>
  <c r="V1939" i="3"/>
  <c r="W1939" i="3"/>
  <c r="X1939" i="3"/>
  <c r="Y1939" i="3"/>
  <c r="Z1939" i="3"/>
  <c r="N1940" i="3"/>
  <c r="O1940" i="3"/>
  <c r="P1940" i="3"/>
  <c r="Q1940" i="3"/>
  <c r="R1940" i="3"/>
  <c r="S1940" i="3"/>
  <c r="T1940" i="3"/>
  <c r="U1940" i="3"/>
  <c r="V1940" i="3"/>
  <c r="W1940" i="3"/>
  <c r="X1940" i="3"/>
  <c r="Y1940" i="3"/>
  <c r="Z1940" i="3"/>
  <c r="N1941" i="3"/>
  <c r="O1941" i="3"/>
  <c r="P1941" i="3"/>
  <c r="Q1941" i="3"/>
  <c r="R1941" i="3"/>
  <c r="S1941" i="3"/>
  <c r="T1941" i="3"/>
  <c r="U1941" i="3"/>
  <c r="V1941" i="3"/>
  <c r="W1941" i="3"/>
  <c r="X1941" i="3"/>
  <c r="Y1941" i="3"/>
  <c r="Z1941" i="3"/>
  <c r="N1942" i="3"/>
  <c r="O1942" i="3"/>
  <c r="P1942" i="3"/>
  <c r="Q1942" i="3"/>
  <c r="R1942" i="3"/>
  <c r="S1942" i="3"/>
  <c r="T1942" i="3"/>
  <c r="U1942" i="3"/>
  <c r="V1942" i="3"/>
  <c r="W1942" i="3"/>
  <c r="X1942" i="3"/>
  <c r="Y1942" i="3"/>
  <c r="Z1942" i="3"/>
  <c r="N1943" i="3"/>
  <c r="O1943" i="3"/>
  <c r="P1943" i="3"/>
  <c r="Q1943" i="3"/>
  <c r="R1943" i="3"/>
  <c r="S1943" i="3"/>
  <c r="T1943" i="3"/>
  <c r="U1943" i="3"/>
  <c r="V1943" i="3"/>
  <c r="W1943" i="3"/>
  <c r="X1943" i="3"/>
  <c r="Y1943" i="3"/>
  <c r="Z1943" i="3"/>
  <c r="N1944" i="3"/>
  <c r="O1944" i="3"/>
  <c r="P1944" i="3"/>
  <c r="Q1944" i="3"/>
  <c r="R1944" i="3"/>
  <c r="S1944" i="3"/>
  <c r="T1944" i="3"/>
  <c r="U1944" i="3"/>
  <c r="V1944" i="3"/>
  <c r="W1944" i="3"/>
  <c r="X1944" i="3"/>
  <c r="Y1944" i="3"/>
  <c r="Z1944" i="3"/>
  <c r="N1945" i="3"/>
  <c r="O1945" i="3"/>
  <c r="P1945" i="3"/>
  <c r="Q1945" i="3"/>
  <c r="R1945" i="3"/>
  <c r="S1945" i="3"/>
  <c r="T1945" i="3"/>
  <c r="U1945" i="3"/>
  <c r="V1945" i="3"/>
  <c r="W1945" i="3"/>
  <c r="X1945" i="3"/>
  <c r="Y1945" i="3"/>
  <c r="Z1945" i="3"/>
  <c r="N1946" i="3"/>
  <c r="O1946" i="3"/>
  <c r="P1946" i="3"/>
  <c r="Q1946" i="3"/>
  <c r="R1946" i="3"/>
  <c r="S1946" i="3"/>
  <c r="T1946" i="3"/>
  <c r="U1946" i="3"/>
  <c r="V1946" i="3"/>
  <c r="W1946" i="3"/>
  <c r="X1946" i="3"/>
  <c r="Y1946" i="3"/>
  <c r="Z1946" i="3"/>
  <c r="N1947" i="3"/>
  <c r="O1947" i="3"/>
  <c r="P1947" i="3"/>
  <c r="Q1947" i="3"/>
  <c r="R1947" i="3"/>
  <c r="S1947" i="3"/>
  <c r="T1947" i="3"/>
  <c r="U1947" i="3"/>
  <c r="V1947" i="3"/>
  <c r="W1947" i="3"/>
  <c r="X1947" i="3"/>
  <c r="Y1947" i="3"/>
  <c r="Z1947" i="3"/>
  <c r="N1948" i="3"/>
  <c r="O1948" i="3"/>
  <c r="P1948" i="3"/>
  <c r="Q1948" i="3"/>
  <c r="R1948" i="3"/>
  <c r="S1948" i="3"/>
  <c r="T1948" i="3"/>
  <c r="U1948" i="3"/>
  <c r="V1948" i="3"/>
  <c r="W1948" i="3"/>
  <c r="X1948" i="3"/>
  <c r="Y1948" i="3"/>
  <c r="Z1948" i="3"/>
  <c r="N1949" i="3"/>
  <c r="O1949" i="3"/>
  <c r="P1949" i="3"/>
  <c r="Q1949" i="3"/>
  <c r="R1949" i="3"/>
  <c r="S1949" i="3"/>
  <c r="T1949" i="3"/>
  <c r="U1949" i="3"/>
  <c r="V1949" i="3"/>
  <c r="W1949" i="3"/>
  <c r="X1949" i="3"/>
  <c r="Y1949" i="3"/>
  <c r="Z1949" i="3"/>
  <c r="N1950" i="3"/>
  <c r="O1950" i="3"/>
  <c r="P1950" i="3"/>
  <c r="Q1950" i="3"/>
  <c r="R1950" i="3"/>
  <c r="S1950" i="3"/>
  <c r="T1950" i="3"/>
  <c r="U1950" i="3"/>
  <c r="V1950" i="3"/>
  <c r="W1950" i="3"/>
  <c r="X1950" i="3"/>
  <c r="Y1950" i="3"/>
  <c r="Z1950" i="3"/>
  <c r="N1951" i="3"/>
  <c r="O1951" i="3"/>
  <c r="P1951" i="3"/>
  <c r="Q1951" i="3"/>
  <c r="R1951" i="3"/>
  <c r="S1951" i="3"/>
  <c r="T1951" i="3"/>
  <c r="U1951" i="3"/>
  <c r="V1951" i="3"/>
  <c r="W1951" i="3"/>
  <c r="X1951" i="3"/>
  <c r="Y1951" i="3"/>
  <c r="Z1951" i="3"/>
  <c r="N1952" i="3"/>
  <c r="O1952" i="3"/>
  <c r="P1952" i="3"/>
  <c r="Q1952" i="3"/>
  <c r="R1952" i="3"/>
  <c r="S1952" i="3"/>
  <c r="T1952" i="3"/>
  <c r="U1952" i="3"/>
  <c r="V1952" i="3"/>
  <c r="W1952" i="3"/>
  <c r="X1952" i="3"/>
  <c r="Y1952" i="3"/>
  <c r="Z1952" i="3"/>
  <c r="N1953" i="3"/>
  <c r="O1953" i="3"/>
  <c r="P1953" i="3"/>
  <c r="Q1953" i="3"/>
  <c r="R1953" i="3"/>
  <c r="S1953" i="3"/>
  <c r="T1953" i="3"/>
  <c r="U1953" i="3"/>
  <c r="V1953" i="3"/>
  <c r="W1953" i="3"/>
  <c r="X1953" i="3"/>
  <c r="Y1953" i="3"/>
  <c r="Z1953" i="3"/>
  <c r="N1954" i="3"/>
  <c r="O1954" i="3"/>
  <c r="P1954" i="3"/>
  <c r="Q1954" i="3"/>
  <c r="R1954" i="3"/>
  <c r="S1954" i="3"/>
  <c r="T1954" i="3"/>
  <c r="U1954" i="3"/>
  <c r="V1954" i="3"/>
  <c r="W1954" i="3"/>
  <c r="X1954" i="3"/>
  <c r="Y1954" i="3"/>
  <c r="Z1954" i="3"/>
  <c r="N1955" i="3"/>
  <c r="O1955" i="3"/>
  <c r="P1955" i="3"/>
  <c r="Q1955" i="3"/>
  <c r="R1955" i="3"/>
  <c r="S1955" i="3"/>
  <c r="T1955" i="3"/>
  <c r="U1955" i="3"/>
  <c r="V1955" i="3"/>
  <c r="W1955" i="3"/>
  <c r="X1955" i="3"/>
  <c r="Y1955" i="3"/>
  <c r="Z1955" i="3"/>
  <c r="N1956" i="3"/>
  <c r="O1956" i="3"/>
  <c r="P1956" i="3"/>
  <c r="Q1956" i="3"/>
  <c r="R1956" i="3"/>
  <c r="S1956" i="3"/>
  <c r="T1956" i="3"/>
  <c r="U1956" i="3"/>
  <c r="V1956" i="3"/>
  <c r="W1956" i="3"/>
  <c r="X1956" i="3"/>
  <c r="Y1956" i="3"/>
  <c r="Z1956" i="3"/>
  <c r="N1957" i="3"/>
  <c r="O1957" i="3"/>
  <c r="P1957" i="3"/>
  <c r="Q1957" i="3"/>
  <c r="R1957" i="3"/>
  <c r="S1957" i="3"/>
  <c r="T1957" i="3"/>
  <c r="U1957" i="3"/>
  <c r="V1957" i="3"/>
  <c r="W1957" i="3"/>
  <c r="X1957" i="3"/>
  <c r="Y1957" i="3"/>
  <c r="Z1957" i="3"/>
  <c r="N1958" i="3"/>
  <c r="O1958" i="3"/>
  <c r="P1958" i="3"/>
  <c r="Q1958" i="3"/>
  <c r="R1958" i="3"/>
  <c r="S1958" i="3"/>
  <c r="T1958" i="3"/>
  <c r="U1958" i="3"/>
  <c r="V1958" i="3"/>
  <c r="W1958" i="3"/>
  <c r="X1958" i="3"/>
  <c r="Y1958" i="3"/>
  <c r="Z1958" i="3"/>
  <c r="N1959" i="3"/>
  <c r="O1959" i="3"/>
  <c r="P1959" i="3"/>
  <c r="Q1959" i="3"/>
  <c r="R1959" i="3"/>
  <c r="S1959" i="3"/>
  <c r="T1959" i="3"/>
  <c r="U1959" i="3"/>
  <c r="V1959" i="3"/>
  <c r="W1959" i="3"/>
  <c r="X1959" i="3"/>
  <c r="Y1959" i="3"/>
  <c r="Z1959" i="3"/>
  <c r="N1960" i="3"/>
  <c r="O1960" i="3"/>
  <c r="P1960" i="3"/>
  <c r="Q1960" i="3"/>
  <c r="R1960" i="3"/>
  <c r="S1960" i="3"/>
  <c r="T1960" i="3"/>
  <c r="U1960" i="3"/>
  <c r="V1960" i="3"/>
  <c r="W1960" i="3"/>
  <c r="X1960" i="3"/>
  <c r="Y1960" i="3"/>
  <c r="Z1960" i="3"/>
  <c r="N1961" i="3"/>
  <c r="O1961" i="3"/>
  <c r="P1961" i="3"/>
  <c r="Q1961" i="3"/>
  <c r="R1961" i="3"/>
  <c r="S1961" i="3"/>
  <c r="T1961" i="3"/>
  <c r="U1961" i="3"/>
  <c r="V1961" i="3"/>
  <c r="W1961" i="3"/>
  <c r="X1961" i="3"/>
  <c r="Y1961" i="3"/>
  <c r="Z1961" i="3"/>
  <c r="N1962" i="3"/>
  <c r="O1962" i="3"/>
  <c r="P1962" i="3"/>
  <c r="Q1962" i="3"/>
  <c r="R1962" i="3"/>
  <c r="S1962" i="3"/>
  <c r="T1962" i="3"/>
  <c r="U1962" i="3"/>
  <c r="V1962" i="3"/>
  <c r="W1962" i="3"/>
  <c r="X1962" i="3"/>
  <c r="Y1962" i="3"/>
  <c r="Z1962" i="3"/>
  <c r="N1963" i="3"/>
  <c r="O1963" i="3"/>
  <c r="P1963" i="3"/>
  <c r="Q1963" i="3"/>
  <c r="R1963" i="3"/>
  <c r="S1963" i="3"/>
  <c r="T1963" i="3"/>
  <c r="U1963" i="3"/>
  <c r="V1963" i="3"/>
  <c r="W1963" i="3"/>
  <c r="X1963" i="3"/>
  <c r="Y1963" i="3"/>
  <c r="Z1963" i="3"/>
  <c r="N1964" i="3"/>
  <c r="O1964" i="3"/>
  <c r="P1964" i="3"/>
  <c r="Q1964" i="3"/>
  <c r="R1964" i="3"/>
  <c r="S1964" i="3"/>
  <c r="T1964" i="3"/>
  <c r="U1964" i="3"/>
  <c r="V1964" i="3"/>
  <c r="W1964" i="3"/>
  <c r="X1964" i="3"/>
  <c r="Y1964" i="3"/>
  <c r="Z1964" i="3"/>
  <c r="N1965" i="3"/>
  <c r="O1965" i="3"/>
  <c r="P1965" i="3"/>
  <c r="Q1965" i="3"/>
  <c r="R1965" i="3"/>
  <c r="S1965" i="3"/>
  <c r="T1965" i="3"/>
  <c r="U1965" i="3"/>
  <c r="V1965" i="3"/>
  <c r="W1965" i="3"/>
  <c r="X1965" i="3"/>
  <c r="Y1965" i="3"/>
  <c r="Z1965" i="3"/>
  <c r="N1966" i="3"/>
  <c r="O1966" i="3"/>
  <c r="P1966" i="3"/>
  <c r="Q1966" i="3"/>
  <c r="R1966" i="3"/>
  <c r="S1966" i="3"/>
  <c r="T1966" i="3"/>
  <c r="U1966" i="3"/>
  <c r="V1966" i="3"/>
  <c r="W1966" i="3"/>
  <c r="X1966" i="3"/>
  <c r="Y1966" i="3"/>
  <c r="Z1966" i="3"/>
  <c r="N1967" i="3"/>
  <c r="O1967" i="3"/>
  <c r="P1967" i="3"/>
  <c r="Q1967" i="3"/>
  <c r="R1967" i="3"/>
  <c r="S1967" i="3"/>
  <c r="T1967" i="3"/>
  <c r="U1967" i="3"/>
  <c r="V1967" i="3"/>
  <c r="W1967" i="3"/>
  <c r="X1967" i="3"/>
  <c r="Y1967" i="3"/>
  <c r="Z1967" i="3"/>
  <c r="N1968" i="3"/>
  <c r="O1968" i="3"/>
  <c r="P1968" i="3"/>
  <c r="Q1968" i="3"/>
  <c r="R1968" i="3"/>
  <c r="S1968" i="3"/>
  <c r="T1968" i="3"/>
  <c r="U1968" i="3"/>
  <c r="V1968" i="3"/>
  <c r="W1968" i="3"/>
  <c r="X1968" i="3"/>
  <c r="Y1968" i="3"/>
  <c r="Z1968" i="3"/>
  <c r="N1969" i="3"/>
  <c r="O1969" i="3"/>
  <c r="P1969" i="3"/>
  <c r="Q1969" i="3"/>
  <c r="R1969" i="3"/>
  <c r="S1969" i="3"/>
  <c r="T1969" i="3"/>
  <c r="U1969" i="3"/>
  <c r="V1969" i="3"/>
  <c r="W1969" i="3"/>
  <c r="X1969" i="3"/>
  <c r="Y1969" i="3"/>
  <c r="Z1969" i="3"/>
  <c r="N1970" i="3"/>
  <c r="O1970" i="3"/>
  <c r="P1970" i="3"/>
  <c r="Q1970" i="3"/>
  <c r="R1970" i="3"/>
  <c r="S1970" i="3"/>
  <c r="T1970" i="3"/>
  <c r="U1970" i="3"/>
  <c r="V1970" i="3"/>
  <c r="W1970" i="3"/>
  <c r="X1970" i="3"/>
  <c r="Y1970" i="3"/>
  <c r="Z1970" i="3"/>
  <c r="N1971" i="3"/>
  <c r="O1971" i="3"/>
  <c r="P1971" i="3"/>
  <c r="Q1971" i="3"/>
  <c r="R1971" i="3"/>
  <c r="S1971" i="3"/>
  <c r="T1971" i="3"/>
  <c r="U1971" i="3"/>
  <c r="V1971" i="3"/>
  <c r="W1971" i="3"/>
  <c r="X1971" i="3"/>
  <c r="Y1971" i="3"/>
  <c r="Z1971" i="3"/>
  <c r="N1972" i="3"/>
  <c r="O1972" i="3"/>
  <c r="P1972" i="3"/>
  <c r="Q1972" i="3"/>
  <c r="R1972" i="3"/>
  <c r="S1972" i="3"/>
  <c r="T1972" i="3"/>
  <c r="U1972" i="3"/>
  <c r="V1972" i="3"/>
  <c r="W1972" i="3"/>
  <c r="X1972" i="3"/>
  <c r="Y1972" i="3"/>
  <c r="Z1972" i="3"/>
  <c r="N1973" i="3"/>
  <c r="O1973" i="3"/>
  <c r="P1973" i="3"/>
  <c r="Q1973" i="3"/>
  <c r="R1973" i="3"/>
  <c r="S1973" i="3"/>
  <c r="T1973" i="3"/>
  <c r="U1973" i="3"/>
  <c r="V1973" i="3"/>
  <c r="W1973" i="3"/>
  <c r="X1973" i="3"/>
  <c r="Y1973" i="3"/>
  <c r="Z1973" i="3"/>
  <c r="N1974" i="3"/>
  <c r="O1974" i="3"/>
  <c r="P1974" i="3"/>
  <c r="Q1974" i="3"/>
  <c r="R1974" i="3"/>
  <c r="S1974" i="3"/>
  <c r="T1974" i="3"/>
  <c r="U1974" i="3"/>
  <c r="V1974" i="3"/>
  <c r="W1974" i="3"/>
  <c r="X1974" i="3"/>
  <c r="Y1974" i="3"/>
  <c r="Z1974" i="3"/>
  <c r="N1975" i="3"/>
  <c r="O1975" i="3"/>
  <c r="P1975" i="3"/>
  <c r="Q1975" i="3"/>
  <c r="R1975" i="3"/>
  <c r="S1975" i="3"/>
  <c r="T1975" i="3"/>
  <c r="U1975" i="3"/>
  <c r="V1975" i="3"/>
  <c r="W1975" i="3"/>
  <c r="X1975" i="3"/>
  <c r="Y1975" i="3"/>
  <c r="Z1975" i="3"/>
  <c r="N1976" i="3"/>
  <c r="O1976" i="3"/>
  <c r="P1976" i="3"/>
  <c r="Q1976" i="3"/>
  <c r="R1976" i="3"/>
  <c r="S1976" i="3"/>
  <c r="T1976" i="3"/>
  <c r="U1976" i="3"/>
  <c r="V1976" i="3"/>
  <c r="W1976" i="3"/>
  <c r="X1976" i="3"/>
  <c r="Y1976" i="3"/>
  <c r="Z1976" i="3"/>
  <c r="N1977" i="3"/>
  <c r="O1977" i="3"/>
  <c r="P1977" i="3"/>
  <c r="Q1977" i="3"/>
  <c r="R1977" i="3"/>
  <c r="S1977" i="3"/>
  <c r="T1977" i="3"/>
  <c r="U1977" i="3"/>
  <c r="V1977" i="3"/>
  <c r="W1977" i="3"/>
  <c r="X1977" i="3"/>
  <c r="Y1977" i="3"/>
  <c r="Z1977" i="3"/>
  <c r="N1978" i="3"/>
  <c r="O1978" i="3"/>
  <c r="P1978" i="3"/>
  <c r="Q1978" i="3"/>
  <c r="R1978" i="3"/>
  <c r="S1978" i="3"/>
  <c r="T1978" i="3"/>
  <c r="U1978" i="3"/>
  <c r="V1978" i="3"/>
  <c r="W1978" i="3"/>
  <c r="X1978" i="3"/>
  <c r="Y1978" i="3"/>
  <c r="Z1978" i="3"/>
  <c r="N1979" i="3"/>
  <c r="O1979" i="3"/>
  <c r="P1979" i="3"/>
  <c r="Q1979" i="3"/>
  <c r="R1979" i="3"/>
  <c r="S1979" i="3"/>
  <c r="T1979" i="3"/>
  <c r="U1979" i="3"/>
  <c r="V1979" i="3"/>
  <c r="W1979" i="3"/>
  <c r="X1979" i="3"/>
  <c r="Y1979" i="3"/>
  <c r="Z1979" i="3"/>
  <c r="N1980" i="3"/>
  <c r="O1980" i="3"/>
  <c r="P1980" i="3"/>
  <c r="Q1980" i="3"/>
  <c r="R1980" i="3"/>
  <c r="S1980" i="3"/>
  <c r="T1980" i="3"/>
  <c r="U1980" i="3"/>
  <c r="V1980" i="3"/>
  <c r="W1980" i="3"/>
  <c r="X1980" i="3"/>
  <c r="Y1980" i="3"/>
  <c r="Z1980" i="3"/>
  <c r="N1981" i="3"/>
  <c r="O1981" i="3"/>
  <c r="P1981" i="3"/>
  <c r="Q1981" i="3"/>
  <c r="R1981" i="3"/>
  <c r="S1981" i="3"/>
  <c r="T1981" i="3"/>
  <c r="U1981" i="3"/>
  <c r="V1981" i="3"/>
  <c r="W1981" i="3"/>
  <c r="X1981" i="3"/>
  <c r="Y1981" i="3"/>
  <c r="Z1981" i="3"/>
  <c r="N1982" i="3"/>
  <c r="O1982" i="3"/>
  <c r="P1982" i="3"/>
  <c r="Q1982" i="3"/>
  <c r="R1982" i="3"/>
  <c r="S1982" i="3"/>
  <c r="T1982" i="3"/>
  <c r="U1982" i="3"/>
  <c r="V1982" i="3"/>
  <c r="W1982" i="3"/>
  <c r="X1982" i="3"/>
  <c r="Y1982" i="3"/>
  <c r="Z1982" i="3"/>
  <c r="N1983" i="3"/>
  <c r="O1983" i="3"/>
  <c r="P1983" i="3"/>
  <c r="Q1983" i="3"/>
  <c r="R1983" i="3"/>
  <c r="S1983" i="3"/>
  <c r="T1983" i="3"/>
  <c r="U1983" i="3"/>
  <c r="V1983" i="3"/>
  <c r="W1983" i="3"/>
  <c r="X1983" i="3"/>
  <c r="Y1983" i="3"/>
  <c r="Z1983" i="3"/>
  <c r="N1984" i="3"/>
  <c r="O1984" i="3"/>
  <c r="P1984" i="3"/>
  <c r="Q1984" i="3"/>
  <c r="R1984" i="3"/>
  <c r="S1984" i="3"/>
  <c r="T1984" i="3"/>
  <c r="U1984" i="3"/>
  <c r="V1984" i="3"/>
  <c r="W1984" i="3"/>
  <c r="X1984" i="3"/>
  <c r="Y1984" i="3"/>
  <c r="Z1984" i="3"/>
  <c r="N1985" i="3"/>
  <c r="O1985" i="3"/>
  <c r="P1985" i="3"/>
  <c r="Q1985" i="3"/>
  <c r="R1985" i="3"/>
  <c r="S1985" i="3"/>
  <c r="T1985" i="3"/>
  <c r="U1985" i="3"/>
  <c r="V1985" i="3"/>
  <c r="W1985" i="3"/>
  <c r="X1985" i="3"/>
  <c r="Y1985" i="3"/>
  <c r="Z1985" i="3"/>
  <c r="N1986" i="3"/>
  <c r="O1986" i="3"/>
  <c r="P1986" i="3"/>
  <c r="Q1986" i="3"/>
  <c r="R1986" i="3"/>
  <c r="S1986" i="3"/>
  <c r="T1986" i="3"/>
  <c r="U1986" i="3"/>
  <c r="V1986" i="3"/>
  <c r="W1986" i="3"/>
  <c r="X1986" i="3"/>
  <c r="Y1986" i="3"/>
  <c r="Z1986" i="3"/>
  <c r="N1987" i="3"/>
  <c r="O1987" i="3"/>
  <c r="P1987" i="3"/>
  <c r="Q1987" i="3"/>
  <c r="R1987" i="3"/>
  <c r="S1987" i="3"/>
  <c r="T1987" i="3"/>
  <c r="U1987" i="3"/>
  <c r="V1987" i="3"/>
  <c r="W1987" i="3"/>
  <c r="X1987" i="3"/>
  <c r="Y1987" i="3"/>
  <c r="Z1987" i="3"/>
  <c r="N1988" i="3"/>
  <c r="O1988" i="3"/>
  <c r="P1988" i="3"/>
  <c r="Q1988" i="3"/>
  <c r="R1988" i="3"/>
  <c r="S1988" i="3"/>
  <c r="T1988" i="3"/>
  <c r="U1988" i="3"/>
  <c r="V1988" i="3"/>
  <c r="W1988" i="3"/>
  <c r="X1988" i="3"/>
  <c r="Y1988" i="3"/>
  <c r="Z1988" i="3"/>
  <c r="N1989" i="3"/>
  <c r="O1989" i="3"/>
  <c r="P1989" i="3"/>
  <c r="Q1989" i="3"/>
  <c r="R1989" i="3"/>
  <c r="S1989" i="3"/>
  <c r="T1989" i="3"/>
  <c r="U1989" i="3"/>
  <c r="V1989" i="3"/>
  <c r="W1989" i="3"/>
  <c r="X1989" i="3"/>
  <c r="Y1989" i="3"/>
  <c r="Z1989" i="3"/>
  <c r="N1990" i="3"/>
  <c r="O1990" i="3"/>
  <c r="P1990" i="3"/>
  <c r="Q1990" i="3"/>
  <c r="R1990" i="3"/>
  <c r="S1990" i="3"/>
  <c r="T1990" i="3"/>
  <c r="U1990" i="3"/>
  <c r="V1990" i="3"/>
  <c r="W1990" i="3"/>
  <c r="X1990" i="3"/>
  <c r="Y1990" i="3"/>
  <c r="Z1990" i="3"/>
  <c r="N1991" i="3"/>
  <c r="O1991" i="3"/>
  <c r="P1991" i="3"/>
  <c r="Q1991" i="3"/>
  <c r="R1991" i="3"/>
  <c r="S1991" i="3"/>
  <c r="T1991" i="3"/>
  <c r="U1991" i="3"/>
  <c r="V1991" i="3"/>
  <c r="W1991" i="3"/>
  <c r="X1991" i="3"/>
  <c r="Y1991" i="3"/>
  <c r="Z1991" i="3"/>
  <c r="N1992" i="3"/>
  <c r="O1992" i="3"/>
  <c r="P1992" i="3"/>
  <c r="Q1992" i="3"/>
  <c r="R1992" i="3"/>
  <c r="S1992" i="3"/>
  <c r="T1992" i="3"/>
  <c r="U1992" i="3"/>
  <c r="V1992" i="3"/>
  <c r="W1992" i="3"/>
  <c r="X1992" i="3"/>
  <c r="Y1992" i="3"/>
  <c r="Z1992" i="3"/>
  <c r="N1993" i="3"/>
  <c r="O1993" i="3"/>
  <c r="P1993" i="3"/>
  <c r="Q1993" i="3"/>
  <c r="R1993" i="3"/>
  <c r="S1993" i="3"/>
  <c r="T1993" i="3"/>
  <c r="U1993" i="3"/>
  <c r="V1993" i="3"/>
  <c r="W1993" i="3"/>
  <c r="X1993" i="3"/>
  <c r="Y1993" i="3"/>
  <c r="Z1993" i="3"/>
  <c r="N1994" i="3"/>
  <c r="O1994" i="3"/>
  <c r="P1994" i="3"/>
  <c r="Q1994" i="3"/>
  <c r="R1994" i="3"/>
  <c r="S1994" i="3"/>
  <c r="T1994" i="3"/>
  <c r="U1994" i="3"/>
  <c r="V1994" i="3"/>
  <c r="W1994" i="3"/>
  <c r="X1994" i="3"/>
  <c r="Y1994" i="3"/>
  <c r="Z1994" i="3"/>
  <c r="N1995" i="3"/>
  <c r="O1995" i="3"/>
  <c r="P1995" i="3"/>
  <c r="Q1995" i="3"/>
  <c r="R1995" i="3"/>
  <c r="S1995" i="3"/>
  <c r="T1995" i="3"/>
  <c r="U1995" i="3"/>
  <c r="V1995" i="3"/>
  <c r="W1995" i="3"/>
  <c r="X1995" i="3"/>
  <c r="Y1995" i="3"/>
  <c r="Z1995" i="3"/>
  <c r="N1996" i="3"/>
  <c r="O1996" i="3"/>
  <c r="P1996" i="3"/>
  <c r="Q1996" i="3"/>
  <c r="R1996" i="3"/>
  <c r="S1996" i="3"/>
  <c r="T1996" i="3"/>
  <c r="U1996" i="3"/>
  <c r="V1996" i="3"/>
  <c r="W1996" i="3"/>
  <c r="X1996" i="3"/>
  <c r="Y1996" i="3"/>
  <c r="Z1996" i="3"/>
  <c r="N1997" i="3"/>
  <c r="O1997" i="3"/>
  <c r="P1997" i="3"/>
  <c r="Q1997" i="3"/>
  <c r="R1997" i="3"/>
  <c r="S1997" i="3"/>
  <c r="T1997" i="3"/>
  <c r="U1997" i="3"/>
  <c r="V1997" i="3"/>
  <c r="W1997" i="3"/>
  <c r="X1997" i="3"/>
  <c r="Y1997" i="3"/>
  <c r="Z1997" i="3"/>
  <c r="N1998" i="3"/>
  <c r="O1998" i="3"/>
  <c r="P1998" i="3"/>
  <c r="Q1998" i="3"/>
  <c r="R1998" i="3"/>
  <c r="S1998" i="3"/>
  <c r="T1998" i="3"/>
  <c r="U1998" i="3"/>
  <c r="V1998" i="3"/>
  <c r="W1998" i="3"/>
  <c r="X1998" i="3"/>
  <c r="Y1998" i="3"/>
  <c r="Z1998" i="3"/>
  <c r="N1999" i="3"/>
  <c r="O1999" i="3"/>
  <c r="P1999" i="3"/>
  <c r="Q1999" i="3"/>
  <c r="R1999" i="3"/>
  <c r="S1999" i="3"/>
  <c r="T1999" i="3"/>
  <c r="U1999" i="3"/>
  <c r="V1999" i="3"/>
  <c r="W1999" i="3"/>
  <c r="X1999" i="3"/>
  <c r="Y1999" i="3"/>
  <c r="Z1999" i="3"/>
  <c r="N2000" i="3"/>
  <c r="O2000" i="3"/>
  <c r="P2000" i="3"/>
  <c r="Q2000" i="3"/>
  <c r="R2000" i="3"/>
  <c r="S2000" i="3"/>
  <c r="T2000" i="3"/>
  <c r="U2000" i="3"/>
  <c r="V2000" i="3"/>
  <c r="W2000" i="3"/>
  <c r="X2000" i="3"/>
  <c r="Y2000" i="3"/>
  <c r="Z2000" i="3"/>
  <c r="N2001" i="3"/>
  <c r="O2001" i="3"/>
  <c r="P2001" i="3"/>
  <c r="Q2001" i="3"/>
  <c r="R2001" i="3"/>
  <c r="S2001" i="3"/>
  <c r="T2001" i="3"/>
  <c r="U2001" i="3"/>
  <c r="V2001" i="3"/>
  <c r="W2001" i="3"/>
  <c r="X2001" i="3"/>
  <c r="Y2001" i="3"/>
  <c r="Z2001" i="3"/>
  <c r="N2002" i="3"/>
  <c r="O2002" i="3"/>
  <c r="P2002" i="3"/>
  <c r="Q2002" i="3"/>
  <c r="R2002" i="3"/>
  <c r="S2002" i="3"/>
  <c r="T2002" i="3"/>
  <c r="U2002" i="3"/>
  <c r="V2002" i="3"/>
  <c r="W2002" i="3"/>
  <c r="X2002" i="3"/>
  <c r="Y2002" i="3"/>
  <c r="Z2002" i="3"/>
  <c r="N2003" i="3"/>
  <c r="O2003" i="3"/>
  <c r="P2003" i="3"/>
  <c r="Q2003" i="3"/>
  <c r="R2003" i="3"/>
  <c r="S2003" i="3"/>
  <c r="T2003" i="3"/>
  <c r="U2003" i="3"/>
  <c r="V2003" i="3"/>
  <c r="W2003" i="3"/>
  <c r="X2003" i="3"/>
  <c r="Y2003" i="3"/>
  <c r="Z2003" i="3"/>
  <c r="N2004" i="3"/>
  <c r="O2004" i="3"/>
  <c r="P2004" i="3"/>
  <c r="Q2004" i="3"/>
  <c r="R2004" i="3"/>
  <c r="S2004" i="3"/>
  <c r="T2004" i="3"/>
  <c r="U2004" i="3"/>
  <c r="V2004" i="3"/>
  <c r="W2004" i="3"/>
  <c r="X2004" i="3"/>
  <c r="Y2004" i="3"/>
  <c r="Z2004" i="3"/>
  <c r="N2005" i="3"/>
  <c r="O2005" i="3"/>
  <c r="P2005" i="3"/>
  <c r="Q2005" i="3"/>
  <c r="R2005" i="3"/>
  <c r="S2005" i="3"/>
  <c r="T2005" i="3"/>
  <c r="U2005" i="3"/>
  <c r="V2005" i="3"/>
  <c r="W2005" i="3"/>
  <c r="X2005" i="3"/>
  <c r="Y2005" i="3"/>
  <c r="Z2005" i="3"/>
  <c r="N2006" i="3"/>
  <c r="O2006" i="3"/>
  <c r="P2006" i="3"/>
  <c r="Q2006" i="3"/>
  <c r="R2006" i="3"/>
  <c r="S2006" i="3"/>
  <c r="T2006" i="3"/>
  <c r="U2006" i="3"/>
  <c r="V2006" i="3"/>
  <c r="W2006" i="3"/>
  <c r="X2006" i="3"/>
  <c r="Y2006" i="3"/>
  <c r="Z2006" i="3"/>
  <c r="N2007" i="3"/>
  <c r="O2007" i="3"/>
  <c r="P2007" i="3"/>
  <c r="Q2007" i="3"/>
  <c r="R2007" i="3"/>
  <c r="S2007" i="3"/>
  <c r="T2007" i="3"/>
  <c r="U2007" i="3"/>
  <c r="V2007" i="3"/>
  <c r="W2007" i="3"/>
  <c r="X2007" i="3"/>
  <c r="Y2007" i="3"/>
  <c r="Z2007" i="3"/>
  <c r="N2008" i="3"/>
  <c r="O2008" i="3"/>
  <c r="P2008" i="3"/>
  <c r="Q2008" i="3"/>
  <c r="R2008" i="3"/>
  <c r="S2008" i="3"/>
  <c r="T2008" i="3"/>
  <c r="U2008" i="3"/>
  <c r="V2008" i="3"/>
  <c r="W2008" i="3"/>
  <c r="X2008" i="3"/>
  <c r="Y2008" i="3"/>
  <c r="Z2008" i="3"/>
  <c r="N2009" i="3"/>
  <c r="O2009" i="3"/>
  <c r="P2009" i="3"/>
  <c r="Q2009" i="3"/>
  <c r="R2009" i="3"/>
  <c r="S2009" i="3"/>
  <c r="T2009" i="3"/>
  <c r="U2009" i="3"/>
  <c r="V2009" i="3"/>
  <c r="W2009" i="3"/>
  <c r="X2009" i="3"/>
  <c r="Y2009" i="3"/>
  <c r="Z2009" i="3"/>
  <c r="N2010" i="3"/>
  <c r="O2010" i="3"/>
  <c r="P2010" i="3"/>
  <c r="Q2010" i="3"/>
  <c r="R2010" i="3"/>
  <c r="S2010" i="3"/>
  <c r="T2010" i="3"/>
  <c r="U2010" i="3"/>
  <c r="V2010" i="3"/>
  <c r="W2010" i="3"/>
  <c r="X2010" i="3"/>
  <c r="Y2010" i="3"/>
  <c r="Z2010" i="3"/>
  <c r="N2011" i="3"/>
  <c r="O2011" i="3"/>
  <c r="P2011" i="3"/>
  <c r="Q2011" i="3"/>
  <c r="R2011" i="3"/>
  <c r="S2011" i="3"/>
  <c r="T2011" i="3"/>
  <c r="U2011" i="3"/>
  <c r="V2011" i="3"/>
  <c r="W2011" i="3"/>
  <c r="X2011" i="3"/>
  <c r="Y2011" i="3"/>
  <c r="Z2011" i="3"/>
  <c r="N2012" i="3"/>
  <c r="O2012" i="3"/>
  <c r="P2012" i="3"/>
  <c r="Q2012" i="3"/>
  <c r="R2012" i="3"/>
  <c r="S2012" i="3"/>
  <c r="T2012" i="3"/>
  <c r="U2012" i="3"/>
  <c r="V2012" i="3"/>
  <c r="W2012" i="3"/>
  <c r="X2012" i="3"/>
  <c r="Y2012" i="3"/>
  <c r="Z2012" i="3"/>
  <c r="N2013" i="3"/>
  <c r="O2013" i="3"/>
  <c r="P2013" i="3"/>
  <c r="Q2013" i="3"/>
  <c r="R2013" i="3"/>
  <c r="S2013" i="3"/>
  <c r="T2013" i="3"/>
  <c r="U2013" i="3"/>
  <c r="V2013" i="3"/>
  <c r="W2013" i="3"/>
  <c r="X2013" i="3"/>
  <c r="Y2013" i="3"/>
  <c r="Z2013" i="3"/>
  <c r="N2014" i="3"/>
  <c r="O2014" i="3"/>
  <c r="P2014" i="3"/>
  <c r="Q2014" i="3"/>
  <c r="R2014" i="3"/>
  <c r="S2014" i="3"/>
  <c r="T2014" i="3"/>
  <c r="U2014" i="3"/>
  <c r="V2014" i="3"/>
  <c r="W2014" i="3"/>
  <c r="X2014" i="3"/>
  <c r="Y2014" i="3"/>
  <c r="Z2014" i="3"/>
  <c r="N2015" i="3"/>
  <c r="O2015" i="3"/>
  <c r="P2015" i="3"/>
  <c r="Q2015" i="3"/>
  <c r="R2015" i="3"/>
  <c r="S2015" i="3"/>
  <c r="T2015" i="3"/>
  <c r="U2015" i="3"/>
  <c r="V2015" i="3"/>
  <c r="W2015" i="3"/>
  <c r="X2015" i="3"/>
  <c r="Y2015" i="3"/>
  <c r="Z2015" i="3"/>
  <c r="N2016" i="3"/>
  <c r="O2016" i="3"/>
  <c r="P2016" i="3"/>
  <c r="Q2016" i="3"/>
  <c r="R2016" i="3"/>
  <c r="S2016" i="3"/>
  <c r="T2016" i="3"/>
  <c r="U2016" i="3"/>
  <c r="V2016" i="3"/>
  <c r="W2016" i="3"/>
  <c r="X2016" i="3"/>
  <c r="Y2016" i="3"/>
  <c r="Z2016" i="3"/>
  <c r="N2017" i="3"/>
  <c r="O2017" i="3"/>
  <c r="P2017" i="3"/>
  <c r="Q2017" i="3"/>
  <c r="R2017" i="3"/>
  <c r="S2017" i="3"/>
  <c r="T2017" i="3"/>
  <c r="U2017" i="3"/>
  <c r="V2017" i="3"/>
  <c r="W2017" i="3"/>
  <c r="X2017" i="3"/>
  <c r="Y2017" i="3"/>
  <c r="Z2017" i="3"/>
  <c r="N2018" i="3"/>
  <c r="O2018" i="3"/>
  <c r="P2018" i="3"/>
  <c r="Q2018" i="3"/>
  <c r="R2018" i="3"/>
  <c r="S2018" i="3"/>
  <c r="T2018" i="3"/>
  <c r="U2018" i="3"/>
  <c r="V2018" i="3"/>
  <c r="W2018" i="3"/>
  <c r="X2018" i="3"/>
  <c r="Y2018" i="3"/>
  <c r="Z2018" i="3"/>
  <c r="N2019" i="3"/>
  <c r="O2019" i="3"/>
  <c r="P2019" i="3"/>
  <c r="Q2019" i="3"/>
  <c r="R2019" i="3"/>
  <c r="S2019" i="3"/>
  <c r="T2019" i="3"/>
  <c r="U2019" i="3"/>
  <c r="V2019" i="3"/>
  <c r="W2019" i="3"/>
  <c r="X2019" i="3"/>
  <c r="Y2019" i="3"/>
  <c r="Z2019" i="3"/>
  <c r="N2020" i="3"/>
  <c r="Q2020" i="3" s="1"/>
  <c r="O2020" i="3"/>
  <c r="P2020" i="3"/>
  <c r="R2020" i="3" s="1"/>
  <c r="T2020" i="3"/>
  <c r="U2020" i="3"/>
  <c r="V2020" i="3"/>
  <c r="W2020" i="3"/>
  <c r="X2020" i="3"/>
  <c r="Y2020" i="3"/>
  <c r="Z2020" i="3"/>
  <c r="N2021" i="3"/>
  <c r="O2021" i="3"/>
  <c r="W2021" i="3"/>
  <c r="X2021" i="3"/>
  <c r="Y2021" i="3"/>
  <c r="N2022" i="3"/>
  <c r="O2022" i="3"/>
  <c r="W2022" i="3"/>
  <c r="X2022" i="3"/>
  <c r="Y2022" i="3"/>
  <c r="N2023" i="3"/>
  <c r="O2023" i="3"/>
  <c r="U2023" i="3"/>
  <c r="V2023" i="3"/>
  <c r="W2023" i="3"/>
  <c r="X2023" i="3"/>
  <c r="Y2023" i="3"/>
  <c r="N2024" i="3"/>
  <c r="O2024" i="3"/>
  <c r="W2024" i="3" s="1"/>
  <c r="U2024" i="3"/>
  <c r="V2024" i="3"/>
  <c r="X2024" i="3"/>
  <c r="Y2024" i="3"/>
  <c r="N2025" i="3"/>
  <c r="O2025" i="3"/>
  <c r="T2025" i="3"/>
  <c r="U2025" i="3"/>
  <c r="V2025" i="3"/>
  <c r="W2025" i="3"/>
  <c r="X2025" i="3"/>
  <c r="Y2025" i="3"/>
  <c r="N2026" i="3"/>
  <c r="O2026" i="3"/>
  <c r="W2026" i="3" s="1"/>
  <c r="X2026" i="3"/>
  <c r="Y2026" i="3"/>
  <c r="N2027" i="3"/>
  <c r="O2027" i="3"/>
  <c r="U2027" i="3"/>
  <c r="V2027" i="3"/>
  <c r="W2027" i="3"/>
  <c r="X2027" i="3"/>
  <c r="Y2027" i="3"/>
  <c r="N2028" i="3"/>
  <c r="O2028" i="3"/>
  <c r="T2028" i="3"/>
  <c r="U2028" i="3"/>
  <c r="V2028" i="3"/>
  <c r="W2028" i="3"/>
  <c r="X2028" i="3"/>
  <c r="Y2028" i="3"/>
  <c r="N2029" i="3"/>
  <c r="O2029" i="3"/>
  <c r="V2029" i="3"/>
  <c r="W2029" i="3"/>
  <c r="X2029" i="3"/>
  <c r="Y2029" i="3"/>
  <c r="N2030" i="3"/>
  <c r="O2030" i="3"/>
  <c r="T2030" i="3"/>
  <c r="U2030" i="3"/>
  <c r="V2030" i="3"/>
  <c r="W2030" i="3"/>
  <c r="X2030" i="3"/>
  <c r="Y2030" i="3"/>
  <c r="N2031" i="3"/>
  <c r="O2031" i="3"/>
  <c r="V2031" i="3"/>
  <c r="Y2031" i="3"/>
  <c r="N2032" i="3"/>
  <c r="O2032" i="3"/>
  <c r="W2032" i="3" s="1"/>
  <c r="U2032" i="3"/>
  <c r="V2032" i="3"/>
  <c r="X2032" i="3"/>
  <c r="Y2032" i="3"/>
  <c r="N2033" i="3"/>
  <c r="O2033" i="3"/>
  <c r="U2033" i="3"/>
  <c r="V2033" i="3"/>
  <c r="W2033" i="3"/>
  <c r="X2033" i="3"/>
  <c r="Y2033" i="3"/>
  <c r="N2034" i="3"/>
  <c r="O2034" i="3"/>
  <c r="T2034" i="3"/>
  <c r="U2034" i="3"/>
  <c r="V2034" i="3"/>
  <c r="W2034" i="3"/>
  <c r="X2034" i="3"/>
  <c r="Y2034" i="3"/>
  <c r="N2035" i="3"/>
  <c r="O2035" i="3"/>
  <c r="W2035" i="3" s="1"/>
  <c r="V2035" i="3"/>
  <c r="X2035" i="3"/>
  <c r="Y2035" i="3"/>
  <c r="N2036" i="3"/>
  <c r="O2036" i="3"/>
  <c r="U2036" i="3"/>
  <c r="V2036" i="3"/>
  <c r="W2036" i="3"/>
  <c r="X2036" i="3"/>
  <c r="Y2036" i="3"/>
  <c r="N2037" i="3"/>
  <c r="O2037" i="3"/>
  <c r="T2037" i="3"/>
  <c r="U2037" i="3"/>
  <c r="V2037" i="3"/>
  <c r="W2037" i="3"/>
  <c r="X2037" i="3"/>
  <c r="Y2037" i="3"/>
  <c r="N2038" i="3"/>
  <c r="O2038" i="3"/>
  <c r="Y2038" i="3" s="1"/>
  <c r="W2038" i="3"/>
  <c r="X2038" i="3"/>
  <c r="N2039" i="3"/>
  <c r="O2039" i="3"/>
  <c r="U2039" i="3"/>
  <c r="V2039" i="3"/>
  <c r="W2039" i="3"/>
  <c r="X2039" i="3"/>
  <c r="Y2039" i="3"/>
  <c r="N2040" i="3"/>
  <c r="O2040" i="3"/>
  <c r="U2040" i="3"/>
  <c r="V2040" i="3"/>
  <c r="W2040" i="3"/>
  <c r="X2040" i="3"/>
  <c r="Y2040" i="3"/>
  <c r="N2041" i="3"/>
  <c r="O2041" i="3"/>
  <c r="W2041" i="3" s="1"/>
  <c r="V2041" i="3"/>
  <c r="X2041" i="3"/>
  <c r="Y2041" i="3"/>
  <c r="N2042" i="3"/>
  <c r="Q2042" i="3" s="1"/>
  <c r="O2042" i="3"/>
  <c r="P2042" i="3"/>
  <c r="R2042" i="3" s="1"/>
  <c r="T2042" i="3"/>
  <c r="U2042" i="3"/>
  <c r="V2042" i="3"/>
  <c r="W2042" i="3"/>
  <c r="X2042" i="3"/>
  <c r="Y2042" i="3"/>
  <c r="Z2042" i="3"/>
  <c r="N2043" i="3"/>
  <c r="O2043" i="3"/>
  <c r="W2043" i="3"/>
  <c r="X2043" i="3"/>
  <c r="Y2043" i="3"/>
  <c r="N2044" i="3"/>
  <c r="O2044" i="3"/>
  <c r="Y2044" i="3"/>
  <c r="N2045" i="3"/>
  <c r="O2045" i="3"/>
  <c r="T2045" i="3"/>
  <c r="U2045" i="3"/>
  <c r="V2045" i="3"/>
  <c r="W2045" i="3"/>
  <c r="X2045" i="3"/>
  <c r="Y2045" i="3"/>
  <c r="N2046" i="3"/>
  <c r="Q2046" i="3" s="1"/>
  <c r="O2046" i="3"/>
  <c r="P2046" i="3"/>
  <c r="R2046" i="3" s="1"/>
  <c r="T2046" i="3"/>
  <c r="U2046" i="3"/>
  <c r="V2046" i="3"/>
  <c r="W2046" i="3"/>
  <c r="X2046" i="3"/>
  <c r="Y2046" i="3"/>
  <c r="Z2046" i="3"/>
  <c r="N2047" i="3"/>
  <c r="O2047" i="3"/>
  <c r="V2047" i="3"/>
  <c r="Y2047" i="3"/>
  <c r="N2048" i="3"/>
  <c r="O2048" i="3"/>
  <c r="W2048" i="3" s="1"/>
  <c r="T2048" i="3"/>
  <c r="U2048" i="3"/>
  <c r="V2048" i="3"/>
  <c r="X2048" i="3"/>
  <c r="Y2048" i="3"/>
  <c r="N2049" i="3"/>
  <c r="O2049" i="3"/>
  <c r="U2049" i="3"/>
  <c r="V2049" i="3"/>
  <c r="W2049" i="3"/>
  <c r="X2049" i="3"/>
  <c r="Y2049" i="3"/>
  <c r="N2050" i="3"/>
  <c r="O2050" i="3"/>
  <c r="V2050" i="3"/>
  <c r="W2050" i="3"/>
  <c r="X2050" i="3"/>
  <c r="Y2050" i="3"/>
  <c r="N2051" i="3"/>
  <c r="O2051" i="3"/>
  <c r="W2051" i="3"/>
  <c r="X2051" i="3"/>
  <c r="Y2051" i="3"/>
  <c r="N2052" i="3"/>
  <c r="O2052" i="3"/>
  <c r="Y2052" i="3"/>
  <c r="N2053" i="3"/>
  <c r="O2053" i="3"/>
  <c r="U2053" i="3"/>
  <c r="V2053" i="3"/>
  <c r="W2053" i="3"/>
  <c r="X2053" i="3"/>
  <c r="Y2053" i="3"/>
  <c r="N2054" i="3"/>
  <c r="O2054" i="3"/>
  <c r="V2054" i="3"/>
  <c r="W2054" i="3"/>
  <c r="X2054" i="3"/>
  <c r="Y2054" i="3"/>
  <c r="N2055" i="3"/>
  <c r="O2055" i="3"/>
  <c r="T2055" i="3"/>
  <c r="U2055" i="3"/>
  <c r="V2055" i="3"/>
  <c r="N2056" i="3"/>
  <c r="O2056" i="3"/>
  <c r="V2056" i="3"/>
  <c r="W2056" i="3"/>
  <c r="X2056" i="3"/>
  <c r="Y2056" i="3"/>
  <c r="N2057" i="3"/>
  <c r="O2057" i="3"/>
  <c r="T2057" i="3"/>
  <c r="U2057" i="3"/>
  <c r="V2057" i="3"/>
  <c r="W2057" i="3"/>
  <c r="X2057" i="3"/>
  <c r="Y2057" i="3"/>
  <c r="N2058" i="3"/>
  <c r="O2058" i="3"/>
  <c r="T2058" i="3"/>
  <c r="U2058" i="3"/>
  <c r="V2058" i="3"/>
  <c r="W2058" i="3"/>
  <c r="X2058" i="3"/>
  <c r="Y2058" i="3"/>
  <c r="N2059" i="3"/>
  <c r="O2059" i="3"/>
  <c r="U2059" i="3"/>
  <c r="V2059" i="3"/>
  <c r="W2059" i="3"/>
  <c r="X2059" i="3"/>
  <c r="Y2059" i="3"/>
  <c r="N2060" i="3"/>
  <c r="O2060" i="3"/>
  <c r="U2060" i="3"/>
  <c r="V2060" i="3"/>
  <c r="W2060" i="3"/>
  <c r="X2060" i="3"/>
  <c r="Y2060" i="3"/>
  <c r="N2061" i="3"/>
  <c r="Q2061" i="3" s="1"/>
  <c r="O2061" i="3"/>
  <c r="P2061" i="3"/>
  <c r="R2061" i="3" s="1"/>
  <c r="T2061" i="3"/>
  <c r="U2061" i="3"/>
  <c r="V2061" i="3"/>
  <c r="W2061" i="3"/>
  <c r="X2061" i="3"/>
  <c r="Y2061" i="3"/>
  <c r="Z2061" i="3"/>
  <c r="N2062" i="3"/>
  <c r="O2062" i="3"/>
  <c r="T2062" i="3"/>
  <c r="U2062" i="3"/>
  <c r="V2062" i="3"/>
  <c r="W2062" i="3"/>
  <c r="X2062" i="3"/>
  <c r="Y2062" i="3"/>
  <c r="N2063" i="3"/>
  <c r="O2063" i="3"/>
  <c r="V2063" i="3"/>
  <c r="W2063" i="3"/>
  <c r="X2063" i="3"/>
  <c r="Y2063" i="3"/>
  <c r="N2064" i="3"/>
  <c r="O2064" i="3"/>
  <c r="U2064" i="3"/>
  <c r="V2064" i="3"/>
  <c r="W2064" i="3"/>
  <c r="X2064" i="3"/>
  <c r="Y2064" i="3"/>
  <c r="N2065" i="3"/>
  <c r="O2065" i="3"/>
  <c r="T2065" i="3"/>
  <c r="U2065" i="3"/>
  <c r="V2065" i="3"/>
  <c r="W2065" i="3"/>
  <c r="X2065" i="3"/>
  <c r="Y2065" i="3"/>
  <c r="N2066" i="3"/>
  <c r="O2066" i="3"/>
  <c r="V2066" i="3"/>
  <c r="W2066" i="3"/>
  <c r="X2066" i="3"/>
  <c r="Y2066" i="3"/>
  <c r="N2067" i="3"/>
  <c r="O2067" i="3"/>
  <c r="X2067" i="3" s="1"/>
  <c r="P2067" i="3"/>
  <c r="R2067" i="3" s="1"/>
  <c r="W2067" i="3"/>
  <c r="Y2067" i="3"/>
  <c r="Z2067" i="3"/>
  <c r="N2068" i="3"/>
  <c r="O2068" i="3"/>
  <c r="T2068" i="3"/>
  <c r="U2068" i="3"/>
  <c r="V2068" i="3"/>
  <c r="W2068" i="3"/>
  <c r="X2068" i="3"/>
  <c r="Y2068" i="3"/>
  <c r="N2069" i="3"/>
  <c r="O2069" i="3"/>
  <c r="U2069" i="3"/>
  <c r="V2069" i="3"/>
  <c r="W2069" i="3"/>
  <c r="X2069" i="3"/>
  <c r="Y2069" i="3"/>
  <c r="N2070" i="3"/>
  <c r="O2070" i="3"/>
  <c r="W2070" i="3"/>
  <c r="X2070" i="3"/>
  <c r="Y2070" i="3"/>
  <c r="N2071" i="3"/>
  <c r="O2071" i="3"/>
  <c r="W2071" i="3"/>
  <c r="X2071" i="3"/>
  <c r="Y2071" i="3"/>
  <c r="N2072" i="3"/>
  <c r="O2072" i="3"/>
  <c r="T2072" i="3"/>
  <c r="V2072" i="3"/>
  <c r="W2072" i="3"/>
  <c r="X2072" i="3"/>
  <c r="Y2072" i="3"/>
  <c r="N2073" i="3"/>
  <c r="O2073" i="3"/>
  <c r="T2073" i="3"/>
  <c r="U2073" i="3"/>
  <c r="V2073" i="3"/>
  <c r="W2073" i="3"/>
  <c r="X2073" i="3"/>
  <c r="Y2073" i="3"/>
  <c r="N2074" i="3"/>
  <c r="O2074" i="3"/>
  <c r="W2074" i="3" s="1"/>
  <c r="V2074" i="3"/>
  <c r="X2074" i="3"/>
  <c r="Y2074" i="3"/>
  <c r="N2075" i="3"/>
  <c r="O2075" i="3"/>
  <c r="U2075" i="3"/>
  <c r="V2075" i="3"/>
  <c r="N2076" i="3"/>
  <c r="O2076" i="3"/>
  <c r="T2076" i="3"/>
  <c r="U2076" i="3"/>
  <c r="V2076" i="3"/>
  <c r="W2076" i="3"/>
  <c r="X2076" i="3"/>
  <c r="Y2076" i="3"/>
  <c r="N2077" i="3"/>
  <c r="O2077" i="3"/>
  <c r="T2077" i="3"/>
  <c r="U2077" i="3"/>
  <c r="V2077" i="3"/>
  <c r="W2077" i="3"/>
  <c r="X2077" i="3"/>
  <c r="Y2077" i="3"/>
  <c r="N2078" i="3"/>
  <c r="O2078" i="3"/>
  <c r="T2078" i="3"/>
  <c r="U2078" i="3"/>
  <c r="V2078" i="3"/>
  <c r="W2078" i="3"/>
  <c r="X2078" i="3"/>
  <c r="Y2078" i="3"/>
  <c r="N2079" i="3"/>
  <c r="O2079" i="3"/>
  <c r="W2079" i="3"/>
  <c r="X2079" i="3"/>
  <c r="Y2079" i="3"/>
  <c r="N2080" i="3"/>
  <c r="Q2080" i="3" s="1"/>
  <c r="O2080" i="3"/>
  <c r="P2080" i="3"/>
  <c r="R2080" i="3" s="1"/>
  <c r="T2080" i="3"/>
  <c r="U2080" i="3"/>
  <c r="V2080" i="3"/>
  <c r="W2080" i="3"/>
  <c r="X2080" i="3"/>
  <c r="Y2080" i="3"/>
  <c r="Z2080" i="3"/>
  <c r="N2081" i="3"/>
  <c r="O2081" i="3"/>
  <c r="T2081" i="3"/>
  <c r="U2081" i="3"/>
  <c r="V2081" i="3"/>
  <c r="W2081" i="3"/>
  <c r="X2081" i="3"/>
  <c r="Y2081" i="3"/>
  <c r="N2082" i="3"/>
  <c r="O2082" i="3"/>
  <c r="W2082" i="3"/>
  <c r="X2082" i="3"/>
  <c r="Y2082" i="3"/>
  <c r="N2083" i="3"/>
  <c r="O2083" i="3"/>
  <c r="Y2083" i="3"/>
  <c r="N2084" i="3"/>
  <c r="O2084" i="3"/>
  <c r="W2084" i="3" s="1"/>
  <c r="V2084" i="3"/>
  <c r="X2084" i="3"/>
  <c r="Y2084" i="3"/>
  <c r="N2085" i="3"/>
  <c r="O2085" i="3"/>
  <c r="T2085" i="3"/>
  <c r="U2085" i="3"/>
  <c r="V2085" i="3"/>
  <c r="W2085" i="3"/>
  <c r="X2085" i="3"/>
  <c r="Y2085" i="3"/>
  <c r="N2086" i="3"/>
  <c r="O2086" i="3"/>
  <c r="V2086" i="3"/>
  <c r="W2086" i="3"/>
  <c r="X2086" i="3"/>
  <c r="Y2086" i="3"/>
  <c r="N2087" i="3"/>
  <c r="O2087" i="3"/>
  <c r="U2087" i="3"/>
  <c r="V2087" i="3"/>
  <c r="W2087" i="3"/>
  <c r="X2087" i="3"/>
  <c r="Y2087" i="3"/>
  <c r="N2088" i="3"/>
  <c r="O2088" i="3"/>
  <c r="W2088" i="3"/>
  <c r="X2088" i="3"/>
  <c r="Y2088" i="3"/>
  <c r="N2089" i="3"/>
  <c r="O2089" i="3"/>
  <c r="T2089" i="3"/>
  <c r="U2089" i="3"/>
  <c r="V2089" i="3"/>
  <c r="W2089" i="3"/>
  <c r="X2089" i="3"/>
  <c r="Y2089" i="3"/>
  <c r="N2090" i="3"/>
  <c r="O2090" i="3"/>
  <c r="T2090" i="3"/>
  <c r="U2090" i="3"/>
  <c r="V2090" i="3"/>
  <c r="W2090" i="3"/>
  <c r="X2090" i="3"/>
  <c r="Y2090" i="3"/>
  <c r="N2091" i="3"/>
  <c r="O2091" i="3"/>
  <c r="Q2091" i="3" s="1"/>
  <c r="S2091" i="3" s="1"/>
  <c r="P2091" i="3"/>
  <c r="R2091" i="3"/>
  <c r="T2091" i="3"/>
  <c r="U2091" i="3"/>
  <c r="V2091" i="3"/>
  <c r="W2091" i="3"/>
  <c r="X2091" i="3"/>
  <c r="Y2091" i="3"/>
  <c r="Z2091" i="3"/>
  <c r="N2092" i="3"/>
  <c r="O2092" i="3"/>
  <c r="W2092" i="3" s="1"/>
  <c r="U2092" i="3"/>
  <c r="V2092" i="3"/>
  <c r="X2092" i="3"/>
  <c r="Y2092" i="3"/>
  <c r="N2093" i="3"/>
  <c r="O2093" i="3"/>
  <c r="P2093" i="3"/>
  <c r="R2093" i="3" s="1"/>
  <c r="T2093" i="3"/>
  <c r="U2093" i="3"/>
  <c r="V2093" i="3"/>
  <c r="X2093" i="3"/>
  <c r="Y2093" i="3"/>
  <c r="Z2093" i="3"/>
  <c r="N2094" i="3"/>
  <c r="Q2094" i="3" s="1"/>
  <c r="S2094" i="3" s="1"/>
  <c r="O2094" i="3"/>
  <c r="P2094" i="3"/>
  <c r="R2094" i="3" s="1"/>
  <c r="T2094" i="3"/>
  <c r="U2094" i="3"/>
  <c r="V2094" i="3"/>
  <c r="W2094" i="3"/>
  <c r="X2094" i="3"/>
  <c r="Y2094" i="3"/>
  <c r="Z2094" i="3"/>
  <c r="N2095" i="3"/>
  <c r="O2095" i="3"/>
  <c r="U2095" i="3"/>
  <c r="V2095" i="3"/>
  <c r="Y2095" i="3"/>
  <c r="N2096" i="3"/>
  <c r="O2096" i="3"/>
  <c r="W2096" i="3" s="1"/>
  <c r="X2096" i="3"/>
  <c r="Y2096" i="3"/>
  <c r="N2097" i="3"/>
  <c r="O2097" i="3"/>
  <c r="T2097" i="3"/>
  <c r="U2097" i="3"/>
  <c r="V2097" i="3"/>
  <c r="W2097" i="3"/>
  <c r="X2097" i="3"/>
  <c r="Y2097" i="3"/>
  <c r="N2098" i="3"/>
  <c r="P2098" i="3" s="1"/>
  <c r="O2098" i="3"/>
  <c r="Q2098" i="3"/>
  <c r="T2098" i="3"/>
  <c r="U2098" i="3"/>
  <c r="V2098" i="3"/>
  <c r="W2098" i="3"/>
  <c r="X2098" i="3"/>
  <c r="Y2098" i="3"/>
  <c r="N2099" i="3"/>
  <c r="O2099" i="3"/>
  <c r="U2099" i="3"/>
  <c r="V2099" i="3"/>
  <c r="W2099" i="3"/>
  <c r="X2099" i="3"/>
  <c r="Y2099" i="3"/>
  <c r="N2100" i="3"/>
  <c r="O2100" i="3"/>
  <c r="W2100" i="3" s="1"/>
  <c r="U2100" i="3"/>
  <c r="V2100" i="3"/>
  <c r="X2100" i="3"/>
  <c r="Y2100" i="3"/>
  <c r="N2101" i="3"/>
  <c r="O2101" i="3"/>
  <c r="W2101" i="3"/>
  <c r="X2101" i="3"/>
  <c r="Y2101" i="3"/>
  <c r="N2102" i="3"/>
  <c r="O2102" i="3"/>
  <c r="W2102" i="3"/>
  <c r="X2102" i="3"/>
  <c r="Y2102" i="3"/>
  <c r="N2103" i="3"/>
  <c r="O2103" i="3"/>
  <c r="V2103" i="3"/>
  <c r="W2103" i="3"/>
  <c r="X2103" i="3"/>
  <c r="Y2103" i="3"/>
  <c r="N2104" i="3"/>
  <c r="O2104" i="3"/>
  <c r="W2104" i="3" s="1"/>
  <c r="U2104" i="3"/>
  <c r="V2104" i="3"/>
  <c r="X2104" i="3"/>
  <c r="Y2104" i="3"/>
  <c r="N2105" i="3"/>
  <c r="Q2105" i="3" s="1"/>
  <c r="O2105" i="3"/>
  <c r="P2105" i="3"/>
  <c r="R2105" i="3" s="1"/>
  <c r="T2105" i="3"/>
  <c r="U2105" i="3"/>
  <c r="V2105" i="3"/>
  <c r="W2105" i="3"/>
  <c r="X2105" i="3"/>
  <c r="Y2105" i="3"/>
  <c r="Z2105" i="3"/>
  <c r="N2106" i="3"/>
  <c r="O2106" i="3"/>
  <c r="T2106" i="3"/>
  <c r="U2106" i="3"/>
  <c r="V2106" i="3"/>
  <c r="W2106" i="3"/>
  <c r="X2106" i="3"/>
  <c r="Y2106" i="3"/>
  <c r="N2107" i="3"/>
  <c r="O2107" i="3"/>
  <c r="T2107" i="3"/>
  <c r="V2107" i="3"/>
  <c r="Y2107" i="3"/>
  <c r="N2108" i="3"/>
  <c r="O2108" i="3"/>
  <c r="T2108" i="3"/>
  <c r="U2108" i="3"/>
  <c r="V2108" i="3"/>
  <c r="W2108" i="3"/>
  <c r="X2108" i="3"/>
  <c r="Y2108" i="3"/>
  <c r="N2109" i="3"/>
  <c r="O2109" i="3"/>
  <c r="T2109" i="3"/>
  <c r="U2109" i="3"/>
  <c r="V2109" i="3"/>
  <c r="W2109" i="3"/>
  <c r="X2109" i="3"/>
  <c r="Y2109" i="3"/>
  <c r="N2110" i="3"/>
  <c r="O2110" i="3"/>
  <c r="N2111" i="3"/>
  <c r="O2111" i="3"/>
  <c r="U2111" i="3"/>
  <c r="V2111" i="3"/>
  <c r="W2111" i="3"/>
  <c r="X2111" i="3"/>
  <c r="Y2111" i="3"/>
  <c r="N2112" i="3"/>
  <c r="O2112" i="3"/>
  <c r="U2112" i="3"/>
  <c r="V2112" i="3"/>
  <c r="W2112" i="3"/>
  <c r="X2112" i="3"/>
  <c r="Y2112" i="3"/>
  <c r="N2113" i="3"/>
  <c r="O2113" i="3"/>
  <c r="W2113" i="3" s="1"/>
  <c r="T2113" i="3"/>
  <c r="U2113" i="3"/>
  <c r="V2113" i="3"/>
  <c r="X2113" i="3"/>
  <c r="Y2113" i="3"/>
  <c r="N2114" i="3"/>
  <c r="O2114" i="3"/>
  <c r="T2114" i="3"/>
  <c r="U2114" i="3"/>
  <c r="V2114" i="3"/>
  <c r="W2114" i="3"/>
  <c r="X2114" i="3"/>
  <c r="Y2114" i="3"/>
  <c r="N2115" i="3"/>
  <c r="O2115" i="3"/>
  <c r="V2115" i="3"/>
  <c r="W2115" i="3"/>
  <c r="X2115" i="3"/>
  <c r="Y2115" i="3"/>
  <c r="N2116" i="3"/>
  <c r="O2116" i="3"/>
  <c r="W2116" i="3" s="1"/>
  <c r="X2116" i="3"/>
  <c r="Y2116" i="3"/>
  <c r="N2117" i="3"/>
  <c r="O2117" i="3"/>
  <c r="T2117" i="3"/>
  <c r="U2117" i="3"/>
  <c r="V2117" i="3"/>
  <c r="W2117" i="3"/>
  <c r="X2117" i="3"/>
  <c r="Y2117" i="3"/>
  <c r="N2118" i="3"/>
  <c r="O2118" i="3"/>
  <c r="T2118" i="3"/>
  <c r="V2118" i="3"/>
  <c r="W2118" i="3"/>
  <c r="X2118" i="3"/>
  <c r="Y2118" i="3"/>
  <c r="N2119" i="3"/>
  <c r="O2119" i="3"/>
  <c r="U2119" i="3"/>
  <c r="V2119" i="3"/>
  <c r="W2119" i="3"/>
  <c r="X2119" i="3"/>
  <c r="Y2119" i="3"/>
  <c r="N2120" i="3"/>
  <c r="O2120" i="3"/>
  <c r="W2120" i="3" s="1"/>
  <c r="U2120" i="3"/>
  <c r="V2120" i="3"/>
  <c r="X2120" i="3"/>
  <c r="Y2120" i="3"/>
  <c r="N2121" i="3"/>
  <c r="O2121" i="3"/>
  <c r="V2121" i="3"/>
  <c r="W2121" i="3"/>
  <c r="X2121" i="3"/>
  <c r="Y2121" i="3"/>
  <c r="N2122" i="3"/>
  <c r="O2122" i="3"/>
  <c r="V2122" i="3"/>
  <c r="W2122" i="3"/>
  <c r="X2122" i="3"/>
  <c r="Y2122" i="3"/>
  <c r="N2123" i="3"/>
  <c r="O2123" i="3"/>
  <c r="V2123" i="3"/>
  <c r="Y2123" i="3"/>
  <c r="N2124" i="3"/>
  <c r="O2124" i="3"/>
  <c r="W2124" i="3"/>
  <c r="X2124" i="3"/>
  <c r="Y2124" i="3"/>
  <c r="N2125" i="3"/>
  <c r="Q2125" i="3" s="1"/>
  <c r="O2125" i="3"/>
  <c r="P2125" i="3"/>
  <c r="R2125" i="3" s="1"/>
  <c r="T2125" i="3"/>
  <c r="U2125" i="3"/>
  <c r="V2125" i="3"/>
  <c r="W2125" i="3"/>
  <c r="X2125" i="3"/>
  <c r="Y2125" i="3"/>
  <c r="Z2125" i="3"/>
  <c r="N2126" i="3"/>
  <c r="O2126" i="3"/>
  <c r="N2127" i="3"/>
  <c r="O2127" i="3"/>
  <c r="W2127" i="3"/>
  <c r="X2127" i="3"/>
  <c r="Y2127" i="3"/>
  <c r="N2128" i="3"/>
  <c r="Q2128" i="3" s="1"/>
  <c r="S2128" i="3" s="1"/>
  <c r="O2128" i="3"/>
  <c r="P2128" i="3"/>
  <c r="R2128" i="3" s="1"/>
  <c r="T2128" i="3"/>
  <c r="U2128" i="3"/>
  <c r="V2128" i="3"/>
  <c r="W2128" i="3"/>
  <c r="X2128" i="3"/>
  <c r="Y2128" i="3"/>
  <c r="Z2128" i="3"/>
  <c r="N2129" i="3"/>
  <c r="O2129" i="3"/>
  <c r="V2129" i="3"/>
  <c r="W2129" i="3"/>
  <c r="X2129" i="3"/>
  <c r="Y2129" i="3"/>
  <c r="N2130" i="3"/>
  <c r="O2130" i="3"/>
  <c r="T2130" i="3"/>
  <c r="U2130" i="3"/>
  <c r="V2130" i="3"/>
  <c r="W2130" i="3"/>
  <c r="X2130" i="3"/>
  <c r="Y2130" i="3"/>
  <c r="N2131" i="3"/>
  <c r="O2131" i="3"/>
  <c r="T2131" i="3"/>
  <c r="U2131" i="3"/>
  <c r="V2131" i="3"/>
  <c r="W2131" i="3"/>
  <c r="X2131" i="3"/>
  <c r="Y2131" i="3"/>
  <c r="N2132" i="3"/>
  <c r="O2132" i="3"/>
  <c r="T2132" i="3"/>
  <c r="U2132" i="3"/>
  <c r="V2132" i="3"/>
  <c r="W2132" i="3"/>
  <c r="X2132" i="3"/>
  <c r="Y2132" i="3"/>
  <c r="N2133" i="3"/>
  <c r="O2133" i="3"/>
  <c r="V2133" i="3"/>
  <c r="W2133" i="3"/>
  <c r="X2133" i="3"/>
  <c r="Y2133" i="3"/>
  <c r="N2134" i="3"/>
  <c r="O2134" i="3"/>
  <c r="T2134" i="3"/>
  <c r="U2134" i="3"/>
  <c r="V2134" i="3"/>
  <c r="W2134" i="3"/>
  <c r="X2134" i="3"/>
  <c r="Y2134" i="3"/>
  <c r="N2135" i="3"/>
  <c r="O2135" i="3"/>
  <c r="V2135" i="3"/>
  <c r="W2135" i="3"/>
  <c r="X2135" i="3"/>
  <c r="Y2135" i="3"/>
  <c r="N2136" i="3"/>
  <c r="O2136" i="3"/>
  <c r="T2136" i="3"/>
  <c r="U2136" i="3"/>
  <c r="V2136" i="3"/>
  <c r="W2136" i="3"/>
  <c r="X2136" i="3"/>
  <c r="Y2136" i="3"/>
  <c r="N2137" i="3"/>
  <c r="O2137" i="3"/>
  <c r="P2137" i="3"/>
  <c r="R2137" i="3" s="1"/>
  <c r="U2137" i="3"/>
  <c r="V2137" i="3"/>
  <c r="W2137" i="3"/>
  <c r="X2137" i="3"/>
  <c r="Y2137" i="3"/>
  <c r="Z2137" i="3"/>
  <c r="N2138" i="3"/>
  <c r="O2138" i="3"/>
  <c r="T2138" i="3"/>
  <c r="U2138" i="3"/>
  <c r="V2138" i="3"/>
  <c r="W2138" i="3"/>
  <c r="X2138" i="3"/>
  <c r="Y2138" i="3"/>
  <c r="N2139" i="3"/>
  <c r="O2139" i="3"/>
  <c r="W2139" i="3"/>
  <c r="X2139" i="3"/>
  <c r="Y2139" i="3"/>
  <c r="N2140" i="3"/>
  <c r="O2140" i="3"/>
  <c r="T2140" i="3"/>
  <c r="U2140" i="3"/>
  <c r="V2140" i="3"/>
  <c r="W2140" i="3"/>
  <c r="X2140" i="3"/>
  <c r="Y2140" i="3"/>
  <c r="N2141" i="3"/>
  <c r="O2141" i="3"/>
  <c r="U2141" i="3"/>
  <c r="V2141" i="3"/>
  <c r="W2141" i="3"/>
  <c r="X2141" i="3"/>
  <c r="Y2141" i="3"/>
  <c r="N2142" i="3"/>
  <c r="O2142" i="3"/>
  <c r="W2142" i="3" s="1"/>
  <c r="X2142" i="3"/>
  <c r="Y2142" i="3"/>
  <c r="N2143" i="3"/>
  <c r="O2143" i="3"/>
  <c r="V2143" i="3"/>
  <c r="W2143" i="3"/>
  <c r="X2143" i="3"/>
  <c r="Y2143" i="3"/>
  <c r="N2144" i="3"/>
  <c r="O2144" i="3"/>
  <c r="W2144" i="3"/>
  <c r="X2144" i="3"/>
  <c r="Y2144" i="3"/>
  <c r="N2145" i="3"/>
  <c r="O2145" i="3"/>
  <c r="P2145" i="3"/>
  <c r="R2145" i="3" s="1"/>
  <c r="Q2145" i="3"/>
  <c r="S2145" i="3" s="1"/>
  <c r="T2145" i="3"/>
  <c r="U2145" i="3"/>
  <c r="V2145" i="3"/>
  <c r="W2145" i="3"/>
  <c r="X2145" i="3"/>
  <c r="Y2145" i="3"/>
  <c r="Z2145" i="3"/>
  <c r="N2146" i="3"/>
  <c r="O2146" i="3"/>
  <c r="T2146" i="3"/>
  <c r="U2146" i="3"/>
  <c r="V2146" i="3"/>
  <c r="W2146" i="3"/>
  <c r="X2146" i="3"/>
  <c r="Y2146" i="3"/>
  <c r="N2147" i="3"/>
  <c r="O2147" i="3"/>
  <c r="W2147" i="3"/>
  <c r="X2147" i="3"/>
  <c r="Y2147" i="3"/>
  <c r="N2148" i="3"/>
  <c r="O2148" i="3"/>
  <c r="T2148" i="3"/>
  <c r="U2148" i="3"/>
  <c r="V2148" i="3"/>
  <c r="W2148" i="3"/>
  <c r="X2148" i="3"/>
  <c r="Y2148" i="3"/>
  <c r="N2149" i="3"/>
  <c r="O2149" i="3"/>
  <c r="P2149" i="3"/>
  <c r="R2149" i="3" s="1"/>
  <c r="T2149" i="3"/>
  <c r="U2149" i="3"/>
  <c r="V2149" i="3"/>
  <c r="X2149" i="3"/>
  <c r="Y2149" i="3"/>
  <c r="Z2149" i="3"/>
  <c r="N2150" i="3"/>
  <c r="O2150" i="3"/>
  <c r="V2150" i="3"/>
  <c r="W2150" i="3"/>
  <c r="X2150" i="3"/>
  <c r="Y2150" i="3"/>
  <c r="N2151" i="3"/>
  <c r="O2151" i="3"/>
  <c r="X2151" i="3" s="1"/>
  <c r="V2151" i="3"/>
  <c r="W2151" i="3"/>
  <c r="Y2151" i="3"/>
  <c r="N2152" i="3"/>
  <c r="O2152" i="3"/>
  <c r="W2152" i="3" s="1"/>
  <c r="X2152" i="3"/>
  <c r="Y2152" i="3"/>
  <c r="N2153" i="3"/>
  <c r="O2153" i="3"/>
  <c r="Q2153" i="3" s="1"/>
  <c r="S2153" i="3" s="1"/>
  <c r="P2153" i="3"/>
  <c r="R2153" i="3" s="1"/>
  <c r="T2153" i="3"/>
  <c r="U2153" i="3"/>
  <c r="V2153" i="3"/>
  <c r="W2153" i="3"/>
  <c r="X2153" i="3"/>
  <c r="Y2153" i="3"/>
  <c r="Z2153" i="3"/>
  <c r="N2154" i="3"/>
  <c r="O2154" i="3"/>
  <c r="T2154" i="3"/>
  <c r="U2154" i="3"/>
  <c r="V2154" i="3"/>
  <c r="W2154" i="3"/>
  <c r="X2154" i="3"/>
  <c r="Y2154" i="3"/>
  <c r="N2155" i="3"/>
  <c r="O2155" i="3"/>
  <c r="X2155" i="3" s="1"/>
  <c r="V2155" i="3"/>
  <c r="W2155" i="3"/>
  <c r="Y2155" i="3"/>
  <c r="N2156" i="3"/>
  <c r="O2156" i="3"/>
  <c r="T2156" i="3"/>
  <c r="U2156" i="3"/>
  <c r="V2156" i="3"/>
  <c r="W2156" i="3"/>
  <c r="X2156" i="3"/>
  <c r="Y2156" i="3"/>
  <c r="N2157" i="3"/>
  <c r="O2157" i="3"/>
  <c r="U2157" i="3"/>
  <c r="V2157" i="3"/>
  <c r="Y2157" i="3"/>
  <c r="N2158" i="3"/>
  <c r="O2158" i="3"/>
  <c r="W2158" i="3" s="1"/>
  <c r="X2158" i="3"/>
  <c r="Y2158" i="3"/>
  <c r="N2159" i="3"/>
  <c r="O2159" i="3"/>
  <c r="W2159" i="3" s="1"/>
  <c r="V2159" i="3"/>
  <c r="X2159" i="3"/>
  <c r="Y2159" i="3"/>
  <c r="N2160" i="3"/>
  <c r="O2160" i="3"/>
  <c r="V2160" i="3"/>
  <c r="W2160" i="3"/>
  <c r="X2160" i="3"/>
  <c r="Y2160" i="3"/>
  <c r="N2161" i="3"/>
  <c r="O2161" i="3"/>
  <c r="W2161" i="3"/>
  <c r="N2162" i="3"/>
  <c r="O2162" i="3"/>
  <c r="Y2162" i="3" s="1"/>
  <c r="V2162" i="3"/>
  <c r="W2162" i="3"/>
  <c r="X2162" i="3"/>
  <c r="N2163" i="3"/>
  <c r="O2163" i="3"/>
  <c r="U2163" i="3"/>
  <c r="V2163" i="3"/>
  <c r="W2163" i="3"/>
  <c r="X2163" i="3"/>
  <c r="Y2163" i="3"/>
  <c r="N2164" i="3"/>
  <c r="O2164" i="3"/>
  <c r="W2164" i="3"/>
  <c r="X2164" i="3"/>
  <c r="Y2164" i="3"/>
  <c r="N2165" i="3"/>
  <c r="O2165" i="3"/>
  <c r="W2165" i="3"/>
  <c r="X2165" i="3"/>
  <c r="Y2165" i="3"/>
  <c r="N2166" i="3"/>
  <c r="O2166" i="3"/>
  <c r="W2166" i="3" s="1"/>
  <c r="X2166" i="3"/>
  <c r="Y2166" i="3"/>
  <c r="N2167" i="3"/>
  <c r="O2167" i="3"/>
  <c r="Y2167" i="3"/>
  <c r="N2168" i="3"/>
  <c r="O2168" i="3"/>
  <c r="T2168" i="3"/>
  <c r="U2168" i="3"/>
  <c r="V2168" i="3"/>
  <c r="W2168" i="3"/>
  <c r="X2168" i="3"/>
  <c r="Y2168" i="3"/>
  <c r="N2169" i="3"/>
  <c r="Q2169" i="3" s="1"/>
  <c r="O2169" i="3"/>
  <c r="P2169" i="3"/>
  <c r="R2169" i="3" s="1"/>
  <c r="T2169" i="3"/>
  <c r="U2169" i="3"/>
  <c r="V2169" i="3"/>
  <c r="W2169" i="3"/>
  <c r="X2169" i="3"/>
  <c r="Y2169" i="3"/>
  <c r="Z2169" i="3"/>
  <c r="N2170" i="3"/>
  <c r="O2170" i="3"/>
  <c r="T2170" i="3"/>
  <c r="U2170" i="3"/>
  <c r="V2170" i="3"/>
  <c r="W2170" i="3"/>
  <c r="X2170" i="3"/>
  <c r="Y2170" i="3"/>
  <c r="N2171" i="3"/>
  <c r="O2171" i="3"/>
  <c r="W2171" i="3" s="1"/>
  <c r="T2171" i="3"/>
  <c r="U2171" i="3"/>
  <c r="V2171" i="3"/>
  <c r="X2171" i="3"/>
  <c r="Y2171" i="3"/>
  <c r="N2172" i="3"/>
  <c r="O2172" i="3"/>
  <c r="V2172" i="3"/>
  <c r="W2172" i="3"/>
  <c r="X2172" i="3"/>
  <c r="Y2172" i="3"/>
  <c r="N2173" i="3"/>
  <c r="O2173" i="3"/>
  <c r="T2173" i="3"/>
  <c r="U2173" i="3"/>
  <c r="V2173" i="3"/>
  <c r="W2173" i="3"/>
  <c r="X2173" i="3"/>
  <c r="Y2173" i="3"/>
  <c r="N2174" i="3"/>
  <c r="O2174" i="3"/>
  <c r="T2174" i="3"/>
  <c r="U2174" i="3"/>
  <c r="V2174" i="3"/>
  <c r="W2174" i="3"/>
  <c r="X2174" i="3"/>
  <c r="Y2174" i="3"/>
  <c r="N2175" i="3"/>
  <c r="O2175" i="3"/>
  <c r="V2175" i="3"/>
  <c r="W2175" i="3"/>
  <c r="X2175" i="3"/>
  <c r="Y2175" i="3"/>
  <c r="N2176" i="3"/>
  <c r="O2176" i="3"/>
  <c r="T2176" i="3"/>
  <c r="U2176" i="3"/>
  <c r="V2176" i="3"/>
  <c r="W2176" i="3"/>
  <c r="X2176" i="3"/>
  <c r="Y2176" i="3"/>
  <c r="N2177" i="3"/>
  <c r="O2177" i="3"/>
  <c r="T2177" i="3"/>
  <c r="U2177" i="3"/>
  <c r="V2177" i="3"/>
  <c r="W2177" i="3"/>
  <c r="X2177" i="3"/>
  <c r="Y2177" i="3"/>
  <c r="N2178" i="3"/>
  <c r="O2178" i="3"/>
  <c r="V2178" i="3"/>
  <c r="W2178" i="3"/>
  <c r="X2178" i="3"/>
  <c r="Y2178" i="3"/>
  <c r="N2179" i="3"/>
  <c r="P2179" i="3" s="1"/>
  <c r="O2179" i="3"/>
  <c r="Q2179" i="3" s="1"/>
  <c r="T2179" i="3"/>
  <c r="U2179" i="3"/>
  <c r="V2179" i="3"/>
  <c r="W2179" i="3"/>
  <c r="X2179" i="3"/>
  <c r="Y2179" i="3"/>
  <c r="N2180" i="3"/>
  <c r="O2180" i="3"/>
  <c r="W2180" i="3" s="1"/>
  <c r="V2180" i="3"/>
  <c r="X2180" i="3"/>
  <c r="Y2180" i="3"/>
  <c r="N2181" i="3"/>
  <c r="O2181" i="3"/>
  <c r="U2181" i="3"/>
  <c r="V2181" i="3"/>
  <c r="W2181" i="3"/>
  <c r="X2181" i="3"/>
  <c r="Y2181" i="3"/>
  <c r="N2182" i="3"/>
  <c r="O2182" i="3"/>
  <c r="Q2182" i="3" s="1"/>
  <c r="P2182" i="3"/>
  <c r="T2182" i="3"/>
  <c r="U2182" i="3"/>
  <c r="V2182" i="3"/>
  <c r="W2182" i="3"/>
  <c r="X2182" i="3"/>
  <c r="Y2182" i="3"/>
  <c r="N2183" i="3"/>
  <c r="O2183" i="3"/>
  <c r="V2183" i="3"/>
  <c r="W2183" i="3"/>
  <c r="X2183" i="3"/>
  <c r="Y2183" i="3"/>
  <c r="N2184" i="3"/>
  <c r="O2184" i="3"/>
  <c r="W2184" i="3" s="1"/>
  <c r="V2184" i="3"/>
  <c r="X2184" i="3"/>
  <c r="Y2184" i="3"/>
  <c r="N2185" i="3"/>
  <c r="O2185" i="3"/>
  <c r="P2185" i="3"/>
  <c r="R2185" i="3" s="1"/>
  <c r="U2185" i="3"/>
  <c r="V2185" i="3"/>
  <c r="W2185" i="3"/>
  <c r="X2185" i="3"/>
  <c r="Y2185" i="3"/>
  <c r="Z2185" i="3"/>
  <c r="N2186" i="3"/>
  <c r="O2186" i="3"/>
  <c r="V2186" i="3"/>
  <c r="W2186" i="3"/>
  <c r="X2186" i="3"/>
  <c r="Y2186" i="3"/>
  <c r="N2187" i="3"/>
  <c r="O2187" i="3"/>
  <c r="U2187" i="3"/>
  <c r="V2187" i="3"/>
  <c r="W2187" i="3"/>
  <c r="X2187" i="3"/>
  <c r="Y2187" i="3"/>
  <c r="N2188" i="3"/>
  <c r="O2188" i="3"/>
  <c r="T2188" i="3"/>
  <c r="U2188" i="3"/>
  <c r="V2188" i="3"/>
  <c r="W2188" i="3"/>
  <c r="X2188" i="3"/>
  <c r="Y2188" i="3"/>
  <c r="N2189" i="3"/>
  <c r="O2189" i="3"/>
  <c r="P2189" i="3"/>
  <c r="T2189" i="3"/>
  <c r="U2189" i="3"/>
  <c r="V2189" i="3"/>
  <c r="W2189" i="3"/>
  <c r="X2189" i="3"/>
  <c r="N2190" i="3"/>
  <c r="O2190" i="3"/>
  <c r="P2190" i="3"/>
  <c r="Q2190" i="3"/>
  <c r="R2190" i="3"/>
  <c r="S2190" i="3"/>
  <c r="T2190" i="3"/>
  <c r="U2190" i="3"/>
  <c r="V2190" i="3"/>
  <c r="W2190" i="3"/>
  <c r="X2190" i="3"/>
  <c r="Y2190" i="3"/>
  <c r="Z2190" i="3"/>
  <c r="N2191" i="3"/>
  <c r="O2191" i="3"/>
  <c r="P2191" i="3"/>
  <c r="Q2191" i="3"/>
  <c r="R2191" i="3"/>
  <c r="S2191" i="3"/>
  <c r="T2191" i="3"/>
  <c r="U2191" i="3"/>
  <c r="V2191" i="3"/>
  <c r="W2191" i="3"/>
  <c r="X2191" i="3"/>
  <c r="Y2191" i="3"/>
  <c r="Z2191" i="3"/>
  <c r="N2192" i="3"/>
  <c r="O2192" i="3"/>
  <c r="P2192" i="3"/>
  <c r="Q2192" i="3"/>
  <c r="R2192" i="3"/>
  <c r="S2192" i="3"/>
  <c r="T2192" i="3"/>
  <c r="U2192" i="3"/>
  <c r="V2192" i="3"/>
  <c r="W2192" i="3"/>
  <c r="X2192" i="3"/>
  <c r="Y2192" i="3"/>
  <c r="Z2192" i="3"/>
  <c r="N2193" i="3"/>
  <c r="O2193" i="3"/>
  <c r="P2193" i="3"/>
  <c r="Q2193" i="3"/>
  <c r="R2193" i="3"/>
  <c r="S2193" i="3"/>
  <c r="T2193" i="3"/>
  <c r="U2193" i="3"/>
  <c r="V2193" i="3"/>
  <c r="W2193" i="3"/>
  <c r="X2193" i="3"/>
  <c r="Y2193" i="3"/>
  <c r="Z2193" i="3"/>
  <c r="N2194" i="3"/>
  <c r="O2194" i="3"/>
  <c r="P2194" i="3"/>
  <c r="Q2194" i="3"/>
  <c r="R2194" i="3"/>
  <c r="S2194" i="3"/>
  <c r="T2194" i="3"/>
  <c r="U2194" i="3"/>
  <c r="V2194" i="3"/>
  <c r="W2194" i="3"/>
  <c r="X2194" i="3"/>
  <c r="Y2194" i="3"/>
  <c r="Z2194" i="3"/>
  <c r="N2195" i="3"/>
  <c r="O2195" i="3"/>
  <c r="P2195" i="3"/>
  <c r="Q2195" i="3"/>
  <c r="R2195" i="3"/>
  <c r="S2195" i="3"/>
  <c r="T2195" i="3"/>
  <c r="U2195" i="3"/>
  <c r="V2195" i="3"/>
  <c r="W2195" i="3"/>
  <c r="X2195" i="3"/>
  <c r="Y2195" i="3"/>
  <c r="Z2195" i="3"/>
  <c r="N2196" i="3"/>
  <c r="O2196" i="3"/>
  <c r="P2196" i="3"/>
  <c r="Q2196" i="3"/>
  <c r="R2196" i="3"/>
  <c r="S2196" i="3"/>
  <c r="T2196" i="3"/>
  <c r="U2196" i="3"/>
  <c r="V2196" i="3"/>
  <c r="W2196" i="3"/>
  <c r="X2196" i="3"/>
  <c r="Y2196" i="3"/>
  <c r="Z2196" i="3"/>
  <c r="N2197" i="3"/>
  <c r="O2197" i="3"/>
  <c r="P2197" i="3"/>
  <c r="Q2197" i="3"/>
  <c r="R2197" i="3"/>
  <c r="S2197" i="3"/>
  <c r="T2197" i="3"/>
  <c r="U2197" i="3"/>
  <c r="V2197" i="3"/>
  <c r="W2197" i="3"/>
  <c r="X2197" i="3"/>
  <c r="Y2197" i="3"/>
  <c r="Z2197" i="3"/>
  <c r="N2198" i="3"/>
  <c r="O2198" i="3"/>
  <c r="P2198" i="3"/>
  <c r="Q2198" i="3"/>
  <c r="R2198" i="3"/>
  <c r="S2198" i="3"/>
  <c r="T2198" i="3"/>
  <c r="U2198" i="3"/>
  <c r="V2198" i="3"/>
  <c r="W2198" i="3"/>
  <c r="X2198" i="3"/>
  <c r="Y2198" i="3"/>
  <c r="Z2198" i="3"/>
  <c r="N2199" i="3"/>
  <c r="O2199" i="3"/>
  <c r="P2199" i="3"/>
  <c r="Q2199" i="3"/>
  <c r="R2199" i="3"/>
  <c r="S2199" i="3"/>
  <c r="T2199" i="3"/>
  <c r="U2199" i="3"/>
  <c r="V2199" i="3"/>
  <c r="W2199" i="3"/>
  <c r="X2199" i="3"/>
  <c r="Y2199" i="3"/>
  <c r="Z2199" i="3"/>
  <c r="N2200" i="3"/>
  <c r="O2200" i="3"/>
  <c r="P2200" i="3"/>
  <c r="Q2200" i="3"/>
  <c r="R2200" i="3"/>
  <c r="S2200" i="3"/>
  <c r="T2200" i="3"/>
  <c r="U2200" i="3"/>
  <c r="V2200" i="3"/>
  <c r="W2200" i="3"/>
  <c r="X2200" i="3"/>
  <c r="Y2200" i="3"/>
  <c r="Z2200" i="3"/>
  <c r="N2201" i="3"/>
  <c r="O2201" i="3"/>
  <c r="P2201" i="3"/>
  <c r="Q2201" i="3"/>
  <c r="R2201" i="3"/>
  <c r="S2201" i="3"/>
  <c r="T2201" i="3"/>
  <c r="U2201" i="3"/>
  <c r="V2201" i="3"/>
  <c r="W2201" i="3"/>
  <c r="X2201" i="3"/>
  <c r="Y2201" i="3"/>
  <c r="Z2201" i="3"/>
  <c r="N2202" i="3"/>
  <c r="O2202" i="3"/>
  <c r="P2202" i="3"/>
  <c r="Q2202" i="3"/>
  <c r="R2202" i="3"/>
  <c r="S2202" i="3"/>
  <c r="T2202" i="3"/>
  <c r="U2202" i="3"/>
  <c r="V2202" i="3"/>
  <c r="W2202" i="3"/>
  <c r="X2202" i="3"/>
  <c r="Y2202" i="3"/>
  <c r="Z2202" i="3"/>
  <c r="N2203" i="3"/>
  <c r="O2203" i="3"/>
  <c r="P2203" i="3"/>
  <c r="Q2203" i="3"/>
  <c r="R2203" i="3"/>
  <c r="S2203" i="3"/>
  <c r="T2203" i="3"/>
  <c r="U2203" i="3"/>
  <c r="V2203" i="3"/>
  <c r="W2203" i="3"/>
  <c r="X2203" i="3"/>
  <c r="Y2203" i="3"/>
  <c r="Z2203" i="3"/>
  <c r="N2204" i="3"/>
  <c r="O2204" i="3"/>
  <c r="P2204" i="3"/>
  <c r="Q2204" i="3"/>
  <c r="R2204" i="3"/>
  <c r="S2204" i="3"/>
  <c r="T2204" i="3"/>
  <c r="U2204" i="3"/>
  <c r="V2204" i="3"/>
  <c r="W2204" i="3"/>
  <c r="X2204" i="3"/>
  <c r="Y2204" i="3"/>
  <c r="Z2204" i="3"/>
  <c r="N2205" i="3"/>
  <c r="O2205" i="3"/>
  <c r="P2205" i="3"/>
  <c r="Q2205" i="3"/>
  <c r="R2205" i="3"/>
  <c r="S2205" i="3"/>
  <c r="T2205" i="3"/>
  <c r="U2205" i="3"/>
  <c r="V2205" i="3"/>
  <c r="W2205" i="3"/>
  <c r="X2205" i="3"/>
  <c r="Y2205" i="3"/>
  <c r="Z2205" i="3"/>
  <c r="N2206" i="3"/>
  <c r="O2206" i="3"/>
  <c r="P2206" i="3"/>
  <c r="Q2206" i="3"/>
  <c r="R2206" i="3"/>
  <c r="S2206" i="3"/>
  <c r="T2206" i="3"/>
  <c r="U2206" i="3"/>
  <c r="V2206" i="3"/>
  <c r="W2206" i="3"/>
  <c r="X2206" i="3"/>
  <c r="Y2206" i="3"/>
  <c r="Z2206" i="3"/>
  <c r="N2207" i="3"/>
  <c r="O2207" i="3"/>
  <c r="P2207" i="3"/>
  <c r="Q2207" i="3"/>
  <c r="R2207" i="3"/>
  <c r="S2207" i="3"/>
  <c r="T2207" i="3"/>
  <c r="U2207" i="3"/>
  <c r="V2207" i="3"/>
  <c r="W2207" i="3"/>
  <c r="X2207" i="3"/>
  <c r="Y2207" i="3"/>
  <c r="Z2207" i="3"/>
  <c r="N2208" i="3"/>
  <c r="O2208" i="3"/>
  <c r="P2208" i="3"/>
  <c r="Q2208" i="3"/>
  <c r="R2208" i="3"/>
  <c r="S2208" i="3"/>
  <c r="T2208" i="3"/>
  <c r="U2208" i="3"/>
  <c r="V2208" i="3"/>
  <c r="W2208" i="3"/>
  <c r="X2208" i="3"/>
  <c r="Y2208" i="3"/>
  <c r="Z2208" i="3"/>
  <c r="N2209" i="3"/>
  <c r="O2209" i="3"/>
  <c r="P2209" i="3"/>
  <c r="Q2209" i="3"/>
  <c r="R2209" i="3"/>
  <c r="S2209" i="3"/>
  <c r="T2209" i="3"/>
  <c r="U2209" i="3"/>
  <c r="V2209" i="3"/>
  <c r="W2209" i="3"/>
  <c r="X2209" i="3"/>
  <c r="Y2209" i="3"/>
  <c r="Z2209" i="3"/>
  <c r="N2210" i="3"/>
  <c r="O2210" i="3"/>
  <c r="P2210" i="3"/>
  <c r="Q2210" i="3"/>
  <c r="R2210" i="3"/>
  <c r="S2210" i="3"/>
  <c r="T2210" i="3"/>
  <c r="U2210" i="3"/>
  <c r="V2210" i="3"/>
  <c r="W2210" i="3"/>
  <c r="X2210" i="3"/>
  <c r="Y2210" i="3"/>
  <c r="Z2210" i="3"/>
  <c r="N2211" i="3"/>
  <c r="O2211" i="3"/>
  <c r="P2211" i="3"/>
  <c r="Q2211" i="3"/>
  <c r="R2211" i="3"/>
  <c r="S2211" i="3"/>
  <c r="T2211" i="3"/>
  <c r="U2211" i="3"/>
  <c r="V2211" i="3"/>
  <c r="W2211" i="3"/>
  <c r="X2211" i="3"/>
  <c r="Y2211" i="3"/>
  <c r="Z2211" i="3"/>
  <c r="N2212" i="3"/>
  <c r="O2212" i="3"/>
  <c r="P2212" i="3"/>
  <c r="Q2212" i="3"/>
  <c r="R2212" i="3"/>
  <c r="S2212" i="3"/>
  <c r="T2212" i="3"/>
  <c r="U2212" i="3"/>
  <c r="V2212" i="3"/>
  <c r="W2212" i="3"/>
  <c r="X2212" i="3"/>
  <c r="Y2212" i="3"/>
  <c r="Z2212" i="3"/>
  <c r="N2213" i="3"/>
  <c r="O2213" i="3"/>
  <c r="P2213" i="3"/>
  <c r="Q2213" i="3"/>
  <c r="R2213" i="3"/>
  <c r="S2213" i="3"/>
  <c r="T2213" i="3"/>
  <c r="U2213" i="3"/>
  <c r="V2213" i="3"/>
  <c r="W2213" i="3"/>
  <c r="X2213" i="3"/>
  <c r="Y2213" i="3"/>
  <c r="Z2213" i="3"/>
  <c r="N2214" i="3"/>
  <c r="O2214" i="3"/>
  <c r="P2214" i="3"/>
  <c r="Q2214" i="3"/>
  <c r="R2214" i="3"/>
  <c r="S2214" i="3"/>
  <c r="T2214" i="3"/>
  <c r="U2214" i="3"/>
  <c r="V2214" i="3"/>
  <c r="W2214" i="3"/>
  <c r="X2214" i="3"/>
  <c r="Y2214" i="3"/>
  <c r="Z2214" i="3"/>
  <c r="N2215" i="3"/>
  <c r="O2215" i="3"/>
  <c r="P2215" i="3"/>
  <c r="Q2215" i="3"/>
  <c r="R2215" i="3"/>
  <c r="S2215" i="3"/>
  <c r="T2215" i="3"/>
  <c r="U2215" i="3"/>
  <c r="V2215" i="3"/>
  <c r="W2215" i="3"/>
  <c r="X2215" i="3"/>
  <c r="Y2215" i="3"/>
  <c r="Z2215" i="3"/>
  <c r="N2216" i="3"/>
  <c r="O2216" i="3"/>
  <c r="P2216" i="3"/>
  <c r="Q2216" i="3"/>
  <c r="R2216" i="3"/>
  <c r="S2216" i="3"/>
  <c r="T2216" i="3"/>
  <c r="U2216" i="3"/>
  <c r="V2216" i="3"/>
  <c r="W2216" i="3"/>
  <c r="X2216" i="3"/>
  <c r="Y2216" i="3"/>
  <c r="Z2216" i="3"/>
  <c r="N2217" i="3"/>
  <c r="O2217" i="3"/>
  <c r="P2217" i="3"/>
  <c r="Q2217" i="3"/>
  <c r="R2217" i="3"/>
  <c r="S2217" i="3"/>
  <c r="T2217" i="3"/>
  <c r="U2217" i="3"/>
  <c r="V2217" i="3"/>
  <c r="W2217" i="3"/>
  <c r="X2217" i="3"/>
  <c r="Y2217" i="3"/>
  <c r="Z2217" i="3"/>
  <c r="N2218" i="3"/>
  <c r="O2218" i="3"/>
  <c r="P2218" i="3"/>
  <c r="Q2218" i="3"/>
  <c r="R2218" i="3"/>
  <c r="S2218" i="3"/>
  <c r="T2218" i="3"/>
  <c r="U2218" i="3"/>
  <c r="V2218" i="3"/>
  <c r="W2218" i="3"/>
  <c r="X2218" i="3"/>
  <c r="Y2218" i="3"/>
  <c r="Z2218" i="3"/>
  <c r="N2219" i="3"/>
  <c r="O2219" i="3"/>
  <c r="P2219" i="3"/>
  <c r="Q2219" i="3"/>
  <c r="R2219" i="3"/>
  <c r="S2219" i="3"/>
  <c r="T2219" i="3"/>
  <c r="U2219" i="3"/>
  <c r="V2219" i="3"/>
  <c r="W2219" i="3"/>
  <c r="X2219" i="3"/>
  <c r="Y2219" i="3"/>
  <c r="Z2219" i="3"/>
  <c r="N2220" i="3"/>
  <c r="O2220" i="3"/>
  <c r="P2220" i="3"/>
  <c r="Q2220" i="3"/>
  <c r="R2220" i="3"/>
  <c r="S2220" i="3"/>
  <c r="T2220" i="3"/>
  <c r="U2220" i="3"/>
  <c r="V2220" i="3"/>
  <c r="W2220" i="3"/>
  <c r="X2220" i="3"/>
  <c r="Y2220" i="3"/>
  <c r="Z2220" i="3"/>
  <c r="N2221" i="3"/>
  <c r="O2221" i="3"/>
  <c r="P2221" i="3"/>
  <c r="Q2221" i="3"/>
  <c r="R2221" i="3"/>
  <c r="S2221" i="3"/>
  <c r="T2221" i="3"/>
  <c r="U2221" i="3"/>
  <c r="V2221" i="3"/>
  <c r="W2221" i="3"/>
  <c r="X2221" i="3"/>
  <c r="Y2221" i="3"/>
  <c r="Z2221" i="3"/>
  <c r="N2222" i="3"/>
  <c r="O2222" i="3"/>
  <c r="P2222" i="3"/>
  <c r="Q2222" i="3"/>
  <c r="R2222" i="3"/>
  <c r="S2222" i="3"/>
  <c r="T2222" i="3"/>
  <c r="U2222" i="3"/>
  <c r="V2222" i="3"/>
  <c r="W2222" i="3"/>
  <c r="X2222" i="3"/>
  <c r="Y2222" i="3"/>
  <c r="Z2222" i="3"/>
  <c r="N2223" i="3"/>
  <c r="O2223" i="3"/>
  <c r="P2223" i="3"/>
  <c r="Q2223" i="3"/>
  <c r="R2223" i="3"/>
  <c r="S2223" i="3"/>
  <c r="T2223" i="3"/>
  <c r="U2223" i="3"/>
  <c r="V2223" i="3"/>
  <c r="W2223" i="3"/>
  <c r="X2223" i="3"/>
  <c r="Y2223" i="3"/>
  <c r="Z2223" i="3"/>
  <c r="N2224" i="3"/>
  <c r="O2224" i="3"/>
  <c r="P2224" i="3"/>
  <c r="Q2224" i="3"/>
  <c r="R2224" i="3"/>
  <c r="S2224" i="3"/>
  <c r="T2224" i="3"/>
  <c r="U2224" i="3"/>
  <c r="V2224" i="3"/>
  <c r="W2224" i="3"/>
  <c r="X2224" i="3"/>
  <c r="Y2224" i="3"/>
  <c r="Z2224" i="3"/>
  <c r="N2225" i="3"/>
  <c r="O2225" i="3"/>
  <c r="P2225" i="3"/>
  <c r="Q2225" i="3"/>
  <c r="R2225" i="3"/>
  <c r="S2225" i="3"/>
  <c r="T2225" i="3"/>
  <c r="U2225" i="3"/>
  <c r="V2225" i="3"/>
  <c r="W2225" i="3"/>
  <c r="X2225" i="3"/>
  <c r="Y2225" i="3"/>
  <c r="Z2225" i="3"/>
  <c r="N2226" i="3"/>
  <c r="O2226" i="3"/>
  <c r="P2226" i="3"/>
  <c r="Q2226" i="3"/>
  <c r="R2226" i="3"/>
  <c r="S2226" i="3"/>
  <c r="T2226" i="3"/>
  <c r="U2226" i="3"/>
  <c r="V2226" i="3"/>
  <c r="W2226" i="3"/>
  <c r="X2226" i="3"/>
  <c r="Y2226" i="3"/>
  <c r="Z2226" i="3"/>
  <c r="N2227" i="3"/>
  <c r="O2227" i="3"/>
  <c r="P2227" i="3"/>
  <c r="Q2227" i="3"/>
  <c r="R2227" i="3"/>
  <c r="S2227" i="3"/>
  <c r="T2227" i="3"/>
  <c r="U2227" i="3"/>
  <c r="V2227" i="3"/>
  <c r="W2227" i="3"/>
  <c r="X2227" i="3"/>
  <c r="Y2227" i="3"/>
  <c r="Z2227" i="3"/>
  <c r="N2228" i="3"/>
  <c r="O2228" i="3"/>
  <c r="P2228" i="3"/>
  <c r="Q2228" i="3"/>
  <c r="R2228" i="3"/>
  <c r="S2228" i="3"/>
  <c r="T2228" i="3"/>
  <c r="U2228" i="3"/>
  <c r="V2228" i="3"/>
  <c r="W2228" i="3"/>
  <c r="X2228" i="3"/>
  <c r="Y2228" i="3"/>
  <c r="Z2228" i="3"/>
  <c r="N2229" i="3"/>
  <c r="O2229" i="3"/>
  <c r="P2229" i="3"/>
  <c r="Q2229" i="3"/>
  <c r="R2229" i="3"/>
  <c r="S2229" i="3"/>
  <c r="T2229" i="3"/>
  <c r="U2229" i="3"/>
  <c r="V2229" i="3"/>
  <c r="W2229" i="3"/>
  <c r="X2229" i="3"/>
  <c r="Y2229" i="3"/>
  <c r="Z2229" i="3"/>
  <c r="N2230" i="3"/>
  <c r="O2230" i="3"/>
  <c r="P2230" i="3"/>
  <c r="Q2230" i="3"/>
  <c r="R2230" i="3"/>
  <c r="S2230" i="3"/>
  <c r="T2230" i="3"/>
  <c r="U2230" i="3"/>
  <c r="V2230" i="3"/>
  <c r="W2230" i="3"/>
  <c r="X2230" i="3"/>
  <c r="Y2230" i="3"/>
  <c r="Z2230" i="3"/>
  <c r="N2231" i="3"/>
  <c r="O2231" i="3"/>
  <c r="P2231" i="3"/>
  <c r="Q2231" i="3"/>
  <c r="R2231" i="3"/>
  <c r="S2231" i="3"/>
  <c r="T2231" i="3"/>
  <c r="U2231" i="3"/>
  <c r="V2231" i="3"/>
  <c r="W2231" i="3"/>
  <c r="X2231" i="3"/>
  <c r="Y2231" i="3"/>
  <c r="Z2231" i="3"/>
  <c r="N2232" i="3"/>
  <c r="O2232" i="3"/>
  <c r="P2232" i="3"/>
  <c r="Q2232" i="3"/>
  <c r="R2232" i="3"/>
  <c r="S2232" i="3"/>
  <c r="T2232" i="3"/>
  <c r="U2232" i="3"/>
  <c r="V2232" i="3"/>
  <c r="W2232" i="3"/>
  <c r="X2232" i="3"/>
  <c r="Y2232" i="3"/>
  <c r="Z2232" i="3"/>
  <c r="N2233" i="3"/>
  <c r="O2233" i="3"/>
  <c r="P2233" i="3"/>
  <c r="Q2233" i="3"/>
  <c r="R2233" i="3"/>
  <c r="S2233" i="3"/>
  <c r="T2233" i="3"/>
  <c r="U2233" i="3"/>
  <c r="V2233" i="3"/>
  <c r="W2233" i="3"/>
  <c r="X2233" i="3"/>
  <c r="Y2233" i="3"/>
  <c r="Z2233" i="3"/>
  <c r="N2234" i="3"/>
  <c r="O2234" i="3"/>
  <c r="P2234" i="3"/>
  <c r="Q2234" i="3"/>
  <c r="R2234" i="3"/>
  <c r="S2234" i="3"/>
  <c r="T2234" i="3"/>
  <c r="U2234" i="3"/>
  <c r="V2234" i="3"/>
  <c r="W2234" i="3"/>
  <c r="X2234" i="3"/>
  <c r="Y2234" i="3"/>
  <c r="Z2234" i="3"/>
  <c r="N2235" i="3"/>
  <c r="O2235" i="3"/>
  <c r="P2235" i="3"/>
  <c r="Q2235" i="3"/>
  <c r="R2235" i="3"/>
  <c r="S2235" i="3"/>
  <c r="T2235" i="3"/>
  <c r="U2235" i="3"/>
  <c r="V2235" i="3"/>
  <c r="W2235" i="3"/>
  <c r="X2235" i="3"/>
  <c r="Y2235" i="3"/>
  <c r="Z2235" i="3"/>
  <c r="N2236" i="3"/>
  <c r="O2236" i="3"/>
  <c r="P2236" i="3"/>
  <c r="Q2236" i="3"/>
  <c r="R2236" i="3"/>
  <c r="S2236" i="3"/>
  <c r="T2236" i="3"/>
  <c r="U2236" i="3"/>
  <c r="V2236" i="3"/>
  <c r="W2236" i="3"/>
  <c r="X2236" i="3"/>
  <c r="Y2236" i="3"/>
  <c r="Z2236" i="3"/>
  <c r="N2237" i="3"/>
  <c r="O2237" i="3"/>
  <c r="P2237" i="3"/>
  <c r="Q2237" i="3"/>
  <c r="R2237" i="3"/>
  <c r="S2237" i="3"/>
  <c r="T2237" i="3"/>
  <c r="U2237" i="3"/>
  <c r="V2237" i="3"/>
  <c r="W2237" i="3"/>
  <c r="X2237" i="3"/>
  <c r="Y2237" i="3"/>
  <c r="Z2237" i="3"/>
  <c r="N2238" i="3"/>
  <c r="O2238" i="3"/>
  <c r="P2238" i="3"/>
  <c r="Q2238" i="3"/>
  <c r="R2238" i="3"/>
  <c r="S2238" i="3"/>
  <c r="T2238" i="3"/>
  <c r="U2238" i="3"/>
  <c r="V2238" i="3"/>
  <c r="W2238" i="3"/>
  <c r="X2238" i="3"/>
  <c r="Y2238" i="3"/>
  <c r="Z2238" i="3"/>
  <c r="N2239" i="3"/>
  <c r="O2239" i="3"/>
  <c r="P2239" i="3"/>
  <c r="Q2239" i="3"/>
  <c r="R2239" i="3"/>
  <c r="S2239" i="3"/>
  <c r="T2239" i="3"/>
  <c r="U2239" i="3"/>
  <c r="V2239" i="3"/>
  <c r="W2239" i="3"/>
  <c r="X2239" i="3"/>
  <c r="Y2239" i="3"/>
  <c r="Z2239" i="3"/>
  <c r="N2240" i="3"/>
  <c r="O2240" i="3"/>
  <c r="P2240" i="3"/>
  <c r="Q2240" i="3"/>
  <c r="R2240" i="3"/>
  <c r="S2240" i="3"/>
  <c r="T2240" i="3"/>
  <c r="U2240" i="3"/>
  <c r="V2240" i="3"/>
  <c r="W2240" i="3"/>
  <c r="X2240" i="3"/>
  <c r="Y2240" i="3"/>
  <c r="Z2240" i="3"/>
  <c r="N2241" i="3"/>
  <c r="O2241" i="3"/>
  <c r="P2241" i="3"/>
  <c r="Q2241" i="3"/>
  <c r="R2241" i="3"/>
  <c r="S2241" i="3"/>
  <c r="T2241" i="3"/>
  <c r="U2241" i="3"/>
  <c r="V2241" i="3"/>
  <c r="W2241" i="3"/>
  <c r="X2241" i="3"/>
  <c r="Y2241" i="3"/>
  <c r="Z2241" i="3"/>
  <c r="N2242" i="3"/>
  <c r="O2242" i="3"/>
  <c r="P2242" i="3"/>
  <c r="Q2242" i="3"/>
  <c r="R2242" i="3"/>
  <c r="S2242" i="3"/>
  <c r="T2242" i="3"/>
  <c r="U2242" i="3"/>
  <c r="V2242" i="3"/>
  <c r="W2242" i="3"/>
  <c r="X2242" i="3"/>
  <c r="Y2242" i="3"/>
  <c r="Z2242" i="3"/>
  <c r="N2243" i="3"/>
  <c r="O2243" i="3"/>
  <c r="P2243" i="3"/>
  <c r="Q2243" i="3"/>
  <c r="R2243" i="3"/>
  <c r="S2243" i="3"/>
  <c r="T2243" i="3"/>
  <c r="U2243" i="3"/>
  <c r="V2243" i="3"/>
  <c r="W2243" i="3"/>
  <c r="X2243" i="3"/>
  <c r="Y2243" i="3"/>
  <c r="Z2243" i="3"/>
  <c r="N2244" i="3"/>
  <c r="O2244" i="3"/>
  <c r="P2244" i="3"/>
  <c r="Q2244" i="3"/>
  <c r="R2244" i="3"/>
  <c r="S2244" i="3"/>
  <c r="T2244" i="3"/>
  <c r="U2244" i="3"/>
  <c r="V2244" i="3"/>
  <c r="W2244" i="3"/>
  <c r="X2244" i="3"/>
  <c r="Y2244" i="3"/>
  <c r="Z2244" i="3"/>
  <c r="N2245" i="3"/>
  <c r="O2245" i="3"/>
  <c r="P2245" i="3"/>
  <c r="Q2245" i="3"/>
  <c r="R2245" i="3"/>
  <c r="S2245" i="3"/>
  <c r="T2245" i="3"/>
  <c r="U2245" i="3"/>
  <c r="V2245" i="3"/>
  <c r="W2245" i="3"/>
  <c r="X2245" i="3"/>
  <c r="Y2245" i="3"/>
  <c r="Z2245" i="3"/>
  <c r="N2246" i="3"/>
  <c r="O2246" i="3"/>
  <c r="P2246" i="3"/>
  <c r="Q2246" i="3"/>
  <c r="R2246" i="3"/>
  <c r="S2246" i="3"/>
  <c r="T2246" i="3"/>
  <c r="U2246" i="3"/>
  <c r="V2246" i="3"/>
  <c r="W2246" i="3"/>
  <c r="X2246" i="3"/>
  <c r="Y2246" i="3"/>
  <c r="Z2246" i="3"/>
  <c r="N2247" i="3"/>
  <c r="O2247" i="3"/>
  <c r="P2247" i="3"/>
  <c r="Q2247" i="3"/>
  <c r="R2247" i="3"/>
  <c r="S2247" i="3"/>
  <c r="T2247" i="3"/>
  <c r="U2247" i="3"/>
  <c r="V2247" i="3"/>
  <c r="W2247" i="3"/>
  <c r="X2247" i="3"/>
  <c r="Y2247" i="3"/>
  <c r="Z2247" i="3"/>
  <c r="N2248" i="3"/>
  <c r="O2248" i="3"/>
  <c r="P2248" i="3"/>
  <c r="Q2248" i="3"/>
  <c r="R2248" i="3"/>
  <c r="S2248" i="3"/>
  <c r="T2248" i="3"/>
  <c r="U2248" i="3"/>
  <c r="V2248" i="3"/>
  <c r="W2248" i="3"/>
  <c r="X2248" i="3"/>
  <c r="Y2248" i="3"/>
  <c r="Z2248" i="3"/>
  <c r="N2249" i="3"/>
  <c r="O2249" i="3"/>
  <c r="P2249" i="3"/>
  <c r="Q2249" i="3"/>
  <c r="R2249" i="3"/>
  <c r="S2249" i="3"/>
  <c r="T2249" i="3"/>
  <c r="U2249" i="3"/>
  <c r="V2249" i="3"/>
  <c r="W2249" i="3"/>
  <c r="X2249" i="3"/>
  <c r="Y2249" i="3"/>
  <c r="Z2249" i="3"/>
  <c r="N2250" i="3"/>
  <c r="O2250" i="3"/>
  <c r="P2250" i="3"/>
  <c r="Q2250" i="3"/>
  <c r="R2250" i="3"/>
  <c r="S2250" i="3"/>
  <c r="T2250" i="3"/>
  <c r="U2250" i="3"/>
  <c r="V2250" i="3"/>
  <c r="W2250" i="3"/>
  <c r="X2250" i="3"/>
  <c r="Y2250" i="3"/>
  <c r="Z2250" i="3"/>
  <c r="N2251" i="3"/>
  <c r="O2251" i="3"/>
  <c r="P2251" i="3"/>
  <c r="Q2251" i="3"/>
  <c r="R2251" i="3"/>
  <c r="S2251" i="3"/>
  <c r="T2251" i="3"/>
  <c r="U2251" i="3"/>
  <c r="V2251" i="3"/>
  <c r="W2251" i="3"/>
  <c r="X2251" i="3"/>
  <c r="Y2251" i="3"/>
  <c r="Z2251" i="3"/>
  <c r="N2252" i="3"/>
  <c r="O2252" i="3"/>
  <c r="P2252" i="3"/>
  <c r="Q2252" i="3"/>
  <c r="R2252" i="3"/>
  <c r="S2252" i="3"/>
  <c r="T2252" i="3"/>
  <c r="U2252" i="3"/>
  <c r="V2252" i="3"/>
  <c r="W2252" i="3"/>
  <c r="X2252" i="3"/>
  <c r="Y2252" i="3"/>
  <c r="Z2252" i="3"/>
  <c r="N2253" i="3"/>
  <c r="O2253" i="3"/>
  <c r="P2253" i="3"/>
  <c r="Q2253" i="3"/>
  <c r="R2253" i="3"/>
  <c r="S2253" i="3"/>
  <c r="T2253" i="3"/>
  <c r="U2253" i="3"/>
  <c r="V2253" i="3"/>
  <c r="W2253" i="3"/>
  <c r="X2253" i="3"/>
  <c r="Y2253" i="3"/>
  <c r="Z2253" i="3"/>
  <c r="N2254" i="3"/>
  <c r="O2254" i="3"/>
  <c r="P2254" i="3"/>
  <c r="Q2254" i="3"/>
  <c r="R2254" i="3"/>
  <c r="S2254" i="3"/>
  <c r="T2254" i="3"/>
  <c r="U2254" i="3"/>
  <c r="V2254" i="3"/>
  <c r="W2254" i="3"/>
  <c r="X2254" i="3"/>
  <c r="Y2254" i="3"/>
  <c r="Z2254" i="3"/>
  <c r="N2255" i="3"/>
  <c r="O2255" i="3"/>
  <c r="P2255" i="3"/>
  <c r="Q2255" i="3"/>
  <c r="R2255" i="3"/>
  <c r="S2255" i="3"/>
  <c r="T2255" i="3"/>
  <c r="U2255" i="3"/>
  <c r="V2255" i="3"/>
  <c r="W2255" i="3"/>
  <c r="X2255" i="3"/>
  <c r="Y2255" i="3"/>
  <c r="Z2255" i="3"/>
  <c r="N2256" i="3"/>
  <c r="O2256" i="3"/>
  <c r="P2256" i="3"/>
  <c r="Q2256" i="3"/>
  <c r="R2256" i="3"/>
  <c r="S2256" i="3"/>
  <c r="T2256" i="3"/>
  <c r="U2256" i="3"/>
  <c r="V2256" i="3"/>
  <c r="W2256" i="3"/>
  <c r="X2256" i="3"/>
  <c r="Y2256" i="3"/>
  <c r="Z2256" i="3"/>
  <c r="N2257" i="3"/>
  <c r="O2257" i="3"/>
  <c r="P2257" i="3"/>
  <c r="Q2257" i="3"/>
  <c r="R2257" i="3"/>
  <c r="S2257" i="3"/>
  <c r="T2257" i="3"/>
  <c r="U2257" i="3"/>
  <c r="V2257" i="3"/>
  <c r="W2257" i="3"/>
  <c r="X2257" i="3"/>
  <c r="Y2257" i="3"/>
  <c r="Z2257" i="3"/>
  <c r="N2258" i="3"/>
  <c r="O2258" i="3"/>
  <c r="P2258" i="3"/>
  <c r="Q2258" i="3"/>
  <c r="R2258" i="3"/>
  <c r="S2258" i="3"/>
  <c r="T2258" i="3"/>
  <c r="U2258" i="3"/>
  <c r="V2258" i="3"/>
  <c r="W2258" i="3"/>
  <c r="X2258" i="3"/>
  <c r="Y2258" i="3"/>
  <c r="Z2258" i="3"/>
  <c r="N2259" i="3"/>
  <c r="O2259" i="3"/>
  <c r="P2259" i="3"/>
  <c r="Q2259" i="3"/>
  <c r="R2259" i="3"/>
  <c r="S2259" i="3"/>
  <c r="T2259" i="3"/>
  <c r="U2259" i="3"/>
  <c r="V2259" i="3"/>
  <c r="W2259" i="3"/>
  <c r="X2259" i="3"/>
  <c r="Y2259" i="3"/>
  <c r="Z2259" i="3"/>
  <c r="N2260" i="3"/>
  <c r="O2260" i="3"/>
  <c r="P2260" i="3"/>
  <c r="Q2260" i="3"/>
  <c r="R2260" i="3"/>
  <c r="S2260" i="3"/>
  <c r="T2260" i="3"/>
  <c r="U2260" i="3"/>
  <c r="V2260" i="3"/>
  <c r="W2260" i="3"/>
  <c r="X2260" i="3"/>
  <c r="Y2260" i="3"/>
  <c r="Z2260" i="3"/>
  <c r="N2261" i="3"/>
  <c r="O2261" i="3"/>
  <c r="P2261" i="3"/>
  <c r="Q2261" i="3"/>
  <c r="R2261" i="3"/>
  <c r="S2261" i="3"/>
  <c r="T2261" i="3"/>
  <c r="U2261" i="3"/>
  <c r="V2261" i="3"/>
  <c r="W2261" i="3"/>
  <c r="X2261" i="3"/>
  <c r="Y2261" i="3"/>
  <c r="Z2261" i="3"/>
  <c r="N2262" i="3"/>
  <c r="O2262" i="3"/>
  <c r="P2262" i="3"/>
  <c r="Q2262" i="3"/>
  <c r="R2262" i="3"/>
  <c r="S2262" i="3"/>
  <c r="T2262" i="3"/>
  <c r="U2262" i="3"/>
  <c r="V2262" i="3"/>
  <c r="W2262" i="3"/>
  <c r="X2262" i="3"/>
  <c r="Y2262" i="3"/>
  <c r="Z2262" i="3"/>
  <c r="N2263" i="3"/>
  <c r="O2263" i="3"/>
  <c r="P2263" i="3"/>
  <c r="Q2263" i="3"/>
  <c r="R2263" i="3"/>
  <c r="S2263" i="3"/>
  <c r="T2263" i="3"/>
  <c r="U2263" i="3"/>
  <c r="V2263" i="3"/>
  <c r="W2263" i="3"/>
  <c r="X2263" i="3"/>
  <c r="Y2263" i="3"/>
  <c r="Z2263" i="3"/>
  <c r="N2264" i="3"/>
  <c r="O2264" i="3"/>
  <c r="P2264" i="3"/>
  <c r="Q2264" i="3"/>
  <c r="R2264" i="3"/>
  <c r="S2264" i="3"/>
  <c r="T2264" i="3"/>
  <c r="U2264" i="3"/>
  <c r="V2264" i="3"/>
  <c r="W2264" i="3"/>
  <c r="X2264" i="3"/>
  <c r="Y2264" i="3"/>
  <c r="Z2264" i="3"/>
  <c r="N2265" i="3"/>
  <c r="O2265" i="3"/>
  <c r="P2265" i="3"/>
  <c r="Q2265" i="3"/>
  <c r="R2265" i="3"/>
  <c r="S2265" i="3"/>
  <c r="T2265" i="3"/>
  <c r="U2265" i="3"/>
  <c r="V2265" i="3"/>
  <c r="W2265" i="3"/>
  <c r="X2265" i="3"/>
  <c r="Y2265" i="3"/>
  <c r="Z2265" i="3"/>
  <c r="N2266" i="3"/>
  <c r="O2266" i="3"/>
  <c r="P2266" i="3"/>
  <c r="Q2266" i="3"/>
  <c r="R2266" i="3"/>
  <c r="S2266" i="3"/>
  <c r="T2266" i="3"/>
  <c r="U2266" i="3"/>
  <c r="V2266" i="3"/>
  <c r="W2266" i="3"/>
  <c r="X2266" i="3"/>
  <c r="Y2266" i="3"/>
  <c r="Z2266" i="3"/>
  <c r="N2267" i="3"/>
  <c r="O2267" i="3"/>
  <c r="P2267" i="3"/>
  <c r="Q2267" i="3"/>
  <c r="R2267" i="3"/>
  <c r="S2267" i="3"/>
  <c r="T2267" i="3"/>
  <c r="U2267" i="3"/>
  <c r="V2267" i="3"/>
  <c r="W2267" i="3"/>
  <c r="X2267" i="3"/>
  <c r="Y2267" i="3"/>
  <c r="Z2267" i="3"/>
  <c r="N2268" i="3"/>
  <c r="O2268" i="3"/>
  <c r="P2268" i="3"/>
  <c r="Q2268" i="3"/>
  <c r="R2268" i="3"/>
  <c r="S2268" i="3"/>
  <c r="T2268" i="3"/>
  <c r="U2268" i="3"/>
  <c r="V2268" i="3"/>
  <c r="W2268" i="3"/>
  <c r="X2268" i="3"/>
  <c r="Y2268" i="3"/>
  <c r="Z2268" i="3"/>
  <c r="N2269" i="3"/>
  <c r="O2269" i="3"/>
  <c r="P2269" i="3"/>
  <c r="Q2269" i="3"/>
  <c r="R2269" i="3"/>
  <c r="S2269" i="3"/>
  <c r="T2269" i="3"/>
  <c r="U2269" i="3"/>
  <c r="V2269" i="3"/>
  <c r="W2269" i="3"/>
  <c r="X2269" i="3"/>
  <c r="Y2269" i="3"/>
  <c r="Z2269" i="3"/>
  <c r="N2270" i="3"/>
  <c r="O2270" i="3"/>
  <c r="P2270" i="3"/>
  <c r="Q2270" i="3"/>
  <c r="R2270" i="3"/>
  <c r="S2270" i="3"/>
  <c r="T2270" i="3"/>
  <c r="U2270" i="3"/>
  <c r="V2270" i="3"/>
  <c r="W2270" i="3"/>
  <c r="X2270" i="3"/>
  <c r="Y2270" i="3"/>
  <c r="Z2270" i="3"/>
  <c r="N2271" i="3"/>
  <c r="O2271" i="3"/>
  <c r="P2271" i="3"/>
  <c r="Q2271" i="3"/>
  <c r="R2271" i="3"/>
  <c r="S2271" i="3"/>
  <c r="T2271" i="3"/>
  <c r="U2271" i="3"/>
  <c r="V2271" i="3"/>
  <c r="W2271" i="3"/>
  <c r="X2271" i="3"/>
  <c r="Y2271" i="3"/>
  <c r="Z2271" i="3"/>
  <c r="N2272" i="3"/>
  <c r="O2272" i="3"/>
  <c r="P2272" i="3"/>
  <c r="Q2272" i="3"/>
  <c r="R2272" i="3"/>
  <c r="S2272" i="3"/>
  <c r="T2272" i="3"/>
  <c r="U2272" i="3"/>
  <c r="V2272" i="3"/>
  <c r="W2272" i="3"/>
  <c r="X2272" i="3"/>
  <c r="Y2272" i="3"/>
  <c r="Z2272" i="3"/>
  <c r="N2273" i="3"/>
  <c r="O2273" i="3"/>
  <c r="P2273" i="3"/>
  <c r="Q2273" i="3"/>
  <c r="R2273" i="3"/>
  <c r="S2273" i="3"/>
  <c r="T2273" i="3"/>
  <c r="U2273" i="3"/>
  <c r="V2273" i="3"/>
  <c r="W2273" i="3"/>
  <c r="X2273" i="3"/>
  <c r="Y2273" i="3"/>
  <c r="Z2273" i="3"/>
  <c r="N2274" i="3"/>
  <c r="O2274" i="3"/>
  <c r="P2274" i="3"/>
  <c r="Q2274" i="3"/>
  <c r="R2274" i="3"/>
  <c r="S2274" i="3"/>
  <c r="T2274" i="3"/>
  <c r="U2274" i="3"/>
  <c r="V2274" i="3"/>
  <c r="W2274" i="3"/>
  <c r="X2274" i="3"/>
  <c r="Y2274" i="3"/>
  <c r="Z2274" i="3"/>
  <c r="N2275" i="3"/>
  <c r="O2275" i="3"/>
  <c r="P2275" i="3"/>
  <c r="Q2275" i="3"/>
  <c r="R2275" i="3"/>
  <c r="S2275" i="3"/>
  <c r="T2275" i="3"/>
  <c r="U2275" i="3"/>
  <c r="V2275" i="3"/>
  <c r="W2275" i="3"/>
  <c r="X2275" i="3"/>
  <c r="Y2275" i="3"/>
  <c r="Z2275" i="3"/>
  <c r="N2276" i="3"/>
  <c r="O2276" i="3"/>
  <c r="P2276" i="3"/>
  <c r="Q2276" i="3"/>
  <c r="R2276" i="3"/>
  <c r="S2276" i="3"/>
  <c r="T2276" i="3"/>
  <c r="U2276" i="3"/>
  <c r="V2276" i="3"/>
  <c r="W2276" i="3"/>
  <c r="X2276" i="3"/>
  <c r="Y2276" i="3"/>
  <c r="Z2276" i="3"/>
  <c r="N2277" i="3"/>
  <c r="O2277" i="3"/>
  <c r="P2277" i="3"/>
  <c r="Q2277" i="3"/>
  <c r="R2277" i="3"/>
  <c r="S2277" i="3"/>
  <c r="T2277" i="3"/>
  <c r="U2277" i="3"/>
  <c r="V2277" i="3"/>
  <c r="W2277" i="3"/>
  <c r="X2277" i="3"/>
  <c r="Y2277" i="3"/>
  <c r="Z2277" i="3"/>
  <c r="N2278" i="3"/>
  <c r="O2278" i="3"/>
  <c r="P2278" i="3"/>
  <c r="Q2278" i="3"/>
  <c r="R2278" i="3"/>
  <c r="S2278" i="3"/>
  <c r="T2278" i="3"/>
  <c r="U2278" i="3"/>
  <c r="V2278" i="3"/>
  <c r="W2278" i="3"/>
  <c r="X2278" i="3"/>
  <c r="Y2278" i="3"/>
  <c r="Z2278" i="3"/>
  <c r="N2279" i="3"/>
  <c r="O2279" i="3"/>
  <c r="P2279" i="3"/>
  <c r="Q2279" i="3"/>
  <c r="R2279" i="3"/>
  <c r="S2279" i="3"/>
  <c r="T2279" i="3"/>
  <c r="U2279" i="3"/>
  <c r="V2279" i="3"/>
  <c r="W2279" i="3"/>
  <c r="X2279" i="3"/>
  <c r="Y2279" i="3"/>
  <c r="Z2279" i="3"/>
  <c r="N2280" i="3"/>
  <c r="O2280" i="3"/>
  <c r="P2280" i="3"/>
  <c r="Q2280" i="3"/>
  <c r="R2280" i="3"/>
  <c r="S2280" i="3"/>
  <c r="T2280" i="3"/>
  <c r="U2280" i="3"/>
  <c r="V2280" i="3"/>
  <c r="W2280" i="3"/>
  <c r="X2280" i="3"/>
  <c r="Y2280" i="3"/>
  <c r="Z2280" i="3"/>
  <c r="N2281" i="3"/>
  <c r="O2281" i="3"/>
  <c r="P2281" i="3"/>
  <c r="Q2281" i="3"/>
  <c r="R2281" i="3"/>
  <c r="S2281" i="3"/>
  <c r="T2281" i="3"/>
  <c r="U2281" i="3"/>
  <c r="V2281" i="3"/>
  <c r="W2281" i="3"/>
  <c r="X2281" i="3"/>
  <c r="Y2281" i="3"/>
  <c r="Z2281" i="3"/>
  <c r="N2282" i="3"/>
  <c r="O2282" i="3"/>
  <c r="P2282" i="3"/>
  <c r="Q2282" i="3"/>
  <c r="R2282" i="3"/>
  <c r="S2282" i="3"/>
  <c r="T2282" i="3"/>
  <c r="U2282" i="3"/>
  <c r="V2282" i="3"/>
  <c r="W2282" i="3"/>
  <c r="X2282" i="3"/>
  <c r="Y2282" i="3"/>
  <c r="Z2282" i="3"/>
  <c r="N2283" i="3"/>
  <c r="O2283" i="3"/>
  <c r="P2283" i="3"/>
  <c r="Q2283" i="3"/>
  <c r="R2283" i="3"/>
  <c r="S2283" i="3"/>
  <c r="T2283" i="3"/>
  <c r="U2283" i="3"/>
  <c r="V2283" i="3"/>
  <c r="W2283" i="3"/>
  <c r="X2283" i="3"/>
  <c r="Y2283" i="3"/>
  <c r="Z2283" i="3"/>
  <c r="N2284" i="3"/>
  <c r="O2284" i="3"/>
  <c r="P2284" i="3"/>
  <c r="Q2284" i="3"/>
  <c r="R2284" i="3"/>
  <c r="S2284" i="3"/>
  <c r="T2284" i="3"/>
  <c r="U2284" i="3"/>
  <c r="V2284" i="3"/>
  <c r="W2284" i="3"/>
  <c r="X2284" i="3"/>
  <c r="Y2284" i="3"/>
  <c r="Z2284" i="3"/>
  <c r="N2285" i="3"/>
  <c r="O2285" i="3"/>
  <c r="P2285" i="3"/>
  <c r="Q2285" i="3"/>
  <c r="R2285" i="3"/>
  <c r="S2285" i="3"/>
  <c r="T2285" i="3"/>
  <c r="U2285" i="3"/>
  <c r="V2285" i="3"/>
  <c r="W2285" i="3"/>
  <c r="X2285" i="3"/>
  <c r="Y2285" i="3"/>
  <c r="Z2285" i="3"/>
  <c r="N2286" i="3"/>
  <c r="O2286" i="3"/>
  <c r="P2286" i="3"/>
  <c r="Q2286" i="3"/>
  <c r="R2286" i="3"/>
  <c r="S2286" i="3"/>
  <c r="T2286" i="3"/>
  <c r="U2286" i="3"/>
  <c r="V2286" i="3"/>
  <c r="W2286" i="3"/>
  <c r="X2286" i="3"/>
  <c r="Y2286" i="3"/>
  <c r="Z2286" i="3"/>
  <c r="N2287" i="3"/>
  <c r="O2287" i="3"/>
  <c r="P2287" i="3"/>
  <c r="Q2287" i="3"/>
  <c r="R2287" i="3"/>
  <c r="S2287" i="3"/>
  <c r="T2287" i="3"/>
  <c r="U2287" i="3"/>
  <c r="V2287" i="3"/>
  <c r="W2287" i="3"/>
  <c r="X2287" i="3"/>
  <c r="Y2287" i="3"/>
  <c r="Z2287" i="3"/>
  <c r="N2288" i="3"/>
  <c r="O2288" i="3"/>
  <c r="P2288" i="3"/>
  <c r="Q2288" i="3"/>
  <c r="R2288" i="3"/>
  <c r="S2288" i="3"/>
  <c r="T2288" i="3"/>
  <c r="U2288" i="3"/>
  <c r="V2288" i="3"/>
  <c r="W2288" i="3"/>
  <c r="X2288" i="3"/>
  <c r="Y2288" i="3"/>
  <c r="Z2288" i="3"/>
  <c r="N2289" i="3"/>
  <c r="O2289" i="3"/>
  <c r="P2289" i="3"/>
  <c r="Q2289" i="3"/>
  <c r="R2289" i="3"/>
  <c r="S2289" i="3"/>
  <c r="T2289" i="3"/>
  <c r="U2289" i="3"/>
  <c r="V2289" i="3"/>
  <c r="W2289" i="3"/>
  <c r="X2289" i="3"/>
  <c r="Y2289" i="3"/>
  <c r="Z2289" i="3"/>
  <c r="N2290" i="3"/>
  <c r="O2290" i="3"/>
  <c r="P2290" i="3"/>
  <c r="Q2290" i="3"/>
  <c r="R2290" i="3"/>
  <c r="S2290" i="3"/>
  <c r="T2290" i="3"/>
  <c r="U2290" i="3"/>
  <c r="V2290" i="3"/>
  <c r="W2290" i="3"/>
  <c r="X2290" i="3"/>
  <c r="Y2290" i="3"/>
  <c r="Z2290" i="3"/>
  <c r="N2291" i="3"/>
  <c r="O2291" i="3"/>
  <c r="P2291" i="3"/>
  <c r="Q2291" i="3"/>
  <c r="R2291" i="3"/>
  <c r="S2291" i="3"/>
  <c r="T2291" i="3"/>
  <c r="U2291" i="3"/>
  <c r="V2291" i="3"/>
  <c r="W2291" i="3"/>
  <c r="X2291" i="3"/>
  <c r="Y2291" i="3"/>
  <c r="Z2291" i="3"/>
  <c r="N2292" i="3"/>
  <c r="O2292" i="3"/>
  <c r="P2292" i="3"/>
  <c r="Q2292" i="3"/>
  <c r="R2292" i="3"/>
  <c r="S2292" i="3"/>
  <c r="T2292" i="3"/>
  <c r="U2292" i="3"/>
  <c r="V2292" i="3"/>
  <c r="W2292" i="3"/>
  <c r="X2292" i="3"/>
  <c r="Y2292" i="3"/>
  <c r="Z2292" i="3"/>
  <c r="N2293" i="3"/>
  <c r="O2293" i="3"/>
  <c r="P2293" i="3"/>
  <c r="Q2293" i="3"/>
  <c r="R2293" i="3"/>
  <c r="S2293" i="3"/>
  <c r="T2293" i="3"/>
  <c r="U2293" i="3"/>
  <c r="V2293" i="3"/>
  <c r="W2293" i="3"/>
  <c r="X2293" i="3"/>
  <c r="Y2293" i="3"/>
  <c r="Z2293" i="3"/>
  <c r="N2294" i="3"/>
  <c r="O2294" i="3"/>
  <c r="P2294" i="3"/>
  <c r="Q2294" i="3"/>
  <c r="R2294" i="3"/>
  <c r="S2294" i="3"/>
  <c r="T2294" i="3"/>
  <c r="U2294" i="3"/>
  <c r="V2294" i="3"/>
  <c r="W2294" i="3"/>
  <c r="X2294" i="3"/>
  <c r="Y2294" i="3"/>
  <c r="Z2294" i="3"/>
  <c r="N2295" i="3"/>
  <c r="O2295" i="3"/>
  <c r="P2295" i="3"/>
  <c r="Q2295" i="3"/>
  <c r="R2295" i="3"/>
  <c r="S2295" i="3"/>
  <c r="T2295" i="3"/>
  <c r="U2295" i="3"/>
  <c r="V2295" i="3"/>
  <c r="W2295" i="3"/>
  <c r="X2295" i="3"/>
  <c r="Y2295" i="3"/>
  <c r="Z2295" i="3"/>
  <c r="N2296" i="3"/>
  <c r="O2296" i="3"/>
  <c r="P2296" i="3"/>
  <c r="Q2296" i="3"/>
  <c r="R2296" i="3"/>
  <c r="S2296" i="3"/>
  <c r="T2296" i="3"/>
  <c r="U2296" i="3"/>
  <c r="V2296" i="3"/>
  <c r="W2296" i="3"/>
  <c r="X2296" i="3"/>
  <c r="Y2296" i="3"/>
  <c r="Z2296" i="3"/>
  <c r="N2297" i="3"/>
  <c r="O2297" i="3"/>
  <c r="P2297" i="3"/>
  <c r="Q2297" i="3"/>
  <c r="R2297" i="3"/>
  <c r="S2297" i="3"/>
  <c r="T2297" i="3"/>
  <c r="U2297" i="3"/>
  <c r="V2297" i="3"/>
  <c r="W2297" i="3"/>
  <c r="X2297" i="3"/>
  <c r="Y2297" i="3"/>
  <c r="Z2297" i="3"/>
  <c r="N2298" i="3"/>
  <c r="O2298" i="3"/>
  <c r="P2298" i="3"/>
  <c r="Q2298" i="3"/>
  <c r="R2298" i="3"/>
  <c r="S2298" i="3"/>
  <c r="T2298" i="3"/>
  <c r="U2298" i="3"/>
  <c r="V2298" i="3"/>
  <c r="W2298" i="3"/>
  <c r="X2298" i="3"/>
  <c r="Y2298" i="3"/>
  <c r="Z2298" i="3"/>
  <c r="N2299" i="3"/>
  <c r="O2299" i="3"/>
  <c r="P2299" i="3"/>
  <c r="Q2299" i="3"/>
  <c r="R2299" i="3"/>
  <c r="S2299" i="3"/>
  <c r="T2299" i="3"/>
  <c r="U2299" i="3"/>
  <c r="V2299" i="3"/>
  <c r="W2299" i="3"/>
  <c r="X2299" i="3"/>
  <c r="Y2299" i="3"/>
  <c r="Z2299" i="3"/>
  <c r="N2300" i="3"/>
  <c r="O2300" i="3"/>
  <c r="P2300" i="3"/>
  <c r="Q2300" i="3"/>
  <c r="R2300" i="3"/>
  <c r="S2300" i="3"/>
  <c r="T2300" i="3"/>
  <c r="U2300" i="3"/>
  <c r="V2300" i="3"/>
  <c r="W2300" i="3"/>
  <c r="X2300" i="3"/>
  <c r="Y2300" i="3"/>
  <c r="Z2300" i="3"/>
  <c r="N2301" i="3"/>
  <c r="O2301" i="3"/>
  <c r="P2301" i="3"/>
  <c r="Q2301" i="3"/>
  <c r="R2301" i="3"/>
  <c r="S2301" i="3"/>
  <c r="T2301" i="3"/>
  <c r="U2301" i="3"/>
  <c r="V2301" i="3"/>
  <c r="W2301" i="3"/>
  <c r="X2301" i="3"/>
  <c r="Y2301" i="3"/>
  <c r="Z2301" i="3"/>
  <c r="N2302" i="3"/>
  <c r="O2302" i="3"/>
  <c r="P2302" i="3"/>
  <c r="Q2302" i="3"/>
  <c r="R2302" i="3"/>
  <c r="S2302" i="3"/>
  <c r="T2302" i="3"/>
  <c r="U2302" i="3"/>
  <c r="V2302" i="3"/>
  <c r="W2302" i="3"/>
  <c r="X2302" i="3"/>
  <c r="Y2302" i="3"/>
  <c r="Z2302" i="3"/>
  <c r="N2303" i="3"/>
  <c r="O2303" i="3"/>
  <c r="P2303" i="3"/>
  <c r="Q2303" i="3"/>
  <c r="R2303" i="3"/>
  <c r="S2303" i="3"/>
  <c r="T2303" i="3"/>
  <c r="U2303" i="3"/>
  <c r="V2303" i="3"/>
  <c r="W2303" i="3"/>
  <c r="X2303" i="3"/>
  <c r="Y2303" i="3"/>
  <c r="Z2303" i="3"/>
  <c r="N2304" i="3"/>
  <c r="O2304" i="3"/>
  <c r="P2304" i="3"/>
  <c r="Q2304" i="3"/>
  <c r="R2304" i="3"/>
  <c r="S2304" i="3"/>
  <c r="T2304" i="3"/>
  <c r="U2304" i="3"/>
  <c r="V2304" i="3"/>
  <c r="W2304" i="3"/>
  <c r="X2304" i="3"/>
  <c r="Y2304" i="3"/>
  <c r="Z2304" i="3"/>
  <c r="N2305" i="3"/>
  <c r="O2305" i="3"/>
  <c r="P2305" i="3"/>
  <c r="Q2305" i="3"/>
  <c r="R2305" i="3"/>
  <c r="S2305" i="3"/>
  <c r="T2305" i="3"/>
  <c r="U2305" i="3"/>
  <c r="V2305" i="3"/>
  <c r="W2305" i="3"/>
  <c r="X2305" i="3"/>
  <c r="Y2305" i="3"/>
  <c r="Z2305" i="3"/>
  <c r="N2306" i="3"/>
  <c r="O2306" i="3"/>
  <c r="P2306" i="3"/>
  <c r="Q2306" i="3"/>
  <c r="R2306" i="3"/>
  <c r="S2306" i="3"/>
  <c r="T2306" i="3"/>
  <c r="U2306" i="3"/>
  <c r="V2306" i="3"/>
  <c r="W2306" i="3"/>
  <c r="X2306" i="3"/>
  <c r="Y2306" i="3"/>
  <c r="Z2306" i="3"/>
  <c r="N2307" i="3"/>
  <c r="O2307" i="3"/>
  <c r="P2307" i="3"/>
  <c r="Q2307" i="3"/>
  <c r="R2307" i="3"/>
  <c r="S2307" i="3"/>
  <c r="T2307" i="3"/>
  <c r="U2307" i="3"/>
  <c r="V2307" i="3"/>
  <c r="W2307" i="3"/>
  <c r="X2307" i="3"/>
  <c r="Y2307" i="3"/>
  <c r="Z2307" i="3"/>
  <c r="N2308" i="3"/>
  <c r="O2308" i="3"/>
  <c r="P2308" i="3"/>
  <c r="Q2308" i="3"/>
  <c r="R2308" i="3"/>
  <c r="S2308" i="3"/>
  <c r="T2308" i="3"/>
  <c r="U2308" i="3"/>
  <c r="V2308" i="3"/>
  <c r="W2308" i="3"/>
  <c r="X2308" i="3"/>
  <c r="Y2308" i="3"/>
  <c r="Z2308" i="3"/>
  <c r="N2309" i="3"/>
  <c r="O2309" i="3"/>
  <c r="P2309" i="3"/>
  <c r="Q2309" i="3"/>
  <c r="R2309" i="3"/>
  <c r="S2309" i="3"/>
  <c r="T2309" i="3"/>
  <c r="U2309" i="3"/>
  <c r="V2309" i="3"/>
  <c r="W2309" i="3"/>
  <c r="X2309" i="3"/>
  <c r="Y2309" i="3"/>
  <c r="Z2309" i="3"/>
  <c r="N2310" i="3"/>
  <c r="O2310" i="3"/>
  <c r="P2310" i="3"/>
  <c r="Q2310" i="3"/>
  <c r="R2310" i="3"/>
  <c r="S2310" i="3"/>
  <c r="T2310" i="3"/>
  <c r="U2310" i="3"/>
  <c r="V2310" i="3"/>
  <c r="W2310" i="3"/>
  <c r="X2310" i="3"/>
  <c r="Y2310" i="3"/>
  <c r="Z2310" i="3"/>
  <c r="N2311" i="3"/>
  <c r="O2311" i="3"/>
  <c r="P2311" i="3"/>
  <c r="Q2311" i="3"/>
  <c r="R2311" i="3"/>
  <c r="S2311" i="3"/>
  <c r="T2311" i="3"/>
  <c r="U2311" i="3"/>
  <c r="V2311" i="3"/>
  <c r="W2311" i="3"/>
  <c r="X2311" i="3"/>
  <c r="Y2311" i="3"/>
  <c r="Z2311" i="3"/>
  <c r="N2312" i="3"/>
  <c r="O2312" i="3"/>
  <c r="P2312" i="3"/>
  <c r="Q2312" i="3"/>
  <c r="R2312" i="3"/>
  <c r="S2312" i="3"/>
  <c r="T2312" i="3"/>
  <c r="U2312" i="3"/>
  <c r="V2312" i="3"/>
  <c r="W2312" i="3"/>
  <c r="X2312" i="3"/>
  <c r="Y2312" i="3"/>
  <c r="Z2312" i="3"/>
  <c r="N2313" i="3"/>
  <c r="O2313" i="3"/>
  <c r="P2313" i="3"/>
  <c r="Q2313" i="3"/>
  <c r="R2313" i="3"/>
  <c r="S2313" i="3"/>
  <c r="T2313" i="3"/>
  <c r="U2313" i="3"/>
  <c r="V2313" i="3"/>
  <c r="W2313" i="3"/>
  <c r="X2313" i="3"/>
  <c r="Y2313" i="3"/>
  <c r="Z2313" i="3"/>
  <c r="N2314" i="3"/>
  <c r="O2314" i="3"/>
  <c r="P2314" i="3"/>
  <c r="Q2314" i="3"/>
  <c r="R2314" i="3"/>
  <c r="S2314" i="3"/>
  <c r="T2314" i="3"/>
  <c r="U2314" i="3"/>
  <c r="V2314" i="3"/>
  <c r="W2314" i="3"/>
  <c r="X2314" i="3"/>
  <c r="Y2314" i="3"/>
  <c r="Z2314" i="3"/>
  <c r="N2315" i="3"/>
  <c r="O2315" i="3"/>
  <c r="P2315" i="3"/>
  <c r="Q2315" i="3"/>
  <c r="R2315" i="3"/>
  <c r="S2315" i="3"/>
  <c r="T2315" i="3"/>
  <c r="U2315" i="3"/>
  <c r="V2315" i="3"/>
  <c r="W2315" i="3"/>
  <c r="X2315" i="3"/>
  <c r="Y2315" i="3"/>
  <c r="Z2315" i="3"/>
  <c r="N2316" i="3"/>
  <c r="O2316" i="3"/>
  <c r="P2316" i="3"/>
  <c r="Q2316" i="3"/>
  <c r="R2316" i="3"/>
  <c r="S2316" i="3"/>
  <c r="T2316" i="3"/>
  <c r="U2316" i="3"/>
  <c r="V2316" i="3"/>
  <c r="W2316" i="3"/>
  <c r="X2316" i="3"/>
  <c r="Y2316" i="3"/>
  <c r="Z2316" i="3"/>
  <c r="N2317" i="3"/>
  <c r="O2317" i="3"/>
  <c r="P2317" i="3"/>
  <c r="Q2317" i="3"/>
  <c r="R2317" i="3"/>
  <c r="S2317" i="3"/>
  <c r="T2317" i="3"/>
  <c r="U2317" i="3"/>
  <c r="V2317" i="3"/>
  <c r="W2317" i="3"/>
  <c r="X2317" i="3"/>
  <c r="Y2317" i="3"/>
  <c r="Z2317" i="3"/>
  <c r="N2318" i="3"/>
  <c r="O2318" i="3"/>
  <c r="P2318" i="3"/>
  <c r="Q2318" i="3"/>
  <c r="R2318" i="3"/>
  <c r="S2318" i="3"/>
  <c r="T2318" i="3"/>
  <c r="U2318" i="3"/>
  <c r="V2318" i="3"/>
  <c r="W2318" i="3"/>
  <c r="X2318" i="3"/>
  <c r="Y2318" i="3"/>
  <c r="Z2318" i="3"/>
  <c r="N2319" i="3"/>
  <c r="O2319" i="3"/>
  <c r="P2319" i="3"/>
  <c r="Q2319" i="3"/>
  <c r="R2319" i="3"/>
  <c r="S2319" i="3"/>
  <c r="T2319" i="3"/>
  <c r="U2319" i="3"/>
  <c r="V2319" i="3"/>
  <c r="W2319" i="3"/>
  <c r="X2319" i="3"/>
  <c r="Y2319" i="3"/>
  <c r="Z2319" i="3"/>
  <c r="N2320" i="3"/>
  <c r="O2320" i="3"/>
  <c r="P2320" i="3"/>
  <c r="Q2320" i="3"/>
  <c r="R2320" i="3"/>
  <c r="S2320" i="3"/>
  <c r="T2320" i="3"/>
  <c r="U2320" i="3"/>
  <c r="V2320" i="3"/>
  <c r="W2320" i="3"/>
  <c r="X2320" i="3"/>
  <c r="Y2320" i="3"/>
  <c r="Z2320" i="3"/>
  <c r="N2321" i="3"/>
  <c r="O2321" i="3"/>
  <c r="P2321" i="3"/>
  <c r="Q2321" i="3"/>
  <c r="R2321" i="3"/>
  <c r="S2321" i="3"/>
  <c r="T2321" i="3"/>
  <c r="U2321" i="3"/>
  <c r="V2321" i="3"/>
  <c r="W2321" i="3"/>
  <c r="X2321" i="3"/>
  <c r="Y2321" i="3"/>
  <c r="Z2321" i="3"/>
  <c r="O2" i="3"/>
  <c r="N2" i="3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B9" i="1"/>
  <c r="B12" i="1" s="1"/>
  <c r="B15" i="1" s="1"/>
  <c r="B18" i="1" s="1"/>
  <c r="B21" i="1" s="1"/>
  <c r="B24" i="1" s="1"/>
  <c r="B27" i="1" s="1"/>
  <c r="B30" i="1" s="1"/>
  <c r="B33" i="1" s="1"/>
  <c r="B36" i="1" s="1"/>
  <c r="B39" i="1" s="1"/>
  <c r="B42" i="1" s="1"/>
  <c r="B45" i="1" s="1"/>
  <c r="B48" i="1" s="1"/>
  <c r="B51" i="1" s="1"/>
  <c r="B54" i="1" s="1"/>
  <c r="B57" i="1" s="1"/>
  <c r="B60" i="1" s="1"/>
  <c r="B63" i="1" s="1"/>
  <c r="D2" i="1"/>
  <c r="F2" i="1" s="1"/>
  <c r="B2" i="1" s="1"/>
  <c r="G64" i="1" l="1"/>
  <c r="G63" i="1"/>
  <c r="F63" i="1"/>
  <c r="D63" i="1"/>
  <c r="C63" i="1"/>
  <c r="G61" i="1"/>
  <c r="G60" i="1"/>
  <c r="F60" i="1"/>
  <c r="D60" i="1"/>
  <c r="C60" i="1"/>
  <c r="G58" i="1"/>
  <c r="G57" i="1"/>
  <c r="F57" i="1"/>
  <c r="D57" i="1"/>
  <c r="C57" i="1"/>
  <c r="G55" i="1"/>
  <c r="G54" i="1"/>
  <c r="F54" i="1"/>
  <c r="D54" i="1"/>
  <c r="C54" i="1"/>
  <c r="G52" i="1"/>
  <c r="G51" i="1"/>
  <c r="F51" i="1"/>
  <c r="D51" i="1"/>
  <c r="C51" i="1"/>
  <c r="G49" i="1"/>
  <c r="G48" i="1"/>
  <c r="F48" i="1"/>
  <c r="D48" i="1"/>
  <c r="C48" i="1"/>
  <c r="G46" i="1"/>
  <c r="G45" i="1"/>
  <c r="F45" i="1"/>
  <c r="D45" i="1"/>
  <c r="C45" i="1"/>
  <c r="G43" i="1"/>
  <c r="G42" i="1"/>
  <c r="F42" i="1"/>
  <c r="D42" i="1"/>
  <c r="C42" i="1"/>
  <c r="G40" i="1"/>
  <c r="G39" i="1"/>
  <c r="F39" i="1"/>
  <c r="D39" i="1"/>
  <c r="C39" i="1"/>
  <c r="G37" i="1"/>
  <c r="G36" i="1"/>
  <c r="F36" i="1"/>
  <c r="D36" i="1"/>
  <c r="C36" i="1"/>
  <c r="G34" i="1"/>
  <c r="G33" i="1"/>
  <c r="F33" i="1"/>
  <c r="D33" i="1"/>
  <c r="C33" i="1"/>
  <c r="G31" i="1"/>
  <c r="G30" i="1"/>
  <c r="F30" i="1"/>
  <c r="D30" i="1"/>
  <c r="C30" i="1"/>
  <c r="G28" i="1"/>
  <c r="G27" i="1"/>
  <c r="F27" i="1"/>
  <c r="D27" i="1"/>
  <c r="C27" i="1"/>
  <c r="G25" i="1"/>
  <c r="G24" i="1"/>
  <c r="F24" i="1"/>
  <c r="D24" i="1"/>
  <c r="C24" i="1"/>
  <c r="G22" i="1"/>
  <c r="G21" i="1"/>
  <c r="F21" i="1"/>
  <c r="D21" i="1"/>
  <c r="C21" i="1"/>
  <c r="G19" i="1"/>
  <c r="G18" i="1"/>
  <c r="F18" i="1"/>
  <c r="D18" i="1"/>
  <c r="C18" i="1"/>
  <c r="G16" i="1"/>
  <c r="G15" i="1"/>
  <c r="F15" i="1"/>
  <c r="D15" i="1"/>
  <c r="C15" i="1"/>
  <c r="G13" i="1"/>
  <c r="G12" i="1"/>
  <c r="F12" i="1"/>
  <c r="D12" i="1"/>
  <c r="C12" i="1"/>
  <c r="G10" i="1"/>
  <c r="G9" i="1"/>
  <c r="F9" i="1"/>
  <c r="D9" i="1"/>
  <c r="C9" i="1"/>
  <c r="G7" i="1"/>
  <c r="G6" i="1"/>
  <c r="AF6" i="1" s="1"/>
  <c r="F6" i="1"/>
  <c r="D6" i="1"/>
  <c r="C6" i="1"/>
  <c r="AC60" i="1"/>
  <c r="AC63" i="1"/>
  <c r="AC54" i="1"/>
  <c r="AC57" i="1"/>
  <c r="AC48" i="1"/>
  <c r="AC51" i="1"/>
  <c r="AC42" i="1"/>
  <c r="AC45" i="1"/>
  <c r="AC36" i="1"/>
  <c r="AC39" i="1"/>
  <c r="AC30" i="1"/>
  <c r="AC33" i="1"/>
  <c r="AC24" i="1"/>
  <c r="AC27" i="1"/>
  <c r="AC18" i="1"/>
  <c r="AC21" i="1"/>
  <c r="AC12" i="1"/>
  <c r="AC15" i="1"/>
  <c r="AC6" i="1"/>
  <c r="AC9" i="1"/>
  <c r="Z11" i="3"/>
  <c r="R11" i="3"/>
  <c r="S11" i="3" s="1"/>
  <c r="Z12" i="3"/>
  <c r="R12" i="3"/>
  <c r="S12" i="3" s="1"/>
  <c r="Z18" i="3"/>
  <c r="R18" i="3"/>
  <c r="S18" i="3" s="1"/>
  <c r="Z28" i="3"/>
  <c r="R28" i="3"/>
  <c r="S28" i="3" s="1"/>
  <c r="Z37" i="3"/>
  <c r="R37" i="3"/>
  <c r="S37" i="3" s="1"/>
  <c r="Z47" i="3"/>
  <c r="R47" i="3"/>
  <c r="S47" i="3" s="1"/>
  <c r="Z48" i="3"/>
  <c r="R48" i="3"/>
  <c r="S48" i="3" s="1"/>
  <c r="Z52" i="3"/>
  <c r="R52" i="3"/>
  <c r="S52" i="3" s="1"/>
  <c r="Z73" i="3"/>
  <c r="R73" i="3"/>
  <c r="S73" i="3" s="1"/>
  <c r="Z75" i="3"/>
  <c r="R75" i="3"/>
  <c r="S75" i="3" s="1"/>
  <c r="Z80" i="3"/>
  <c r="R80" i="3"/>
  <c r="S80" i="3" s="1"/>
  <c r="Z95" i="3"/>
  <c r="R95" i="3"/>
  <c r="S95" i="3" s="1"/>
  <c r="Z96" i="3"/>
  <c r="R96" i="3"/>
  <c r="S96" i="3" s="1"/>
  <c r="Z102" i="3"/>
  <c r="R102" i="3"/>
  <c r="S102" i="3" s="1"/>
  <c r="Z104" i="3"/>
  <c r="R104" i="3"/>
  <c r="S104" i="3" s="1"/>
  <c r="Z106" i="3"/>
  <c r="R106" i="3"/>
  <c r="S106" i="3" s="1"/>
  <c r="Z108" i="3"/>
  <c r="R108" i="3"/>
  <c r="S108" i="3" s="1"/>
  <c r="Z125" i="3"/>
  <c r="R125" i="3"/>
  <c r="S125" i="3" s="1"/>
  <c r="Z131" i="3"/>
  <c r="R131" i="3"/>
  <c r="S131" i="3" s="1"/>
  <c r="Z132" i="3"/>
  <c r="R132" i="3"/>
  <c r="S132" i="3" s="1"/>
  <c r="Z150" i="3"/>
  <c r="R150" i="3"/>
  <c r="S150" i="3" s="1"/>
  <c r="Z152" i="3"/>
  <c r="R152" i="3"/>
  <c r="S152" i="3" s="1"/>
  <c r="P159" i="3"/>
  <c r="V159" i="3"/>
  <c r="U159" i="3"/>
  <c r="Q159" i="3"/>
  <c r="T159" i="3"/>
  <c r="Y159" i="3"/>
  <c r="W159" i="3"/>
  <c r="X159" i="3"/>
  <c r="P243" i="3"/>
  <c r="Q243" i="3"/>
  <c r="R244" i="3"/>
  <c r="S244" i="3" s="1"/>
  <c r="Z244" i="3"/>
  <c r="P245" i="3"/>
  <c r="Q245" i="3"/>
  <c r="P246" i="3"/>
  <c r="Q246" i="3"/>
  <c r="P247" i="3"/>
  <c r="Q247" i="3"/>
  <c r="Q249" i="3"/>
  <c r="P249" i="3"/>
  <c r="Z250" i="3"/>
  <c r="R250" i="3"/>
  <c r="S250" i="3" s="1"/>
  <c r="R251" i="3"/>
  <c r="S251" i="3" s="1"/>
  <c r="Z251" i="3"/>
  <c r="P252" i="3"/>
  <c r="Q252" i="3"/>
  <c r="Z253" i="3"/>
  <c r="R253" i="3"/>
  <c r="S253" i="3" s="1"/>
  <c r="Z254" i="3"/>
  <c r="R254" i="3"/>
  <c r="S254" i="3" s="1"/>
  <c r="P255" i="3"/>
  <c r="Q255" i="3"/>
  <c r="R256" i="3"/>
  <c r="S256" i="3" s="1"/>
  <c r="Z256" i="3"/>
  <c r="Z257" i="3"/>
  <c r="R257" i="3"/>
  <c r="S257" i="3" s="1"/>
  <c r="R259" i="3"/>
  <c r="S259" i="3" s="1"/>
  <c r="Z259" i="3"/>
  <c r="P260" i="3"/>
  <c r="Q260" i="3"/>
  <c r="P262" i="3"/>
  <c r="Q262" i="3"/>
  <c r="P263" i="3"/>
  <c r="Q263" i="3"/>
  <c r="P264" i="3"/>
  <c r="Q264" i="3"/>
  <c r="U265" i="3"/>
  <c r="P265" i="3"/>
  <c r="T265" i="3"/>
  <c r="Q265" i="3"/>
  <c r="V265" i="3"/>
  <c r="P267" i="3"/>
  <c r="Q267" i="3"/>
  <c r="Q268" i="3"/>
  <c r="P268" i="3"/>
  <c r="Z269" i="3"/>
  <c r="R269" i="3"/>
  <c r="S269" i="3" s="1"/>
  <c r="P271" i="3"/>
  <c r="Q271" i="3"/>
  <c r="R272" i="3"/>
  <c r="S272" i="3" s="1"/>
  <c r="Z272" i="3"/>
  <c r="Q273" i="3"/>
  <c r="P273" i="3"/>
  <c r="P275" i="3"/>
  <c r="Q275" i="3"/>
  <c r="Z276" i="3"/>
  <c r="R276" i="3"/>
  <c r="S276" i="3" s="1"/>
  <c r="P277" i="3"/>
  <c r="Q277" i="3"/>
  <c r="Q278" i="3"/>
  <c r="P278" i="3"/>
  <c r="Z280" i="3"/>
  <c r="R280" i="3"/>
  <c r="S280" i="3" s="1"/>
  <c r="Q281" i="3"/>
  <c r="P281" i="3"/>
  <c r="Q282" i="3"/>
  <c r="P282" i="3"/>
  <c r="Z284" i="3"/>
  <c r="R284" i="3"/>
  <c r="S284" i="3" s="1"/>
  <c r="Z285" i="3"/>
  <c r="R285" i="3"/>
  <c r="S285" i="3" s="1"/>
  <c r="Q286" i="3"/>
  <c r="P286" i="3"/>
  <c r="Q288" i="3"/>
  <c r="P288" i="3"/>
  <c r="R289" i="3"/>
  <c r="S289" i="3" s="1"/>
  <c r="Z289" i="3"/>
  <c r="Q290" i="3"/>
  <c r="P290" i="3"/>
  <c r="Q291" i="3"/>
  <c r="P291" i="3"/>
  <c r="Z292" i="3"/>
  <c r="R292" i="3"/>
  <c r="S292" i="3" s="1"/>
  <c r="R294" i="3"/>
  <c r="S294" i="3" s="1"/>
  <c r="Z294" i="3"/>
  <c r="P295" i="3"/>
  <c r="Q295" i="3"/>
  <c r="Q296" i="3"/>
  <c r="P296" i="3"/>
  <c r="R297" i="3"/>
  <c r="S297" i="3" s="1"/>
  <c r="Z297" i="3"/>
  <c r="P298" i="3"/>
  <c r="Q298" i="3"/>
  <c r="P300" i="3"/>
  <c r="Q300" i="3"/>
  <c r="Z301" i="3"/>
  <c r="R301" i="3"/>
  <c r="S301" i="3" s="1"/>
  <c r="Z302" i="3"/>
  <c r="R302" i="3"/>
  <c r="S302" i="3" s="1"/>
  <c r="Z303" i="3"/>
  <c r="R303" i="3"/>
  <c r="S303" i="3" s="1"/>
  <c r="Z305" i="3"/>
  <c r="R305" i="3"/>
  <c r="S305" i="3" s="1"/>
  <c r="P306" i="3"/>
  <c r="Q306" i="3"/>
  <c r="R307" i="3"/>
  <c r="S307" i="3" s="1"/>
  <c r="Z307" i="3"/>
  <c r="Q308" i="3"/>
  <c r="P308" i="3"/>
  <c r="Q309" i="3"/>
  <c r="P309" i="3"/>
  <c r="Z310" i="3"/>
  <c r="R310" i="3"/>
  <c r="S310" i="3" s="1"/>
  <c r="Q311" i="3"/>
  <c r="P311" i="3"/>
  <c r="Q312" i="3"/>
  <c r="P312" i="3"/>
  <c r="Q313" i="3"/>
  <c r="P313" i="3"/>
  <c r="Z314" i="3"/>
  <c r="R314" i="3"/>
  <c r="S314" i="3" s="1"/>
  <c r="V315" i="3"/>
  <c r="U315" i="3"/>
  <c r="T315" i="3"/>
  <c r="Q315" i="3"/>
  <c r="S315" i="3" s="1"/>
  <c r="X315" i="3"/>
  <c r="W315" i="3"/>
  <c r="Y315" i="3"/>
  <c r="R315" i="3"/>
  <c r="Z315" i="3"/>
  <c r="P418" i="3"/>
  <c r="Q418" i="3"/>
  <c r="P419" i="3"/>
  <c r="Q419" i="3"/>
  <c r="Q420" i="3"/>
  <c r="P420" i="3"/>
  <c r="P421" i="3"/>
  <c r="Q421" i="3"/>
  <c r="Q422" i="3"/>
  <c r="P422" i="3"/>
  <c r="Q423" i="3"/>
  <c r="P423" i="3"/>
  <c r="Q424" i="3"/>
  <c r="P424" i="3"/>
  <c r="T424" i="3"/>
  <c r="W424" i="3"/>
  <c r="X424" i="3"/>
  <c r="Y424" i="3"/>
  <c r="Q425" i="3"/>
  <c r="P425" i="3"/>
  <c r="Q426" i="3"/>
  <c r="P426" i="3"/>
  <c r="Q427" i="3"/>
  <c r="P427" i="3"/>
  <c r="P428" i="3"/>
  <c r="Q428" i="3"/>
  <c r="Q429" i="3"/>
  <c r="P429" i="3"/>
  <c r="P430" i="3"/>
  <c r="T430" i="3"/>
  <c r="Q430" i="3"/>
  <c r="P431" i="3"/>
  <c r="Q431" i="3"/>
  <c r="Q432" i="3"/>
  <c r="P432" i="3"/>
  <c r="U433" i="3"/>
  <c r="P433" i="3"/>
  <c r="Q433" i="3"/>
  <c r="T433" i="3"/>
  <c r="P434" i="3"/>
  <c r="Q434" i="3"/>
  <c r="P435" i="3"/>
  <c r="Q435" i="3"/>
  <c r="Q436" i="3"/>
  <c r="U436" i="3"/>
  <c r="P436" i="3"/>
  <c r="T436" i="3"/>
  <c r="Q437" i="3"/>
  <c r="P437" i="3"/>
  <c r="P438" i="3"/>
  <c r="Q438" i="3"/>
  <c r="P439" i="3"/>
  <c r="Q439" i="3"/>
  <c r="Q440" i="3"/>
  <c r="P440" i="3"/>
  <c r="P441" i="3"/>
  <c r="Q441" i="3"/>
  <c r="P442" i="3"/>
  <c r="Q442" i="3"/>
  <c r="P443" i="3"/>
  <c r="Q443" i="3"/>
  <c r="Q444" i="3"/>
  <c r="P444" i="3"/>
  <c r="U445" i="3"/>
  <c r="Q445" i="3"/>
  <c r="P445" i="3"/>
  <c r="T445" i="3"/>
  <c r="Q446" i="3"/>
  <c r="P446" i="3"/>
  <c r="P447" i="3"/>
  <c r="Q447" i="3"/>
  <c r="V448" i="3"/>
  <c r="T448" i="3"/>
  <c r="Q448" i="3"/>
  <c r="U448" i="3"/>
  <c r="P448" i="3"/>
  <c r="T450" i="3"/>
  <c r="P450" i="3"/>
  <c r="Q450" i="3"/>
  <c r="U450" i="3"/>
  <c r="P451" i="3"/>
  <c r="U451" i="3"/>
  <c r="Q451" i="3"/>
  <c r="T451" i="3"/>
  <c r="P452" i="3"/>
  <c r="Q452" i="3"/>
  <c r="P453" i="3"/>
  <c r="Q453" i="3"/>
  <c r="Q454" i="3"/>
  <c r="P454" i="3"/>
  <c r="Q455" i="3"/>
  <c r="P455" i="3"/>
  <c r="P456" i="3"/>
  <c r="T456" i="3"/>
  <c r="Q456" i="3"/>
  <c r="Q457" i="3"/>
  <c r="T457" i="3"/>
  <c r="P457" i="3"/>
  <c r="U458" i="3"/>
  <c r="P458" i="3"/>
  <c r="T458" i="3"/>
  <c r="Q458" i="3"/>
  <c r="Z459" i="3"/>
  <c r="R459" i="3"/>
  <c r="S459" i="3" s="1"/>
  <c r="P460" i="3"/>
  <c r="Q460" i="3"/>
  <c r="Q461" i="3"/>
  <c r="P461" i="3"/>
  <c r="T461" i="3"/>
  <c r="U461" i="3"/>
  <c r="Z462" i="3"/>
  <c r="R462" i="3"/>
  <c r="S462" i="3" s="1"/>
  <c r="Z463" i="3"/>
  <c r="R463" i="3"/>
  <c r="S463" i="3" s="1"/>
  <c r="Q464" i="3"/>
  <c r="T464" i="3"/>
  <c r="P464" i="3"/>
  <c r="P465" i="3"/>
  <c r="Q465" i="3"/>
  <c r="P466" i="3"/>
  <c r="Q466" i="3"/>
  <c r="Q467" i="3"/>
  <c r="P467" i="3"/>
  <c r="P468" i="3"/>
  <c r="Q468" i="3"/>
  <c r="P469" i="3"/>
  <c r="T469" i="3"/>
  <c r="Q469" i="3"/>
  <c r="T470" i="3"/>
  <c r="P470" i="3"/>
  <c r="Q470" i="3"/>
  <c r="Q471" i="3"/>
  <c r="P471" i="3"/>
  <c r="V471" i="3"/>
  <c r="X471" i="3"/>
  <c r="W471" i="3"/>
  <c r="Y471" i="3"/>
  <c r="Q597" i="3"/>
  <c r="P597" i="3"/>
  <c r="T598" i="3"/>
  <c r="P598" i="3"/>
  <c r="Q598" i="3"/>
  <c r="Q599" i="3"/>
  <c r="P599" i="3"/>
  <c r="Q600" i="3"/>
  <c r="P600" i="3"/>
  <c r="Q601" i="3"/>
  <c r="T601" i="3"/>
  <c r="U601" i="3"/>
  <c r="V601" i="3"/>
  <c r="P601" i="3"/>
  <c r="X601" i="3"/>
  <c r="Y601" i="3"/>
  <c r="W601" i="3"/>
  <c r="P602" i="3"/>
  <c r="Q602" i="3"/>
  <c r="Q603" i="3"/>
  <c r="T603" i="3"/>
  <c r="P603" i="3"/>
  <c r="T604" i="3"/>
  <c r="P604" i="3"/>
  <c r="U604" i="3"/>
  <c r="Q604" i="3"/>
  <c r="Z605" i="3"/>
  <c r="R605" i="3"/>
  <c r="S605" i="3" s="1"/>
  <c r="Q606" i="3"/>
  <c r="P606" i="3"/>
  <c r="Q607" i="3"/>
  <c r="P607" i="3"/>
  <c r="P608" i="3"/>
  <c r="V608" i="3"/>
  <c r="T608" i="3"/>
  <c r="Q608" i="3"/>
  <c r="U608" i="3"/>
  <c r="P609" i="3"/>
  <c r="Q609" i="3"/>
  <c r="T609" i="3"/>
  <c r="Q610" i="3"/>
  <c r="P610" i="3"/>
  <c r="Z611" i="3"/>
  <c r="R611" i="3"/>
  <c r="S611" i="3" s="1"/>
  <c r="U612" i="3"/>
  <c r="P612" i="3"/>
  <c r="T612" i="3"/>
  <c r="Q612" i="3"/>
  <c r="P613" i="3"/>
  <c r="Q613" i="3"/>
  <c r="P614" i="3"/>
  <c r="Q614" i="3"/>
  <c r="Q615" i="3"/>
  <c r="P615" i="3"/>
  <c r="Q616" i="3"/>
  <c r="P616" i="3"/>
  <c r="T617" i="3"/>
  <c r="Q617" i="3"/>
  <c r="P617" i="3"/>
  <c r="Q618" i="3"/>
  <c r="P618" i="3"/>
  <c r="Q619" i="3"/>
  <c r="P619" i="3"/>
  <c r="Z620" i="3"/>
  <c r="R620" i="3"/>
  <c r="S620" i="3" s="1"/>
  <c r="P621" i="3"/>
  <c r="Q621" i="3"/>
  <c r="Q622" i="3"/>
  <c r="P622" i="3"/>
  <c r="Q623" i="3"/>
  <c r="T623" i="3"/>
  <c r="V623" i="3"/>
  <c r="U623" i="3"/>
  <c r="P623" i="3"/>
  <c r="Q624" i="3"/>
  <c r="P624" i="3"/>
  <c r="U625" i="3"/>
  <c r="T625" i="3"/>
  <c r="Q625" i="3"/>
  <c r="V625" i="3"/>
  <c r="P625" i="3"/>
  <c r="X625" i="3"/>
  <c r="W625" i="3"/>
  <c r="V626" i="3"/>
  <c r="Q626" i="3"/>
  <c r="T626" i="3"/>
  <c r="P626" i="3"/>
  <c r="U626" i="3"/>
  <c r="Q627" i="3"/>
  <c r="P627" i="3"/>
  <c r="Y627" i="3"/>
  <c r="X627" i="3"/>
  <c r="Q762" i="3"/>
  <c r="P762" i="3"/>
  <c r="P763" i="3"/>
  <c r="T763" i="3"/>
  <c r="Q763" i="3"/>
  <c r="P764" i="3"/>
  <c r="Q764" i="3"/>
  <c r="P765" i="3"/>
  <c r="T765" i="3"/>
  <c r="Q765" i="3"/>
  <c r="P766" i="3"/>
  <c r="Q766" i="3"/>
  <c r="T766" i="3"/>
  <c r="U767" i="3"/>
  <c r="Q767" i="3"/>
  <c r="P767" i="3"/>
  <c r="V767" i="3"/>
  <c r="T767" i="3"/>
  <c r="V768" i="3"/>
  <c r="P768" i="3"/>
  <c r="T768" i="3"/>
  <c r="Q768" i="3"/>
  <c r="U768" i="3"/>
  <c r="T769" i="3"/>
  <c r="U769" i="3"/>
  <c r="V769" i="3"/>
  <c r="P769" i="3"/>
  <c r="Q769" i="3"/>
  <c r="P770" i="3"/>
  <c r="U770" i="3"/>
  <c r="V770" i="3"/>
  <c r="Q770" i="3"/>
  <c r="T770" i="3"/>
  <c r="R771" i="3"/>
  <c r="S771" i="3" s="1"/>
  <c r="Z771" i="3"/>
  <c r="Q772" i="3"/>
  <c r="P772" i="3"/>
  <c r="Q773" i="3"/>
  <c r="P773" i="3"/>
  <c r="T774" i="3"/>
  <c r="Q774" i="3"/>
  <c r="P774" i="3"/>
  <c r="U774" i="3"/>
  <c r="X774" i="3"/>
  <c r="W774" i="3"/>
  <c r="Q775" i="3"/>
  <c r="P775" i="3"/>
  <c r="V775" i="3"/>
  <c r="U775" i="3"/>
  <c r="T775" i="3"/>
  <c r="X775" i="3"/>
  <c r="W775" i="3"/>
  <c r="Y775" i="3"/>
  <c r="T776" i="3"/>
  <c r="P776" i="3"/>
  <c r="Q776" i="3"/>
  <c r="P777" i="3"/>
  <c r="Q777" i="3"/>
  <c r="U778" i="3"/>
  <c r="T778" i="3"/>
  <c r="Q778" i="3"/>
  <c r="P778" i="3"/>
  <c r="V778" i="3"/>
  <c r="Q779" i="3"/>
  <c r="T779" i="3"/>
  <c r="P779" i="3"/>
  <c r="P780" i="3"/>
  <c r="U780" i="3"/>
  <c r="Q780" i="3"/>
  <c r="T780" i="3"/>
  <c r="Q781" i="3"/>
  <c r="T781" i="3"/>
  <c r="P781" i="3"/>
  <c r="Q782" i="3"/>
  <c r="P782" i="3"/>
  <c r="U782" i="3"/>
  <c r="V782" i="3"/>
  <c r="T782" i="3"/>
  <c r="P783" i="3"/>
  <c r="Q783" i="3"/>
  <c r="U783" i="3"/>
  <c r="T783" i="3"/>
  <c r="X783" i="3"/>
  <c r="Y783" i="3"/>
  <c r="W783" i="3"/>
  <c r="V940" i="3"/>
  <c r="U940" i="3"/>
  <c r="T940" i="3"/>
  <c r="Q940" i="3"/>
  <c r="Y940" i="3"/>
  <c r="W940" i="3"/>
  <c r="X940" i="3"/>
  <c r="R940" i="3"/>
  <c r="Z940" i="3"/>
  <c r="U1096" i="3"/>
  <c r="V1096" i="3"/>
  <c r="T1096" i="3"/>
  <c r="W1096" i="3"/>
  <c r="X1096" i="3"/>
  <c r="Y1096" i="3"/>
  <c r="Z1201" i="3"/>
  <c r="R1201" i="3"/>
  <c r="S1201" i="3" s="1"/>
  <c r="V1202" i="3"/>
  <c r="U1202" i="3"/>
  <c r="P1202" i="3"/>
  <c r="T1202" i="3"/>
  <c r="Q1202" i="3"/>
  <c r="Z1203" i="3"/>
  <c r="R1203" i="3"/>
  <c r="S1203" i="3" s="1"/>
  <c r="R1204" i="3"/>
  <c r="S1204" i="3" s="1"/>
  <c r="Z1204" i="3"/>
  <c r="Z1206" i="3"/>
  <c r="R1206" i="3"/>
  <c r="S1206" i="3" s="1"/>
  <c r="R1208" i="3"/>
  <c r="S1208" i="3" s="1"/>
  <c r="Z1208" i="3"/>
  <c r="P1209" i="3"/>
  <c r="Q1209" i="3"/>
  <c r="P1210" i="3"/>
  <c r="Q1210" i="3"/>
  <c r="P1211" i="3"/>
  <c r="Q1211" i="3"/>
  <c r="Z1212" i="3"/>
  <c r="R1212" i="3"/>
  <c r="S1212" i="3" s="1"/>
  <c r="Q1213" i="3"/>
  <c r="P1213" i="3"/>
  <c r="P1214" i="3"/>
  <c r="Q1214" i="3"/>
  <c r="P1215" i="3"/>
  <c r="Q1215" i="3"/>
  <c r="P1216" i="3"/>
  <c r="Q1216" i="3"/>
  <c r="P1217" i="3"/>
  <c r="Q1217" i="3"/>
  <c r="P1218" i="3"/>
  <c r="T1218" i="3"/>
  <c r="Q1218" i="3"/>
  <c r="Z1219" i="3"/>
  <c r="R1219" i="3"/>
  <c r="S1219" i="3" s="1"/>
  <c r="Z1220" i="3"/>
  <c r="R1220" i="3"/>
  <c r="S1220" i="3" s="1"/>
  <c r="Q1221" i="3"/>
  <c r="P1221" i="3"/>
  <c r="Z1222" i="3"/>
  <c r="R1222" i="3"/>
  <c r="S1222" i="3" s="1"/>
  <c r="Q1223" i="3"/>
  <c r="P1223" i="3"/>
  <c r="Z1224" i="3"/>
  <c r="R1224" i="3"/>
  <c r="S1224" i="3" s="1"/>
  <c r="Q1225" i="3"/>
  <c r="P1225" i="3"/>
  <c r="Q1226" i="3"/>
  <c r="P1226" i="3"/>
  <c r="Z1227" i="3"/>
  <c r="R1227" i="3"/>
  <c r="S1227" i="3" s="1"/>
  <c r="Z1228" i="3"/>
  <c r="R1228" i="3"/>
  <c r="S1228" i="3" s="1"/>
  <c r="Z1229" i="3"/>
  <c r="R1229" i="3"/>
  <c r="S1229" i="3" s="1"/>
  <c r="Q1230" i="3"/>
  <c r="P1230" i="3"/>
  <c r="P1231" i="3"/>
  <c r="Q1231" i="3"/>
  <c r="Z1232" i="3"/>
  <c r="R1232" i="3"/>
  <c r="S1232" i="3" s="1"/>
  <c r="P1233" i="3"/>
  <c r="Q1233" i="3"/>
  <c r="Z1235" i="3"/>
  <c r="R1235" i="3"/>
  <c r="S1235" i="3" s="1"/>
  <c r="R1236" i="3"/>
  <c r="S1236" i="3" s="1"/>
  <c r="Z1236" i="3"/>
  <c r="Z1237" i="3"/>
  <c r="R1237" i="3"/>
  <c r="S1237" i="3" s="1"/>
  <c r="R1238" i="3"/>
  <c r="S1238" i="3" s="1"/>
  <c r="Z1238" i="3"/>
  <c r="P1239" i="3"/>
  <c r="Q1239" i="3"/>
  <c r="P1240" i="3"/>
  <c r="Q1240" i="3"/>
  <c r="P1241" i="3"/>
  <c r="Q1241" i="3"/>
  <c r="P1242" i="3"/>
  <c r="V1242" i="3"/>
  <c r="Q1242" i="3"/>
  <c r="U1242" i="3"/>
  <c r="T1242" i="3"/>
  <c r="X1242" i="3"/>
  <c r="W1242" i="3"/>
  <c r="Y1242" i="3"/>
  <c r="Q1243" i="3"/>
  <c r="U1243" i="3"/>
  <c r="P1243" i="3"/>
  <c r="T1243" i="3"/>
  <c r="V1243" i="3"/>
  <c r="X1243" i="3"/>
  <c r="W1243" i="3"/>
  <c r="Y1243" i="3"/>
  <c r="U1244" i="3"/>
  <c r="Q1244" i="3"/>
  <c r="V1244" i="3"/>
  <c r="T1244" i="3"/>
  <c r="P1244" i="3"/>
  <c r="X1244" i="3"/>
  <c r="W1244" i="3"/>
  <c r="T1245" i="3"/>
  <c r="P1245" i="3"/>
  <c r="V1245" i="3"/>
  <c r="U1245" i="3"/>
  <c r="Q1245" i="3"/>
  <c r="P1246" i="3"/>
  <c r="Q1246" i="3"/>
  <c r="T1246" i="3"/>
  <c r="V1246" i="3"/>
  <c r="U1246" i="3"/>
  <c r="W1246" i="3"/>
  <c r="Y1246" i="3"/>
  <c r="X1246" i="3"/>
  <c r="V1247" i="3"/>
  <c r="U1247" i="3"/>
  <c r="Q1247" i="3"/>
  <c r="P1247" i="3"/>
  <c r="T1247" i="3"/>
  <c r="W1247" i="3"/>
  <c r="X1247" i="3"/>
  <c r="Y1247" i="3"/>
  <c r="T1248" i="3"/>
  <c r="P1248" i="3"/>
  <c r="Q1248" i="3"/>
  <c r="P1249" i="3"/>
  <c r="Q1249" i="3"/>
  <c r="V1249" i="3"/>
  <c r="U1249" i="3"/>
  <c r="T1249" i="3"/>
  <c r="Q1250" i="3"/>
  <c r="T1250" i="3"/>
  <c r="P1250" i="3"/>
  <c r="U1250" i="3"/>
  <c r="V1250" i="3"/>
  <c r="Y1250" i="3"/>
  <c r="X1250" i="3"/>
  <c r="W1250" i="3"/>
  <c r="T1251" i="3"/>
  <c r="V1251" i="3"/>
  <c r="Q1251" i="3"/>
  <c r="P1251" i="3"/>
  <c r="Y1251" i="3"/>
  <c r="X1251" i="3"/>
  <c r="W1251" i="3"/>
  <c r="T1252" i="3"/>
  <c r="Q1252" i="3"/>
  <c r="V1252" i="3"/>
  <c r="U1252" i="3"/>
  <c r="P1252" i="3"/>
  <c r="W1252" i="3"/>
  <c r="Y1252" i="3"/>
  <c r="X1252" i="3"/>
  <c r="P1369" i="3"/>
  <c r="Q1369" i="3"/>
  <c r="T1369" i="3"/>
  <c r="U1370" i="3"/>
  <c r="T1370" i="3"/>
  <c r="P1370" i="3"/>
  <c r="V1370" i="3"/>
  <c r="Q1370" i="3"/>
  <c r="P1371" i="3"/>
  <c r="V1371" i="3"/>
  <c r="U1371" i="3"/>
  <c r="Q1371" i="3"/>
  <c r="T1371" i="3"/>
  <c r="V1372" i="3"/>
  <c r="Q1372" i="3"/>
  <c r="T1372" i="3"/>
  <c r="U1372" i="3"/>
  <c r="P1372" i="3"/>
  <c r="W1372" i="3"/>
  <c r="Y1372" i="3"/>
  <c r="X1372" i="3"/>
  <c r="T1373" i="3"/>
  <c r="P1373" i="3"/>
  <c r="Q1373" i="3"/>
  <c r="Q1374" i="3"/>
  <c r="P1374" i="3"/>
  <c r="Q1375" i="3"/>
  <c r="P1375" i="3"/>
  <c r="U1375" i="3"/>
  <c r="T1375" i="3"/>
  <c r="X1375" i="3"/>
  <c r="Y1375" i="3"/>
  <c r="U1376" i="3"/>
  <c r="Q1376" i="3"/>
  <c r="V1376" i="3"/>
  <c r="T1376" i="3"/>
  <c r="P1376" i="3"/>
  <c r="P1378" i="3"/>
  <c r="U1378" i="3"/>
  <c r="Q1378" i="3"/>
  <c r="T1378" i="3"/>
  <c r="V1378" i="3"/>
  <c r="Q1379" i="3"/>
  <c r="V1379" i="3"/>
  <c r="U1379" i="3"/>
  <c r="P1379" i="3"/>
  <c r="T1379" i="3"/>
  <c r="V1381" i="3"/>
  <c r="Q1381" i="3"/>
  <c r="T1381" i="3"/>
  <c r="U1381" i="3"/>
  <c r="P1381" i="3"/>
  <c r="W1381" i="3"/>
  <c r="Y1381" i="3"/>
  <c r="V1382" i="3"/>
  <c r="T1382" i="3"/>
  <c r="P1382" i="3"/>
  <c r="Q1382" i="3"/>
  <c r="U1382" i="3"/>
  <c r="P1383" i="3"/>
  <c r="T1383" i="3"/>
  <c r="Q1383" i="3"/>
  <c r="U1383" i="3"/>
  <c r="T1384" i="3"/>
  <c r="P1384" i="3"/>
  <c r="U1384" i="3"/>
  <c r="Q1384" i="3"/>
  <c r="P1385" i="3"/>
  <c r="U1385" i="3"/>
  <c r="V1385" i="3"/>
  <c r="Q1385" i="3"/>
  <c r="T1385" i="3"/>
  <c r="Q1387" i="3"/>
  <c r="T1387" i="3"/>
  <c r="V1387" i="3"/>
  <c r="U1387" i="3"/>
  <c r="P1387" i="3"/>
  <c r="P1388" i="3"/>
  <c r="Q1388" i="3"/>
  <c r="T1388" i="3"/>
  <c r="V1388" i="3"/>
  <c r="U1388" i="3"/>
  <c r="X1388" i="3"/>
  <c r="W1388" i="3"/>
  <c r="X1389" i="3"/>
  <c r="W1389" i="3"/>
  <c r="P1390" i="3"/>
  <c r="V1390" i="3"/>
  <c r="Q1390" i="3"/>
  <c r="T1390" i="3"/>
  <c r="U1390" i="3"/>
  <c r="W1390" i="3"/>
  <c r="Y1390" i="3"/>
  <c r="X1390" i="3"/>
  <c r="P1391" i="3"/>
  <c r="Q1391" i="3"/>
  <c r="T1391" i="3"/>
  <c r="V1392" i="3"/>
  <c r="T1392" i="3"/>
  <c r="P1392" i="3"/>
  <c r="U1392" i="3"/>
  <c r="Q1392" i="3"/>
  <c r="P1393" i="3"/>
  <c r="T1393" i="3"/>
  <c r="U1394" i="3"/>
  <c r="T1394" i="3"/>
  <c r="Q1394" i="3"/>
  <c r="P1394" i="3"/>
  <c r="V1394" i="3"/>
  <c r="Q1395" i="3"/>
  <c r="V1395" i="3"/>
  <c r="U1395" i="3"/>
  <c r="P1395" i="3"/>
  <c r="T1395" i="3"/>
  <c r="Q1396" i="3"/>
  <c r="V1396" i="3"/>
  <c r="P1396" i="3"/>
  <c r="T1396" i="3"/>
  <c r="U1396" i="3"/>
  <c r="X1397" i="3"/>
  <c r="W1397" i="3"/>
  <c r="Q1398" i="3"/>
  <c r="T1398" i="3"/>
  <c r="P1398" i="3"/>
  <c r="U1398" i="3"/>
  <c r="V1398" i="3"/>
  <c r="P1399" i="3"/>
  <c r="V1399" i="3"/>
  <c r="T1399" i="3"/>
  <c r="U1399" i="3"/>
  <c r="Q1399" i="3"/>
  <c r="Q1400" i="3"/>
  <c r="P1400" i="3"/>
  <c r="T1400" i="3"/>
  <c r="V1401" i="3"/>
  <c r="P1401" i="3"/>
  <c r="T1401" i="3"/>
  <c r="U1401" i="3"/>
  <c r="Q1401" i="3"/>
  <c r="X1401" i="3"/>
  <c r="Y1401" i="3"/>
  <c r="W1401" i="3"/>
  <c r="P1402" i="3"/>
  <c r="T1402" i="3"/>
  <c r="U1402" i="3"/>
  <c r="V1402" i="3"/>
  <c r="Q1402" i="3"/>
  <c r="W1402" i="3"/>
  <c r="X1402" i="3"/>
  <c r="Y1402" i="3"/>
  <c r="T1403" i="3"/>
  <c r="Q1403" i="3"/>
  <c r="P1403" i="3"/>
  <c r="V1404" i="3"/>
  <c r="P1404" i="3"/>
  <c r="T1404" i="3"/>
  <c r="U1404" i="3"/>
  <c r="Q1404" i="3"/>
  <c r="P1405" i="3"/>
  <c r="U1405" i="3"/>
  <c r="Q1405" i="3"/>
  <c r="T1405" i="3"/>
  <c r="P1406" i="3"/>
  <c r="Q1406" i="3"/>
  <c r="T1407" i="3"/>
  <c r="Q1407" i="3"/>
  <c r="P1407" i="3"/>
  <c r="Y1407" i="3"/>
  <c r="W1407" i="3"/>
  <c r="X1407" i="3"/>
  <c r="P1408" i="3"/>
  <c r="Q1408" i="3"/>
  <c r="T1408" i="3"/>
  <c r="Q1544" i="3"/>
  <c r="P1544" i="3"/>
  <c r="Q1545" i="3"/>
  <c r="P1545" i="3"/>
  <c r="T1545" i="3"/>
  <c r="P1546" i="3"/>
  <c r="U1546" i="3"/>
  <c r="Q1546" i="3"/>
  <c r="T1546" i="3"/>
  <c r="T1547" i="3"/>
  <c r="Q1547" i="3"/>
  <c r="P1547" i="3"/>
  <c r="P1548" i="3"/>
  <c r="U1548" i="3"/>
  <c r="T1548" i="3"/>
  <c r="Q1548" i="3"/>
  <c r="T1550" i="3"/>
  <c r="U1550" i="3"/>
  <c r="V1550" i="3"/>
  <c r="P1550" i="3"/>
  <c r="Q1550" i="3"/>
  <c r="V1551" i="3"/>
  <c r="T1551" i="3"/>
  <c r="Q1551" i="3"/>
  <c r="U1551" i="3"/>
  <c r="P1551" i="3"/>
  <c r="Q1552" i="3"/>
  <c r="U1552" i="3"/>
  <c r="T1552" i="3"/>
  <c r="P1552" i="3"/>
  <c r="V1552" i="3"/>
  <c r="U1553" i="3"/>
  <c r="P1553" i="3"/>
  <c r="T1553" i="3"/>
  <c r="Q1553" i="3"/>
  <c r="V1553" i="3"/>
  <c r="P1554" i="3"/>
  <c r="U1554" i="3"/>
  <c r="Q1554" i="3"/>
  <c r="V1554" i="3"/>
  <c r="T1554" i="3"/>
  <c r="W1554" i="3"/>
  <c r="Y1554" i="3"/>
  <c r="Q1555" i="3"/>
  <c r="T1555" i="3"/>
  <c r="P1555" i="3"/>
  <c r="T1556" i="3"/>
  <c r="U1556" i="3"/>
  <c r="Q1556" i="3"/>
  <c r="V1556" i="3"/>
  <c r="P1556" i="3"/>
  <c r="X1556" i="3"/>
  <c r="W1556" i="3"/>
  <c r="Q1557" i="3"/>
  <c r="P1557" i="3"/>
  <c r="T1558" i="3"/>
  <c r="P1558" i="3"/>
  <c r="Q1558" i="3"/>
  <c r="U1559" i="3"/>
  <c r="P1559" i="3"/>
  <c r="T1559" i="3"/>
  <c r="V1559" i="3"/>
  <c r="Q1559" i="3"/>
  <c r="W1559" i="3"/>
  <c r="Y1559" i="3"/>
  <c r="X1559" i="3"/>
  <c r="U1560" i="3"/>
  <c r="Q1560" i="3"/>
  <c r="P1560" i="3"/>
  <c r="T1561" i="3"/>
  <c r="V1561" i="3"/>
  <c r="U1561" i="3"/>
  <c r="Q1561" i="3"/>
  <c r="P1561" i="3"/>
  <c r="T1562" i="3"/>
  <c r="Q1562" i="3"/>
  <c r="U1562" i="3"/>
  <c r="P1562" i="3"/>
  <c r="Y1562" i="3"/>
  <c r="W1562" i="3"/>
  <c r="Q1563" i="3"/>
  <c r="T1563" i="3"/>
  <c r="P1563" i="3"/>
  <c r="P1564" i="3"/>
  <c r="U1564" i="3"/>
  <c r="Q1564" i="3"/>
  <c r="T1564" i="3"/>
  <c r="Q1697" i="3"/>
  <c r="V1697" i="3"/>
  <c r="P1697" i="3"/>
  <c r="T1697" i="3"/>
  <c r="P1698" i="3"/>
  <c r="Q1698" i="3"/>
  <c r="Q1699" i="3"/>
  <c r="U1699" i="3"/>
  <c r="P1699" i="3"/>
  <c r="T1699" i="3"/>
  <c r="U1700" i="3"/>
  <c r="P1700" i="3"/>
  <c r="V1700" i="3"/>
  <c r="T1700" i="3"/>
  <c r="Q1700" i="3"/>
  <c r="Q1701" i="3"/>
  <c r="T1701" i="3"/>
  <c r="P1701" i="3"/>
  <c r="V1701" i="3"/>
  <c r="U1701" i="3"/>
  <c r="P1702" i="3"/>
  <c r="Q1702" i="3"/>
  <c r="T1702" i="3"/>
  <c r="T1703" i="3"/>
  <c r="Q1703" i="3"/>
  <c r="P1703" i="3"/>
  <c r="Q1704" i="3"/>
  <c r="T1704" i="3"/>
  <c r="P1704" i="3"/>
  <c r="U1704" i="3"/>
  <c r="V1704" i="3"/>
  <c r="P1705" i="3"/>
  <c r="Q1705" i="3"/>
  <c r="T1706" i="3"/>
  <c r="Q1706" i="3"/>
  <c r="U1706" i="3"/>
  <c r="P1706" i="3"/>
  <c r="W1706" i="3"/>
  <c r="Y1706" i="3"/>
  <c r="X1706" i="3"/>
  <c r="P1707" i="3"/>
  <c r="Q1707" i="3"/>
  <c r="T1707" i="3"/>
  <c r="V1709" i="3"/>
  <c r="U1709" i="3"/>
  <c r="Q1709" i="3"/>
  <c r="P1709" i="3"/>
  <c r="T1709" i="3"/>
  <c r="X1709" i="3"/>
  <c r="W1709" i="3"/>
  <c r="Q1710" i="3"/>
  <c r="T1710" i="3"/>
  <c r="U1710" i="3"/>
  <c r="P1710" i="3"/>
  <c r="Q1712" i="3"/>
  <c r="V1712" i="3"/>
  <c r="T1712" i="3"/>
  <c r="U1712" i="3"/>
  <c r="P1712" i="3"/>
  <c r="P1713" i="3"/>
  <c r="Q1713" i="3"/>
  <c r="T1714" i="3"/>
  <c r="Q1714" i="3"/>
  <c r="P1714" i="3"/>
  <c r="W1714" i="3"/>
  <c r="Y1714" i="3"/>
  <c r="T1715" i="3"/>
  <c r="U1715" i="3"/>
  <c r="V1715" i="3"/>
  <c r="Q1715" i="3"/>
  <c r="P1715" i="3"/>
  <c r="W1715" i="3"/>
  <c r="X1715" i="3"/>
  <c r="T1716" i="3"/>
  <c r="P1716" i="3"/>
  <c r="Q1716" i="3"/>
  <c r="U1716" i="3"/>
  <c r="U1718" i="3"/>
  <c r="T1718" i="3"/>
  <c r="V1718" i="3"/>
  <c r="P1718" i="3"/>
  <c r="Q1718" i="3"/>
  <c r="T1719" i="3"/>
  <c r="Q1719" i="3"/>
  <c r="P1719" i="3"/>
  <c r="Q1720" i="3"/>
  <c r="T1720" i="3"/>
  <c r="P1720" i="3"/>
  <c r="U1720" i="3"/>
  <c r="V1720" i="3"/>
  <c r="U1721" i="3"/>
  <c r="V1721" i="3"/>
  <c r="T1721" i="3"/>
  <c r="Q1721" i="3"/>
  <c r="P1721" i="3"/>
  <c r="X1721" i="3"/>
  <c r="W1721" i="3"/>
  <c r="Y1721" i="3"/>
  <c r="V1869" i="3"/>
  <c r="U1869" i="3"/>
  <c r="P1869" i="3"/>
  <c r="Q1869" i="3"/>
  <c r="T1869" i="3"/>
  <c r="W1869" i="3"/>
  <c r="X1869" i="3"/>
  <c r="Y1869" i="3"/>
  <c r="Q1871" i="3"/>
  <c r="T1871" i="3"/>
  <c r="U1871" i="3"/>
  <c r="V1871" i="3"/>
  <c r="P1871" i="3"/>
  <c r="T1872" i="3"/>
  <c r="Q1872" i="3"/>
  <c r="P1872" i="3"/>
  <c r="V1872" i="3"/>
  <c r="P1873" i="3"/>
  <c r="Q1873" i="3"/>
  <c r="T1874" i="3"/>
  <c r="Q1874" i="3"/>
  <c r="P1874" i="3"/>
  <c r="T1875" i="3"/>
  <c r="P1875" i="3"/>
  <c r="Q1875" i="3"/>
  <c r="U1875" i="3"/>
  <c r="X1875" i="3"/>
  <c r="W1875" i="3"/>
  <c r="V1876" i="3"/>
  <c r="Q1876" i="3"/>
  <c r="T1876" i="3"/>
  <c r="P1876" i="3"/>
  <c r="U1876" i="3"/>
  <c r="Q1877" i="3"/>
  <c r="T1877" i="3"/>
  <c r="U1877" i="3"/>
  <c r="V1877" i="3"/>
  <c r="P1877" i="3"/>
  <c r="W1877" i="3"/>
  <c r="X1877" i="3"/>
  <c r="Y1877" i="3"/>
  <c r="U2021" i="3"/>
  <c r="P2021" i="3"/>
  <c r="V2021" i="3"/>
  <c r="Q2021" i="3"/>
  <c r="T2021" i="3"/>
  <c r="P2022" i="3"/>
  <c r="T2022" i="3"/>
  <c r="Q2022" i="3"/>
  <c r="V2022" i="3"/>
  <c r="U2022" i="3"/>
  <c r="Q2023" i="3"/>
  <c r="P2023" i="3"/>
  <c r="T2023" i="3"/>
  <c r="P2024" i="3"/>
  <c r="T2024" i="3"/>
  <c r="Q2024" i="3"/>
  <c r="Q2025" i="3"/>
  <c r="P2025" i="3"/>
  <c r="U2026" i="3"/>
  <c r="V2026" i="3"/>
  <c r="T2026" i="3"/>
  <c r="Q2026" i="3"/>
  <c r="P2026" i="3"/>
  <c r="Q2027" i="3"/>
  <c r="T2027" i="3"/>
  <c r="P2027" i="3"/>
  <c r="P2028" i="3"/>
  <c r="Q2028" i="3"/>
  <c r="U2029" i="3"/>
  <c r="Q2029" i="3"/>
  <c r="P2029" i="3"/>
  <c r="T2029" i="3"/>
  <c r="P2030" i="3"/>
  <c r="Q2030" i="3"/>
  <c r="Q2031" i="3"/>
  <c r="T2031" i="3"/>
  <c r="U2031" i="3"/>
  <c r="P2031" i="3"/>
  <c r="W2031" i="3"/>
  <c r="X2031" i="3"/>
  <c r="Q2032" i="3"/>
  <c r="P2032" i="3"/>
  <c r="T2032" i="3"/>
  <c r="Q2033" i="3"/>
  <c r="T2033" i="3"/>
  <c r="P2033" i="3"/>
  <c r="Q2034" i="3"/>
  <c r="P2034" i="3"/>
  <c r="U2035" i="3"/>
  <c r="Q2035" i="3"/>
  <c r="P2035" i="3"/>
  <c r="T2035" i="3"/>
  <c r="T2036" i="3"/>
  <c r="Q2036" i="3"/>
  <c r="P2036" i="3"/>
  <c r="Q2037" i="3"/>
  <c r="P2037" i="3"/>
  <c r="Q2038" i="3"/>
  <c r="P2038" i="3"/>
  <c r="U2038" i="3"/>
  <c r="T2038" i="3"/>
  <c r="V2038" i="3"/>
  <c r="T2039" i="3"/>
  <c r="Q2039" i="3"/>
  <c r="P2039" i="3"/>
  <c r="P2040" i="3"/>
  <c r="Q2040" i="3"/>
  <c r="T2040" i="3"/>
  <c r="P2041" i="3"/>
  <c r="Q2041" i="3"/>
  <c r="U2041" i="3"/>
  <c r="T2041" i="3"/>
  <c r="T2043" i="3"/>
  <c r="U2043" i="3"/>
  <c r="P2043" i="3"/>
  <c r="V2043" i="3"/>
  <c r="Q2043" i="3"/>
  <c r="T2044" i="3"/>
  <c r="Q2044" i="3"/>
  <c r="V2044" i="3"/>
  <c r="U2044" i="3"/>
  <c r="P2044" i="3"/>
  <c r="X2044" i="3"/>
  <c r="W2044" i="3"/>
  <c r="P2045" i="3"/>
  <c r="Q2045" i="3"/>
  <c r="Q2047" i="3"/>
  <c r="T2047" i="3"/>
  <c r="U2047" i="3"/>
  <c r="P2047" i="3"/>
  <c r="X2047" i="3"/>
  <c r="W2047" i="3"/>
  <c r="P2048" i="3"/>
  <c r="Q2048" i="3"/>
  <c r="Q2049" i="3"/>
  <c r="T2049" i="3"/>
  <c r="P2049" i="3"/>
  <c r="P2050" i="3"/>
  <c r="U2050" i="3"/>
  <c r="Q2050" i="3"/>
  <c r="T2050" i="3"/>
  <c r="V2051" i="3"/>
  <c r="U2051" i="3"/>
  <c r="Q2051" i="3"/>
  <c r="P2051" i="3"/>
  <c r="T2051" i="3"/>
  <c r="Q2052" i="3"/>
  <c r="P2052" i="3"/>
  <c r="U2052" i="3"/>
  <c r="T2052" i="3"/>
  <c r="V2052" i="3"/>
  <c r="X2052" i="3"/>
  <c r="W2052" i="3"/>
  <c r="T2053" i="3"/>
  <c r="Q2053" i="3"/>
  <c r="P2053" i="3"/>
  <c r="U2054" i="3"/>
  <c r="Q2054" i="3"/>
  <c r="T2054" i="3"/>
  <c r="P2054" i="3"/>
  <c r="P2055" i="3"/>
  <c r="Q2055" i="3"/>
  <c r="X2055" i="3"/>
  <c r="Y2055" i="3"/>
  <c r="W2055" i="3"/>
  <c r="P2056" i="3"/>
  <c r="Q2056" i="3"/>
  <c r="U2056" i="3"/>
  <c r="T2056" i="3"/>
  <c r="Q2057" i="3"/>
  <c r="P2057" i="3"/>
  <c r="P2058" i="3"/>
  <c r="Q2058" i="3"/>
  <c r="P2059" i="3"/>
  <c r="Q2059" i="3"/>
  <c r="T2059" i="3"/>
  <c r="T2060" i="3"/>
  <c r="Q2060" i="3"/>
  <c r="P2060" i="3"/>
  <c r="P2062" i="3"/>
  <c r="Q2062" i="3"/>
  <c r="Q2063" i="3"/>
  <c r="U2063" i="3"/>
  <c r="T2063" i="3"/>
  <c r="P2063" i="3"/>
  <c r="P2064" i="3"/>
  <c r="Q2064" i="3"/>
  <c r="T2064" i="3"/>
  <c r="Q2065" i="3"/>
  <c r="P2065" i="3"/>
  <c r="T2066" i="3"/>
  <c r="U2066" i="3"/>
  <c r="P2066" i="3"/>
  <c r="Q2066" i="3"/>
  <c r="Q2067" i="3"/>
  <c r="S2067" i="3" s="1"/>
  <c r="U2067" i="3"/>
  <c r="T2067" i="3"/>
  <c r="V2067" i="3"/>
  <c r="P2068" i="3"/>
  <c r="Q2068" i="3"/>
  <c r="Q2069" i="3"/>
  <c r="P2069" i="3"/>
  <c r="T2069" i="3"/>
  <c r="T2070" i="3"/>
  <c r="P2070" i="3"/>
  <c r="Q2070" i="3"/>
  <c r="U2070" i="3"/>
  <c r="V2070" i="3"/>
  <c r="Q2071" i="3"/>
  <c r="U2071" i="3"/>
  <c r="V2071" i="3"/>
  <c r="T2071" i="3"/>
  <c r="P2071" i="3"/>
  <c r="Q2072" i="3"/>
  <c r="P2072" i="3"/>
  <c r="U2072" i="3"/>
  <c r="Q2073" i="3"/>
  <c r="P2073" i="3"/>
  <c r="U2074" i="3"/>
  <c r="P2074" i="3"/>
  <c r="Q2074" i="3"/>
  <c r="T2074" i="3"/>
  <c r="P2075" i="3"/>
  <c r="T2075" i="3"/>
  <c r="Q2075" i="3"/>
  <c r="W2075" i="3"/>
  <c r="X2075" i="3"/>
  <c r="Y2075" i="3"/>
  <c r="Q2076" i="3"/>
  <c r="P2076" i="3"/>
  <c r="Q2077" i="3"/>
  <c r="P2077" i="3"/>
  <c r="Q2078" i="3"/>
  <c r="P2078" i="3"/>
  <c r="V2079" i="3"/>
  <c r="T2079" i="3"/>
  <c r="U2079" i="3"/>
  <c r="P2079" i="3"/>
  <c r="Q2079" i="3"/>
  <c r="P2081" i="3"/>
  <c r="Q2081" i="3"/>
  <c r="P2082" i="3"/>
  <c r="Q2082" i="3"/>
  <c r="U2082" i="3"/>
  <c r="V2082" i="3"/>
  <c r="T2082" i="3"/>
  <c r="U2083" i="3"/>
  <c r="V2083" i="3"/>
  <c r="Q2083" i="3"/>
  <c r="T2083" i="3"/>
  <c r="P2083" i="3"/>
  <c r="W2083" i="3"/>
  <c r="X2083" i="3"/>
  <c r="Q2084" i="3"/>
  <c r="U2084" i="3"/>
  <c r="P2084" i="3"/>
  <c r="T2084" i="3"/>
  <c r="Q2085" i="3"/>
  <c r="P2085" i="3"/>
  <c r="P2086" i="3"/>
  <c r="Q2086" i="3"/>
  <c r="T2086" i="3"/>
  <c r="U2086" i="3"/>
  <c r="P2087" i="3"/>
  <c r="T2087" i="3"/>
  <c r="Q2087" i="3"/>
  <c r="V2088" i="3"/>
  <c r="Q2088" i="3"/>
  <c r="P2088" i="3"/>
  <c r="U2088" i="3"/>
  <c r="T2088" i="3"/>
  <c r="Q2089" i="3"/>
  <c r="P2089" i="3"/>
  <c r="Q2090" i="3"/>
  <c r="P2090" i="3"/>
  <c r="T2092" i="3"/>
  <c r="P2092" i="3"/>
  <c r="Q2092" i="3"/>
  <c r="W2093" i="3"/>
  <c r="Q2093" i="3"/>
  <c r="S2093" i="3" s="1"/>
  <c r="Q2095" i="3"/>
  <c r="P2095" i="3"/>
  <c r="T2095" i="3"/>
  <c r="X2095" i="3"/>
  <c r="W2095" i="3"/>
  <c r="Q2096" i="3"/>
  <c r="P2096" i="3"/>
  <c r="V2096" i="3"/>
  <c r="T2096" i="3"/>
  <c r="U2096" i="3"/>
  <c r="P2097" i="3"/>
  <c r="Q2097" i="3"/>
  <c r="Z2098" i="3"/>
  <c r="R2098" i="3"/>
  <c r="S2098" i="3" s="1"/>
  <c r="Q2099" i="3"/>
  <c r="T2099" i="3"/>
  <c r="P2099" i="3"/>
  <c r="P2100" i="3"/>
  <c r="T2100" i="3"/>
  <c r="Q2100" i="3"/>
  <c r="V2101" i="3"/>
  <c r="U2101" i="3"/>
  <c r="P2101" i="3"/>
  <c r="Q2101" i="3"/>
  <c r="T2101" i="3"/>
  <c r="P2102" i="3"/>
  <c r="V2102" i="3"/>
  <c r="Q2102" i="3"/>
  <c r="U2102" i="3"/>
  <c r="T2102" i="3"/>
  <c r="U2103" i="3"/>
  <c r="P2103" i="3"/>
  <c r="Q2103" i="3"/>
  <c r="T2103" i="3"/>
  <c r="P2104" i="3"/>
  <c r="Q2104" i="3"/>
  <c r="T2104" i="3"/>
  <c r="P2106" i="3"/>
  <c r="Q2106" i="3"/>
  <c r="Q2107" i="3"/>
  <c r="U2107" i="3"/>
  <c r="P2107" i="3"/>
  <c r="W2107" i="3"/>
  <c r="X2107" i="3"/>
  <c r="P2108" i="3"/>
  <c r="Q2108" i="3"/>
  <c r="Q2109" i="3"/>
  <c r="P2109" i="3"/>
  <c r="T2110" i="3"/>
  <c r="U2110" i="3"/>
  <c r="V2110" i="3"/>
  <c r="Q2110" i="3"/>
  <c r="P2110" i="3"/>
  <c r="Y2110" i="3"/>
  <c r="X2110" i="3"/>
  <c r="W2110" i="3"/>
  <c r="P2111" i="3"/>
  <c r="T2111" i="3"/>
  <c r="Q2111" i="3"/>
  <c r="Q2112" i="3"/>
  <c r="T2112" i="3"/>
  <c r="P2112" i="3"/>
  <c r="P2113" i="3"/>
  <c r="Q2113" i="3"/>
  <c r="P2114" i="3"/>
  <c r="Q2114" i="3"/>
  <c r="U2115" i="3"/>
  <c r="Q2115" i="3"/>
  <c r="T2115" i="3"/>
  <c r="P2115" i="3"/>
  <c r="U2116" i="3"/>
  <c r="T2116" i="3"/>
  <c r="Q2116" i="3"/>
  <c r="V2116" i="3"/>
  <c r="P2116" i="3"/>
  <c r="Q2117" i="3"/>
  <c r="P2117" i="3"/>
  <c r="U2118" i="3"/>
  <c r="P2118" i="3"/>
  <c r="Q2118" i="3"/>
  <c r="Q2119" i="3"/>
  <c r="P2119" i="3"/>
  <c r="T2119" i="3"/>
  <c r="Q2120" i="3"/>
  <c r="T2120" i="3"/>
  <c r="P2120" i="3"/>
  <c r="U2121" i="3"/>
  <c r="T2121" i="3"/>
  <c r="P2121" i="3"/>
  <c r="Q2121" i="3"/>
  <c r="P2122" i="3"/>
  <c r="T2122" i="3"/>
  <c r="Q2122" i="3"/>
  <c r="U2122" i="3"/>
  <c r="T2123" i="3"/>
  <c r="U2123" i="3"/>
  <c r="Q2123" i="3"/>
  <c r="P2123" i="3"/>
  <c r="W2123" i="3"/>
  <c r="X2123" i="3"/>
  <c r="Q2124" i="3"/>
  <c r="U2124" i="3"/>
  <c r="V2124" i="3"/>
  <c r="P2124" i="3"/>
  <c r="T2124" i="3"/>
  <c r="V2126" i="3"/>
  <c r="U2126" i="3"/>
  <c r="T2126" i="3"/>
  <c r="Q2126" i="3"/>
  <c r="P2126" i="3"/>
  <c r="Y2126" i="3"/>
  <c r="W2126" i="3"/>
  <c r="X2126" i="3"/>
  <c r="V2127" i="3"/>
  <c r="U2127" i="3"/>
  <c r="Q2127" i="3"/>
  <c r="T2127" i="3"/>
  <c r="P2127" i="3"/>
  <c r="P2129" i="3"/>
  <c r="Q2129" i="3"/>
  <c r="U2129" i="3"/>
  <c r="T2129" i="3"/>
  <c r="Q2130" i="3"/>
  <c r="P2130" i="3"/>
  <c r="P2131" i="3"/>
  <c r="Q2131" i="3"/>
  <c r="Q2132" i="3"/>
  <c r="P2132" i="3"/>
  <c r="Q2133" i="3"/>
  <c r="U2133" i="3"/>
  <c r="T2133" i="3"/>
  <c r="P2133" i="3"/>
  <c r="Q2134" i="3"/>
  <c r="P2134" i="3"/>
  <c r="U2135" i="3"/>
  <c r="T2135" i="3"/>
  <c r="P2135" i="3"/>
  <c r="Q2135" i="3"/>
  <c r="Q2136" i="3"/>
  <c r="P2136" i="3"/>
  <c r="T2137" i="3"/>
  <c r="Q2137" i="3"/>
  <c r="S2137" i="3" s="1"/>
  <c r="Q2138" i="3"/>
  <c r="P2138" i="3"/>
  <c r="U2139" i="3"/>
  <c r="V2139" i="3"/>
  <c r="P2139" i="3"/>
  <c r="T2139" i="3"/>
  <c r="Q2139" i="3"/>
  <c r="P2140" i="3"/>
  <c r="Q2140" i="3"/>
  <c r="T2141" i="3"/>
  <c r="P2141" i="3"/>
  <c r="Q2141" i="3"/>
  <c r="P2142" i="3"/>
  <c r="T2142" i="3"/>
  <c r="V2142" i="3"/>
  <c r="U2142" i="3"/>
  <c r="Q2142" i="3"/>
  <c r="Q2143" i="3"/>
  <c r="T2143" i="3"/>
  <c r="P2143" i="3"/>
  <c r="U2143" i="3"/>
  <c r="Q2144" i="3"/>
  <c r="U2144" i="3"/>
  <c r="T2144" i="3"/>
  <c r="P2144" i="3"/>
  <c r="V2144" i="3"/>
  <c r="Q2146" i="3"/>
  <c r="P2146" i="3"/>
  <c r="T2147" i="3"/>
  <c r="V2147" i="3"/>
  <c r="P2147" i="3"/>
  <c r="Q2147" i="3"/>
  <c r="U2147" i="3"/>
  <c r="Q2148" i="3"/>
  <c r="P2148" i="3"/>
  <c r="W2149" i="3"/>
  <c r="Q2149" i="3"/>
  <c r="S2149" i="3" s="1"/>
  <c r="P2150" i="3"/>
  <c r="Q2150" i="3"/>
  <c r="T2150" i="3"/>
  <c r="U2150" i="3"/>
  <c r="U2151" i="3"/>
  <c r="P2151" i="3"/>
  <c r="Q2151" i="3"/>
  <c r="T2151" i="3"/>
  <c r="T2152" i="3"/>
  <c r="U2152" i="3"/>
  <c r="Q2152" i="3"/>
  <c r="V2152" i="3"/>
  <c r="P2152" i="3"/>
  <c r="P2154" i="3"/>
  <c r="Q2154" i="3"/>
  <c r="U2155" i="3"/>
  <c r="T2155" i="3"/>
  <c r="Q2155" i="3"/>
  <c r="P2155" i="3"/>
  <c r="P2156" i="3"/>
  <c r="Q2156" i="3"/>
  <c r="Q2157" i="3"/>
  <c r="T2157" i="3"/>
  <c r="P2157" i="3"/>
  <c r="X2157" i="3"/>
  <c r="W2157" i="3"/>
  <c r="U2158" i="3"/>
  <c r="Q2158" i="3"/>
  <c r="P2158" i="3"/>
  <c r="T2158" i="3"/>
  <c r="V2158" i="3"/>
  <c r="Q2159" i="3"/>
  <c r="T2159" i="3"/>
  <c r="P2159" i="3"/>
  <c r="U2159" i="3"/>
  <c r="U2160" i="3"/>
  <c r="P2160" i="3"/>
  <c r="Q2160" i="3"/>
  <c r="T2160" i="3"/>
  <c r="U2161" i="3"/>
  <c r="Q2161" i="3"/>
  <c r="V2161" i="3"/>
  <c r="T2161" i="3"/>
  <c r="P2161" i="3"/>
  <c r="X2161" i="3"/>
  <c r="Y2161" i="3"/>
  <c r="P2162" i="3"/>
  <c r="U2162" i="3"/>
  <c r="Q2162" i="3"/>
  <c r="T2162" i="3"/>
  <c r="Q2163" i="3"/>
  <c r="P2163" i="3"/>
  <c r="T2163" i="3"/>
  <c r="U2164" i="3"/>
  <c r="V2164" i="3"/>
  <c r="P2164" i="3"/>
  <c r="Q2164" i="3"/>
  <c r="T2164" i="3"/>
  <c r="V2165" i="3"/>
  <c r="P2165" i="3"/>
  <c r="T2165" i="3"/>
  <c r="Q2165" i="3"/>
  <c r="U2165" i="3"/>
  <c r="V2166" i="3"/>
  <c r="T2166" i="3"/>
  <c r="Q2166" i="3"/>
  <c r="P2166" i="3"/>
  <c r="U2166" i="3"/>
  <c r="Q2167" i="3"/>
  <c r="T2167" i="3"/>
  <c r="P2167" i="3"/>
  <c r="U2167" i="3"/>
  <c r="V2167" i="3"/>
  <c r="W2167" i="3"/>
  <c r="X2167" i="3"/>
  <c r="Q2168" i="3"/>
  <c r="P2168" i="3"/>
  <c r="P2170" i="3"/>
  <c r="Q2170" i="3"/>
  <c r="P2171" i="3"/>
  <c r="Q2171" i="3"/>
  <c r="Q2172" i="3"/>
  <c r="U2172" i="3"/>
  <c r="P2172" i="3"/>
  <c r="T2172" i="3"/>
  <c r="P2173" i="3"/>
  <c r="Q2173" i="3"/>
  <c r="P2174" i="3"/>
  <c r="Q2174" i="3"/>
  <c r="P2175" i="3"/>
  <c r="Q2175" i="3"/>
  <c r="U2175" i="3"/>
  <c r="T2175" i="3"/>
  <c r="P2176" i="3"/>
  <c r="Q2176" i="3"/>
  <c r="P2177" i="3"/>
  <c r="Q2177" i="3"/>
  <c r="T2178" i="3"/>
  <c r="P2178" i="3"/>
  <c r="U2178" i="3"/>
  <c r="Q2178" i="3"/>
  <c r="Z2179" i="3"/>
  <c r="R2179" i="3"/>
  <c r="S2179" i="3" s="1"/>
  <c r="P2180" i="3"/>
  <c r="T2180" i="3"/>
  <c r="U2180" i="3"/>
  <c r="Q2180" i="3"/>
  <c r="P2181" i="3"/>
  <c r="T2181" i="3"/>
  <c r="Q2181" i="3"/>
  <c r="Z2182" i="3"/>
  <c r="R2182" i="3"/>
  <c r="S2182" i="3" s="1"/>
  <c r="U2183" i="3"/>
  <c r="P2183" i="3"/>
  <c r="Q2183" i="3"/>
  <c r="T2183" i="3"/>
  <c r="P2184" i="3"/>
  <c r="Q2184" i="3"/>
  <c r="U2184" i="3"/>
  <c r="T2184" i="3"/>
  <c r="Q2185" i="3"/>
  <c r="S2185" i="3" s="1"/>
  <c r="T2185" i="3"/>
  <c r="Q2186" i="3"/>
  <c r="U2186" i="3"/>
  <c r="P2186" i="3"/>
  <c r="T2186" i="3"/>
  <c r="T2187" i="3"/>
  <c r="Q2187" i="3"/>
  <c r="P2187" i="3"/>
  <c r="Q2188" i="3"/>
  <c r="P2188" i="3"/>
  <c r="Y2189" i="3"/>
  <c r="Q2189" i="3"/>
  <c r="Z2189" i="3"/>
  <c r="R2189" i="3"/>
  <c r="S449" i="3"/>
  <c r="S1377" i="3"/>
  <c r="S1380" i="3"/>
  <c r="S1549" i="3"/>
  <c r="S1711" i="3"/>
  <c r="S1717" i="3"/>
  <c r="S2020" i="3"/>
  <c r="S2042" i="3"/>
  <c r="S2046" i="3"/>
  <c r="S2061" i="3"/>
  <c r="S2080" i="3"/>
  <c r="S2105" i="3"/>
  <c r="S2125" i="3"/>
  <c r="S2169" i="3"/>
  <c r="S248" i="3"/>
  <c r="S270" i="3"/>
  <c r="S287" i="3"/>
  <c r="S299" i="3"/>
  <c r="V2" i="3"/>
  <c r="U2" i="3"/>
  <c r="Q2" i="3"/>
  <c r="T2" i="3"/>
  <c r="P2" i="3"/>
  <c r="W2" i="3"/>
  <c r="Y2" i="3"/>
  <c r="X2" i="3"/>
  <c r="AF64" i="1" l="1"/>
  <c r="AE64" i="1"/>
  <c r="AD64" i="1"/>
  <c r="AF63" i="1"/>
  <c r="AE63" i="1"/>
  <c r="AD63" i="1"/>
  <c r="AF61" i="1"/>
  <c r="AE61" i="1"/>
  <c r="AD61" i="1"/>
  <c r="AF60" i="1"/>
  <c r="AE60" i="1"/>
  <c r="AD60" i="1"/>
  <c r="AF58" i="1"/>
  <c r="AE58" i="1"/>
  <c r="AD58" i="1"/>
  <c r="AF57" i="1"/>
  <c r="AE57" i="1"/>
  <c r="AD57" i="1"/>
  <c r="AF55" i="1"/>
  <c r="AE55" i="1"/>
  <c r="AD55" i="1"/>
  <c r="AF54" i="1"/>
  <c r="AE54" i="1"/>
  <c r="AD54" i="1"/>
  <c r="AF52" i="1"/>
  <c r="AE52" i="1"/>
  <c r="AD52" i="1"/>
  <c r="AF51" i="1"/>
  <c r="AE51" i="1"/>
  <c r="AD51" i="1"/>
  <c r="AF49" i="1"/>
  <c r="AE49" i="1"/>
  <c r="AD49" i="1"/>
  <c r="AF48" i="1"/>
  <c r="AE48" i="1"/>
  <c r="AD48" i="1"/>
  <c r="AF46" i="1"/>
  <c r="AE46" i="1"/>
  <c r="AD46" i="1"/>
  <c r="AF45" i="1"/>
  <c r="AE45" i="1"/>
  <c r="AD45" i="1"/>
  <c r="AF43" i="1"/>
  <c r="AE43" i="1"/>
  <c r="AD43" i="1"/>
  <c r="AF42" i="1"/>
  <c r="AE42" i="1"/>
  <c r="AD42" i="1"/>
  <c r="AF40" i="1"/>
  <c r="AE40" i="1"/>
  <c r="AD40" i="1"/>
  <c r="AF39" i="1"/>
  <c r="AE39" i="1"/>
  <c r="AD39" i="1"/>
  <c r="AF37" i="1"/>
  <c r="AE37" i="1"/>
  <c r="AD37" i="1"/>
  <c r="AF36" i="1"/>
  <c r="AE36" i="1"/>
  <c r="AD36" i="1"/>
  <c r="AF34" i="1"/>
  <c r="AE34" i="1"/>
  <c r="AD34" i="1"/>
  <c r="AF33" i="1"/>
  <c r="AE33" i="1"/>
  <c r="AD33" i="1"/>
  <c r="AF31" i="1"/>
  <c r="AE31" i="1"/>
  <c r="AD31" i="1"/>
  <c r="AF30" i="1"/>
  <c r="AE30" i="1"/>
  <c r="AD30" i="1"/>
  <c r="AF28" i="1"/>
  <c r="AE28" i="1"/>
  <c r="AD28" i="1"/>
  <c r="AF27" i="1"/>
  <c r="AE27" i="1"/>
  <c r="AD27" i="1"/>
  <c r="AF25" i="1"/>
  <c r="AE25" i="1"/>
  <c r="AD25" i="1"/>
  <c r="AF24" i="1"/>
  <c r="AE24" i="1"/>
  <c r="AD24" i="1"/>
  <c r="AF22" i="1"/>
  <c r="AE22" i="1"/>
  <c r="AD22" i="1"/>
  <c r="AF21" i="1"/>
  <c r="AE21" i="1"/>
  <c r="AD21" i="1"/>
  <c r="AF19" i="1"/>
  <c r="AE19" i="1"/>
  <c r="AD19" i="1"/>
  <c r="AF18" i="1"/>
  <c r="AE18" i="1"/>
  <c r="AD18" i="1"/>
  <c r="AF16" i="1"/>
  <c r="AE16" i="1"/>
  <c r="AD16" i="1"/>
  <c r="AF15" i="1"/>
  <c r="AE15" i="1"/>
  <c r="AD15" i="1"/>
  <c r="AF13" i="1"/>
  <c r="AE13" i="1"/>
  <c r="AD13" i="1"/>
  <c r="AF12" i="1"/>
  <c r="AE12" i="1"/>
  <c r="AD12" i="1"/>
  <c r="AF10" i="1"/>
  <c r="AE10" i="1"/>
  <c r="AD10" i="1"/>
  <c r="AF9" i="1"/>
  <c r="AE9" i="1"/>
  <c r="AD9" i="1"/>
  <c r="AF7" i="1"/>
  <c r="AD7" i="1"/>
  <c r="AE7" i="1"/>
  <c r="AD6" i="1"/>
  <c r="AE6" i="1"/>
  <c r="Z159" i="3"/>
  <c r="R159" i="3"/>
  <c r="S159" i="3" s="1"/>
  <c r="R243" i="3"/>
  <c r="S243" i="3" s="1"/>
  <c r="Z243" i="3"/>
  <c r="R245" i="3"/>
  <c r="S245" i="3" s="1"/>
  <c r="Z245" i="3"/>
  <c r="Z246" i="3"/>
  <c r="R246" i="3"/>
  <c r="S246" i="3" s="1"/>
  <c r="Z247" i="3"/>
  <c r="R247" i="3"/>
  <c r="S247" i="3" s="1"/>
  <c r="Z249" i="3"/>
  <c r="R249" i="3"/>
  <c r="S249" i="3" s="1"/>
  <c r="R252" i="3"/>
  <c r="S252" i="3" s="1"/>
  <c r="Z252" i="3"/>
  <c r="R255" i="3"/>
  <c r="S255" i="3" s="1"/>
  <c r="Z255" i="3"/>
  <c r="R260" i="3"/>
  <c r="S260" i="3" s="1"/>
  <c r="Z260" i="3"/>
  <c r="Z262" i="3"/>
  <c r="R262" i="3"/>
  <c r="S262" i="3" s="1"/>
  <c r="Z263" i="3"/>
  <c r="R263" i="3"/>
  <c r="S263" i="3" s="1"/>
  <c r="Z264" i="3"/>
  <c r="R264" i="3"/>
  <c r="S264" i="3" s="1"/>
  <c r="Z265" i="3"/>
  <c r="R265" i="3"/>
  <c r="S265" i="3" s="1"/>
  <c r="Z267" i="3"/>
  <c r="R267" i="3"/>
  <c r="S267" i="3" s="1"/>
  <c r="Z268" i="3"/>
  <c r="R268" i="3"/>
  <c r="S268" i="3" s="1"/>
  <c r="R271" i="3"/>
  <c r="S271" i="3" s="1"/>
  <c r="Z271" i="3"/>
  <c r="Z273" i="3"/>
  <c r="R273" i="3"/>
  <c r="S273" i="3" s="1"/>
  <c r="R275" i="3"/>
  <c r="S275" i="3" s="1"/>
  <c r="Z275" i="3"/>
  <c r="R277" i="3"/>
  <c r="S277" i="3" s="1"/>
  <c r="Z277" i="3"/>
  <c r="R278" i="3"/>
  <c r="S278" i="3" s="1"/>
  <c r="Z278" i="3"/>
  <c r="Z281" i="3"/>
  <c r="R281" i="3"/>
  <c r="S281" i="3" s="1"/>
  <c r="R282" i="3"/>
  <c r="S282" i="3" s="1"/>
  <c r="Z282" i="3"/>
  <c r="Z286" i="3"/>
  <c r="R286" i="3"/>
  <c r="S286" i="3" s="1"/>
  <c r="Z288" i="3"/>
  <c r="R288" i="3"/>
  <c r="S288" i="3" s="1"/>
  <c r="R290" i="3"/>
  <c r="S290" i="3" s="1"/>
  <c r="Z290" i="3"/>
  <c r="Z291" i="3"/>
  <c r="R291" i="3"/>
  <c r="S291" i="3" s="1"/>
  <c r="R295" i="3"/>
  <c r="S295" i="3" s="1"/>
  <c r="Z295" i="3"/>
  <c r="Z296" i="3"/>
  <c r="R296" i="3"/>
  <c r="S296" i="3" s="1"/>
  <c r="R298" i="3"/>
  <c r="S298" i="3" s="1"/>
  <c r="Z298" i="3"/>
  <c r="R300" i="3"/>
  <c r="S300" i="3" s="1"/>
  <c r="Z300" i="3"/>
  <c r="R306" i="3"/>
  <c r="S306" i="3" s="1"/>
  <c r="Z306" i="3"/>
  <c r="R308" i="3"/>
  <c r="S308" i="3" s="1"/>
  <c r="Z308" i="3"/>
  <c r="R309" i="3"/>
  <c r="S309" i="3" s="1"/>
  <c r="Z309" i="3"/>
  <c r="Z311" i="3"/>
  <c r="R311" i="3"/>
  <c r="S311" i="3" s="1"/>
  <c r="R312" i="3"/>
  <c r="S312" i="3" s="1"/>
  <c r="Z312" i="3"/>
  <c r="R313" i="3"/>
  <c r="S313" i="3" s="1"/>
  <c r="Z313" i="3"/>
  <c r="Z418" i="3"/>
  <c r="R418" i="3"/>
  <c r="S418" i="3" s="1"/>
  <c r="R419" i="3"/>
  <c r="S419" i="3" s="1"/>
  <c r="Z419" i="3"/>
  <c r="Z420" i="3"/>
  <c r="R420" i="3"/>
  <c r="S420" i="3" s="1"/>
  <c r="R421" i="3"/>
  <c r="S421" i="3" s="1"/>
  <c r="Z421" i="3"/>
  <c r="Z422" i="3"/>
  <c r="R422" i="3"/>
  <c r="S422" i="3" s="1"/>
  <c r="Z423" i="3"/>
  <c r="R423" i="3"/>
  <c r="S423" i="3" s="1"/>
  <c r="R424" i="3"/>
  <c r="S424" i="3" s="1"/>
  <c r="Z424" i="3"/>
  <c r="Z425" i="3"/>
  <c r="R425" i="3"/>
  <c r="S425" i="3" s="1"/>
  <c r="Z426" i="3"/>
  <c r="R426" i="3"/>
  <c r="S426" i="3" s="1"/>
  <c r="Z427" i="3"/>
  <c r="R427" i="3"/>
  <c r="S427" i="3" s="1"/>
  <c r="R428" i="3"/>
  <c r="S428" i="3" s="1"/>
  <c r="Z428" i="3"/>
  <c r="R429" i="3"/>
  <c r="S429" i="3" s="1"/>
  <c r="Z429" i="3"/>
  <c r="Z430" i="3"/>
  <c r="R430" i="3"/>
  <c r="S430" i="3" s="1"/>
  <c r="Z431" i="3"/>
  <c r="R431" i="3"/>
  <c r="S431" i="3" s="1"/>
  <c r="R432" i="3"/>
  <c r="S432" i="3" s="1"/>
  <c r="Z432" i="3"/>
  <c r="Z433" i="3"/>
  <c r="R433" i="3"/>
  <c r="S433" i="3" s="1"/>
  <c r="Z434" i="3"/>
  <c r="R434" i="3"/>
  <c r="S434" i="3" s="1"/>
  <c r="Z435" i="3"/>
  <c r="R435" i="3"/>
  <c r="S435" i="3" s="1"/>
  <c r="R436" i="3"/>
  <c r="S436" i="3" s="1"/>
  <c r="Z436" i="3"/>
  <c r="Z437" i="3"/>
  <c r="R437" i="3"/>
  <c r="S437" i="3" s="1"/>
  <c r="R438" i="3"/>
  <c r="S438" i="3" s="1"/>
  <c r="Z438" i="3"/>
  <c r="Z439" i="3"/>
  <c r="R439" i="3"/>
  <c r="S439" i="3" s="1"/>
  <c r="Z440" i="3"/>
  <c r="R440" i="3"/>
  <c r="S440" i="3" s="1"/>
  <c r="Z441" i="3"/>
  <c r="R441" i="3"/>
  <c r="S441" i="3" s="1"/>
  <c r="R442" i="3"/>
  <c r="S442" i="3" s="1"/>
  <c r="Z442" i="3"/>
  <c r="Z443" i="3"/>
  <c r="R443" i="3"/>
  <c r="S443" i="3" s="1"/>
  <c r="Z444" i="3"/>
  <c r="R444" i="3"/>
  <c r="S444" i="3" s="1"/>
  <c r="R445" i="3"/>
  <c r="S445" i="3" s="1"/>
  <c r="Z445" i="3"/>
  <c r="R446" i="3"/>
  <c r="S446" i="3" s="1"/>
  <c r="Z446" i="3"/>
  <c r="Z447" i="3"/>
  <c r="R447" i="3"/>
  <c r="S447" i="3" s="1"/>
  <c r="R448" i="3"/>
  <c r="S448" i="3" s="1"/>
  <c r="Z448" i="3"/>
  <c r="Z450" i="3"/>
  <c r="R450" i="3"/>
  <c r="S450" i="3" s="1"/>
  <c r="R451" i="3"/>
  <c r="S451" i="3" s="1"/>
  <c r="Z451" i="3"/>
  <c r="Z452" i="3"/>
  <c r="R452" i="3"/>
  <c r="S452" i="3" s="1"/>
  <c r="Z453" i="3"/>
  <c r="R453" i="3"/>
  <c r="S453" i="3" s="1"/>
  <c r="R454" i="3"/>
  <c r="S454" i="3" s="1"/>
  <c r="Z454" i="3"/>
  <c r="Z455" i="3"/>
  <c r="R455" i="3"/>
  <c r="S455" i="3" s="1"/>
  <c r="R456" i="3"/>
  <c r="S456" i="3" s="1"/>
  <c r="Z456" i="3"/>
  <c r="Z457" i="3"/>
  <c r="R457" i="3"/>
  <c r="S457" i="3" s="1"/>
  <c r="Z458" i="3"/>
  <c r="R458" i="3"/>
  <c r="S458" i="3" s="1"/>
  <c r="Z460" i="3"/>
  <c r="R460" i="3"/>
  <c r="S460" i="3" s="1"/>
  <c r="R461" i="3"/>
  <c r="S461" i="3" s="1"/>
  <c r="Z461" i="3"/>
  <c r="R464" i="3"/>
  <c r="S464" i="3" s="1"/>
  <c r="Z464" i="3"/>
  <c r="R465" i="3"/>
  <c r="S465" i="3" s="1"/>
  <c r="Z465" i="3"/>
  <c r="Z466" i="3"/>
  <c r="R466" i="3"/>
  <c r="S466" i="3" s="1"/>
  <c r="R467" i="3"/>
  <c r="S467" i="3" s="1"/>
  <c r="Z467" i="3"/>
  <c r="Z468" i="3"/>
  <c r="R468" i="3"/>
  <c r="S468" i="3" s="1"/>
  <c r="Z469" i="3"/>
  <c r="R469" i="3"/>
  <c r="S469" i="3" s="1"/>
  <c r="Z470" i="3"/>
  <c r="R470" i="3"/>
  <c r="S470" i="3" s="1"/>
  <c r="Z471" i="3"/>
  <c r="R471" i="3"/>
  <c r="S471" i="3" s="1"/>
  <c r="R597" i="3"/>
  <c r="S597" i="3" s="1"/>
  <c r="Z597" i="3"/>
  <c r="Z598" i="3"/>
  <c r="R598" i="3"/>
  <c r="S598" i="3" s="1"/>
  <c r="Z599" i="3"/>
  <c r="R599" i="3"/>
  <c r="S599" i="3" s="1"/>
  <c r="R600" i="3"/>
  <c r="S600" i="3" s="1"/>
  <c r="Z600" i="3"/>
  <c r="Z601" i="3"/>
  <c r="R601" i="3"/>
  <c r="S601" i="3" s="1"/>
  <c r="Z602" i="3"/>
  <c r="R602" i="3"/>
  <c r="S602" i="3" s="1"/>
  <c r="R603" i="3"/>
  <c r="S603" i="3" s="1"/>
  <c r="Z603" i="3"/>
  <c r="Z604" i="3"/>
  <c r="R604" i="3"/>
  <c r="S604" i="3" s="1"/>
  <c r="R606" i="3"/>
  <c r="S606" i="3" s="1"/>
  <c r="Z606" i="3"/>
  <c r="Z607" i="3"/>
  <c r="R607" i="3"/>
  <c r="S607" i="3" s="1"/>
  <c r="R608" i="3"/>
  <c r="S608" i="3" s="1"/>
  <c r="Z608" i="3"/>
  <c r="R609" i="3"/>
  <c r="S609" i="3" s="1"/>
  <c r="Z609" i="3"/>
  <c r="R610" i="3"/>
  <c r="S610" i="3" s="1"/>
  <c r="Z610" i="3"/>
  <c r="R612" i="3"/>
  <c r="S612" i="3" s="1"/>
  <c r="Z612" i="3"/>
  <c r="Z613" i="3"/>
  <c r="R613" i="3"/>
  <c r="S613" i="3" s="1"/>
  <c r="Z614" i="3"/>
  <c r="R614" i="3"/>
  <c r="S614" i="3" s="1"/>
  <c r="R615" i="3"/>
  <c r="S615" i="3" s="1"/>
  <c r="Z615" i="3"/>
  <c r="R616" i="3"/>
  <c r="S616" i="3" s="1"/>
  <c r="Z616" i="3"/>
  <c r="Z617" i="3"/>
  <c r="R617" i="3"/>
  <c r="S617" i="3" s="1"/>
  <c r="R618" i="3"/>
  <c r="S618" i="3" s="1"/>
  <c r="Z618" i="3"/>
  <c r="R619" i="3"/>
  <c r="S619" i="3" s="1"/>
  <c r="Z619" i="3"/>
  <c r="R621" i="3"/>
  <c r="S621" i="3" s="1"/>
  <c r="Z621" i="3"/>
  <c r="Z622" i="3"/>
  <c r="R622" i="3"/>
  <c r="S622" i="3" s="1"/>
  <c r="R623" i="3"/>
  <c r="S623" i="3" s="1"/>
  <c r="Z623" i="3"/>
  <c r="Z624" i="3"/>
  <c r="R624" i="3"/>
  <c r="S624" i="3" s="1"/>
  <c r="Z625" i="3"/>
  <c r="R625" i="3"/>
  <c r="S625" i="3" s="1"/>
  <c r="Z626" i="3"/>
  <c r="R626" i="3"/>
  <c r="S626" i="3" s="1"/>
  <c r="Z627" i="3"/>
  <c r="R627" i="3"/>
  <c r="S627" i="3" s="1"/>
  <c r="Z762" i="3"/>
  <c r="R762" i="3"/>
  <c r="S762" i="3" s="1"/>
  <c r="Z763" i="3"/>
  <c r="R763" i="3"/>
  <c r="S763" i="3" s="1"/>
  <c r="R764" i="3"/>
  <c r="S764" i="3" s="1"/>
  <c r="Z764" i="3"/>
  <c r="Z765" i="3"/>
  <c r="R765" i="3"/>
  <c r="S765" i="3" s="1"/>
  <c r="R766" i="3"/>
  <c r="S766" i="3" s="1"/>
  <c r="Z766" i="3"/>
  <c r="Z767" i="3"/>
  <c r="R767" i="3"/>
  <c r="S767" i="3" s="1"/>
  <c r="R768" i="3"/>
  <c r="S768" i="3" s="1"/>
  <c r="Z768" i="3"/>
  <c r="R769" i="3"/>
  <c r="S769" i="3" s="1"/>
  <c r="Z769" i="3"/>
  <c r="Z770" i="3"/>
  <c r="R770" i="3"/>
  <c r="S770" i="3" s="1"/>
  <c r="Z772" i="3"/>
  <c r="R772" i="3"/>
  <c r="S772" i="3" s="1"/>
  <c r="Z773" i="3"/>
  <c r="R773" i="3"/>
  <c r="S773" i="3" s="1"/>
  <c r="R774" i="3"/>
  <c r="S774" i="3" s="1"/>
  <c r="Z774" i="3"/>
  <c r="R775" i="3"/>
  <c r="S775" i="3" s="1"/>
  <c r="Z775" i="3"/>
  <c r="R776" i="3"/>
  <c r="S776" i="3" s="1"/>
  <c r="Z776" i="3"/>
  <c r="Z777" i="3"/>
  <c r="R777" i="3"/>
  <c r="S777" i="3" s="1"/>
  <c r="Z778" i="3"/>
  <c r="R778" i="3"/>
  <c r="S778" i="3" s="1"/>
  <c r="R779" i="3"/>
  <c r="S779" i="3" s="1"/>
  <c r="Z779" i="3"/>
  <c r="Z780" i="3"/>
  <c r="R780" i="3"/>
  <c r="S780" i="3" s="1"/>
  <c r="R781" i="3"/>
  <c r="S781" i="3" s="1"/>
  <c r="Z781" i="3"/>
  <c r="Z782" i="3"/>
  <c r="R782" i="3"/>
  <c r="S782" i="3" s="1"/>
  <c r="Z783" i="3"/>
  <c r="R783" i="3"/>
  <c r="S783" i="3" s="1"/>
  <c r="Z1202" i="3"/>
  <c r="R1202" i="3"/>
  <c r="S1202" i="3" s="1"/>
  <c r="Z1209" i="3"/>
  <c r="R1209" i="3"/>
  <c r="S1209" i="3" s="1"/>
  <c r="Z1210" i="3"/>
  <c r="R1210" i="3"/>
  <c r="S1210" i="3" s="1"/>
  <c r="Z1211" i="3"/>
  <c r="R1211" i="3"/>
  <c r="S1211" i="3" s="1"/>
  <c r="Z1213" i="3"/>
  <c r="R1213" i="3"/>
  <c r="S1213" i="3" s="1"/>
  <c r="Z1214" i="3"/>
  <c r="R1214" i="3"/>
  <c r="S1214" i="3" s="1"/>
  <c r="Z1215" i="3"/>
  <c r="R1215" i="3"/>
  <c r="S1215" i="3" s="1"/>
  <c r="Z1216" i="3"/>
  <c r="R1216" i="3"/>
  <c r="S1216" i="3" s="1"/>
  <c r="Z1217" i="3"/>
  <c r="R1217" i="3"/>
  <c r="S1217" i="3" s="1"/>
  <c r="Z1218" i="3"/>
  <c r="R1218" i="3"/>
  <c r="S1218" i="3" s="1"/>
  <c r="Z1221" i="3"/>
  <c r="R1221" i="3"/>
  <c r="S1221" i="3" s="1"/>
  <c r="Z1223" i="3"/>
  <c r="R1223" i="3"/>
  <c r="S1223" i="3" s="1"/>
  <c r="Z1225" i="3"/>
  <c r="R1225" i="3"/>
  <c r="S1225" i="3" s="1"/>
  <c r="Z1226" i="3"/>
  <c r="R1226" i="3"/>
  <c r="S1226" i="3" s="1"/>
  <c r="Z1230" i="3"/>
  <c r="R1230" i="3"/>
  <c r="S1230" i="3" s="1"/>
  <c r="Z1231" i="3"/>
  <c r="R1231" i="3"/>
  <c r="S1231" i="3" s="1"/>
  <c r="Z1233" i="3"/>
  <c r="R1233" i="3"/>
  <c r="S1233" i="3" s="1"/>
  <c r="Z1239" i="3"/>
  <c r="R1239" i="3"/>
  <c r="S1239" i="3" s="1"/>
  <c r="Z1240" i="3"/>
  <c r="R1240" i="3"/>
  <c r="S1240" i="3" s="1"/>
  <c r="Z1241" i="3"/>
  <c r="R1241" i="3"/>
  <c r="S1241" i="3" s="1"/>
  <c r="Z1242" i="3"/>
  <c r="R1242" i="3"/>
  <c r="S1242" i="3" s="1"/>
  <c r="R1243" i="3"/>
  <c r="S1243" i="3" s="1"/>
  <c r="Z1243" i="3"/>
  <c r="R1244" i="3"/>
  <c r="S1244" i="3" s="1"/>
  <c r="Z1244" i="3"/>
  <c r="Z1245" i="3"/>
  <c r="R1245" i="3"/>
  <c r="S1245" i="3" s="1"/>
  <c r="Z1246" i="3"/>
  <c r="R1246" i="3"/>
  <c r="S1246" i="3" s="1"/>
  <c r="Z1247" i="3"/>
  <c r="R1247" i="3"/>
  <c r="S1247" i="3" s="1"/>
  <c r="R1248" i="3"/>
  <c r="S1248" i="3" s="1"/>
  <c r="Z1248" i="3"/>
  <c r="Z1249" i="3"/>
  <c r="R1249" i="3"/>
  <c r="S1249" i="3" s="1"/>
  <c r="R1250" i="3"/>
  <c r="S1250" i="3" s="1"/>
  <c r="Z1250" i="3"/>
  <c r="R1251" i="3"/>
  <c r="S1251" i="3" s="1"/>
  <c r="Z1251" i="3"/>
  <c r="R1252" i="3"/>
  <c r="S1252" i="3" s="1"/>
  <c r="Z1252" i="3"/>
  <c r="R1369" i="3"/>
  <c r="S1369" i="3" s="1"/>
  <c r="Z1369" i="3"/>
  <c r="R1370" i="3"/>
  <c r="S1370" i="3" s="1"/>
  <c r="Z1370" i="3"/>
  <c r="R1371" i="3"/>
  <c r="S1371" i="3" s="1"/>
  <c r="Z1371" i="3"/>
  <c r="R1372" i="3"/>
  <c r="S1372" i="3" s="1"/>
  <c r="Z1372" i="3"/>
  <c r="Z1373" i="3"/>
  <c r="R1373" i="3"/>
  <c r="S1373" i="3" s="1"/>
  <c r="R1374" i="3"/>
  <c r="S1374" i="3" s="1"/>
  <c r="Z1374" i="3"/>
  <c r="R1375" i="3"/>
  <c r="S1375" i="3" s="1"/>
  <c r="Z1375" i="3"/>
  <c r="R1376" i="3"/>
  <c r="S1376" i="3" s="1"/>
  <c r="Z1376" i="3"/>
  <c r="Z1378" i="3"/>
  <c r="R1378" i="3"/>
  <c r="S1378" i="3" s="1"/>
  <c r="Z1379" i="3"/>
  <c r="R1379" i="3"/>
  <c r="S1379" i="3" s="1"/>
  <c r="Z1381" i="3"/>
  <c r="R1381" i="3"/>
  <c r="S1381" i="3" s="1"/>
  <c r="Z1382" i="3"/>
  <c r="R1382" i="3"/>
  <c r="S1382" i="3" s="1"/>
  <c r="Z1383" i="3"/>
  <c r="R1383" i="3"/>
  <c r="S1383" i="3" s="1"/>
  <c r="R1384" i="3"/>
  <c r="S1384" i="3" s="1"/>
  <c r="Z1384" i="3"/>
  <c r="Z1385" i="3"/>
  <c r="R1385" i="3"/>
  <c r="S1385" i="3" s="1"/>
  <c r="Z1387" i="3"/>
  <c r="R1387" i="3"/>
  <c r="S1387" i="3" s="1"/>
  <c r="Z1388" i="3"/>
  <c r="R1388" i="3"/>
  <c r="S1388" i="3" s="1"/>
  <c r="Z1390" i="3"/>
  <c r="R1390" i="3"/>
  <c r="S1390" i="3" s="1"/>
  <c r="R1391" i="3"/>
  <c r="S1391" i="3" s="1"/>
  <c r="Z1391" i="3"/>
  <c r="R1392" i="3"/>
  <c r="S1392" i="3" s="1"/>
  <c r="Z1392" i="3"/>
  <c r="Z1393" i="3"/>
  <c r="R1393" i="3"/>
  <c r="S1393" i="3" s="1"/>
  <c r="Z1394" i="3"/>
  <c r="R1394" i="3"/>
  <c r="S1394" i="3" s="1"/>
  <c r="Z1395" i="3"/>
  <c r="R1395" i="3"/>
  <c r="S1395" i="3" s="1"/>
  <c r="R1396" i="3"/>
  <c r="S1396" i="3" s="1"/>
  <c r="Z1396" i="3"/>
  <c r="R1398" i="3"/>
  <c r="S1398" i="3" s="1"/>
  <c r="Z1398" i="3"/>
  <c r="Z1399" i="3"/>
  <c r="R1399" i="3"/>
  <c r="S1399" i="3" s="1"/>
  <c r="R1400" i="3"/>
  <c r="S1400" i="3" s="1"/>
  <c r="Z1400" i="3"/>
  <c r="Z1401" i="3"/>
  <c r="R1401" i="3"/>
  <c r="S1401" i="3" s="1"/>
  <c r="R1402" i="3"/>
  <c r="S1402" i="3" s="1"/>
  <c r="Z1402" i="3"/>
  <c r="Z1403" i="3"/>
  <c r="R1403" i="3"/>
  <c r="S1403" i="3" s="1"/>
  <c r="Z1404" i="3"/>
  <c r="R1404" i="3"/>
  <c r="S1404" i="3" s="1"/>
  <c r="Z1405" i="3"/>
  <c r="R1405" i="3"/>
  <c r="S1405" i="3" s="1"/>
  <c r="R1406" i="3"/>
  <c r="S1406" i="3" s="1"/>
  <c r="Z1406" i="3"/>
  <c r="Z1407" i="3"/>
  <c r="R1407" i="3"/>
  <c r="S1407" i="3" s="1"/>
  <c r="Z1408" i="3"/>
  <c r="R1408" i="3"/>
  <c r="S1408" i="3" s="1"/>
  <c r="R1544" i="3"/>
  <c r="S1544" i="3" s="1"/>
  <c r="Z1544" i="3"/>
  <c r="Z1545" i="3"/>
  <c r="R1545" i="3"/>
  <c r="S1545" i="3" s="1"/>
  <c r="R1546" i="3"/>
  <c r="S1546" i="3" s="1"/>
  <c r="Z1546" i="3"/>
  <c r="Z1547" i="3"/>
  <c r="R1547" i="3"/>
  <c r="S1547" i="3" s="1"/>
  <c r="R1548" i="3"/>
  <c r="S1548" i="3" s="1"/>
  <c r="Z1548" i="3"/>
  <c r="Z1550" i="3"/>
  <c r="R1550" i="3"/>
  <c r="S1550" i="3" s="1"/>
  <c r="Z1551" i="3"/>
  <c r="R1551" i="3"/>
  <c r="S1551" i="3" s="1"/>
  <c r="Z1552" i="3"/>
  <c r="R1552" i="3"/>
  <c r="S1552" i="3" s="1"/>
  <c r="R1553" i="3"/>
  <c r="S1553" i="3" s="1"/>
  <c r="Z1553" i="3"/>
  <c r="R1554" i="3"/>
  <c r="S1554" i="3" s="1"/>
  <c r="Z1554" i="3"/>
  <c r="Z1555" i="3"/>
  <c r="R1555" i="3"/>
  <c r="S1555" i="3" s="1"/>
  <c r="R1556" i="3"/>
  <c r="S1556" i="3" s="1"/>
  <c r="Z1556" i="3"/>
  <c r="Z1557" i="3"/>
  <c r="R1557" i="3"/>
  <c r="S1557" i="3" s="1"/>
  <c r="R1558" i="3"/>
  <c r="S1558" i="3" s="1"/>
  <c r="Z1558" i="3"/>
  <c r="Z1559" i="3"/>
  <c r="R1559" i="3"/>
  <c r="S1559" i="3" s="1"/>
  <c r="Z1560" i="3"/>
  <c r="R1560" i="3"/>
  <c r="S1560" i="3" s="1"/>
  <c r="Z1561" i="3"/>
  <c r="R1561" i="3"/>
  <c r="S1561" i="3" s="1"/>
  <c r="R1562" i="3"/>
  <c r="S1562" i="3" s="1"/>
  <c r="Z1562" i="3"/>
  <c r="Z1563" i="3"/>
  <c r="R1563" i="3"/>
  <c r="S1563" i="3" s="1"/>
  <c r="R1564" i="3"/>
  <c r="S1564" i="3" s="1"/>
  <c r="Z1564" i="3"/>
  <c r="Z1697" i="3"/>
  <c r="R1697" i="3"/>
  <c r="S1697" i="3" s="1"/>
  <c r="Z1698" i="3"/>
  <c r="R1698" i="3"/>
  <c r="S1698" i="3" s="1"/>
  <c r="Z1699" i="3"/>
  <c r="R1699" i="3"/>
  <c r="S1699" i="3" s="1"/>
  <c r="R1700" i="3"/>
  <c r="S1700" i="3" s="1"/>
  <c r="Z1700" i="3"/>
  <c r="R1701" i="3"/>
  <c r="S1701" i="3" s="1"/>
  <c r="Z1701" i="3"/>
  <c r="Z1702" i="3"/>
  <c r="R1702" i="3"/>
  <c r="S1702" i="3" s="1"/>
  <c r="R1703" i="3"/>
  <c r="S1703" i="3" s="1"/>
  <c r="Z1703" i="3"/>
  <c r="R1704" i="3"/>
  <c r="S1704" i="3" s="1"/>
  <c r="Z1704" i="3"/>
  <c r="R1705" i="3"/>
  <c r="S1705" i="3" s="1"/>
  <c r="Z1705" i="3"/>
  <c r="Z1706" i="3"/>
  <c r="R1706" i="3"/>
  <c r="S1706" i="3" s="1"/>
  <c r="Z1707" i="3"/>
  <c r="R1707" i="3"/>
  <c r="S1707" i="3" s="1"/>
  <c r="R1709" i="3"/>
  <c r="S1709" i="3" s="1"/>
  <c r="Z1709" i="3"/>
  <c r="R1710" i="3"/>
  <c r="S1710" i="3" s="1"/>
  <c r="Z1710" i="3"/>
  <c r="R1712" i="3"/>
  <c r="S1712" i="3" s="1"/>
  <c r="Z1712" i="3"/>
  <c r="Z1713" i="3"/>
  <c r="R1713" i="3"/>
  <c r="S1713" i="3" s="1"/>
  <c r="Z1714" i="3"/>
  <c r="R1714" i="3"/>
  <c r="S1714" i="3" s="1"/>
  <c r="Z1715" i="3"/>
  <c r="R1715" i="3"/>
  <c r="S1715" i="3" s="1"/>
  <c r="R1716" i="3"/>
  <c r="S1716" i="3" s="1"/>
  <c r="Z1716" i="3"/>
  <c r="R1718" i="3"/>
  <c r="S1718" i="3" s="1"/>
  <c r="Z1718" i="3"/>
  <c r="Z1719" i="3"/>
  <c r="R1719" i="3"/>
  <c r="S1719" i="3" s="1"/>
  <c r="Z1720" i="3"/>
  <c r="R1720" i="3"/>
  <c r="S1720" i="3" s="1"/>
  <c r="Z1721" i="3"/>
  <c r="R1721" i="3"/>
  <c r="S1721" i="3" s="1"/>
  <c r="Z1869" i="3"/>
  <c r="R1869" i="3"/>
  <c r="S1869" i="3" s="1"/>
  <c r="Z1871" i="3"/>
  <c r="R1871" i="3"/>
  <c r="S1871" i="3" s="1"/>
  <c r="R1872" i="3"/>
  <c r="S1872" i="3" s="1"/>
  <c r="Z1872" i="3"/>
  <c r="R1873" i="3"/>
  <c r="S1873" i="3" s="1"/>
  <c r="Z1873" i="3"/>
  <c r="R1874" i="3"/>
  <c r="S1874" i="3" s="1"/>
  <c r="Z1874" i="3"/>
  <c r="R1875" i="3"/>
  <c r="S1875" i="3" s="1"/>
  <c r="Z1875" i="3"/>
  <c r="Z1876" i="3"/>
  <c r="R1876" i="3"/>
  <c r="S1876" i="3" s="1"/>
  <c r="R1877" i="3"/>
  <c r="S1877" i="3" s="1"/>
  <c r="Z1877" i="3"/>
  <c r="Z2021" i="3"/>
  <c r="R2021" i="3"/>
  <c r="S2021" i="3" s="1"/>
  <c r="R2022" i="3"/>
  <c r="S2022" i="3" s="1"/>
  <c r="Z2022" i="3"/>
  <c r="R2023" i="3"/>
  <c r="S2023" i="3" s="1"/>
  <c r="Z2023" i="3"/>
  <c r="R2024" i="3"/>
  <c r="S2024" i="3" s="1"/>
  <c r="Z2024" i="3"/>
  <c r="Z2025" i="3"/>
  <c r="R2025" i="3"/>
  <c r="S2025" i="3" s="1"/>
  <c r="R2026" i="3"/>
  <c r="S2026" i="3" s="1"/>
  <c r="Z2026" i="3"/>
  <c r="R2027" i="3"/>
  <c r="S2027" i="3" s="1"/>
  <c r="Z2027" i="3"/>
  <c r="R2028" i="3"/>
  <c r="S2028" i="3" s="1"/>
  <c r="Z2028" i="3"/>
  <c r="Z2029" i="3"/>
  <c r="R2029" i="3"/>
  <c r="S2029" i="3" s="1"/>
  <c r="Z2030" i="3"/>
  <c r="R2030" i="3"/>
  <c r="S2030" i="3" s="1"/>
  <c r="R2031" i="3"/>
  <c r="S2031" i="3" s="1"/>
  <c r="Z2031" i="3"/>
  <c r="Z2032" i="3"/>
  <c r="R2032" i="3"/>
  <c r="S2032" i="3" s="1"/>
  <c r="Z2033" i="3"/>
  <c r="R2033" i="3"/>
  <c r="S2033" i="3" s="1"/>
  <c r="Z2034" i="3"/>
  <c r="R2034" i="3"/>
  <c r="S2034" i="3" s="1"/>
  <c r="Z2035" i="3"/>
  <c r="R2035" i="3"/>
  <c r="S2035" i="3" s="1"/>
  <c r="Z2036" i="3"/>
  <c r="R2036" i="3"/>
  <c r="S2036" i="3" s="1"/>
  <c r="R2037" i="3"/>
  <c r="S2037" i="3" s="1"/>
  <c r="Z2037" i="3"/>
  <c r="Z2038" i="3"/>
  <c r="R2038" i="3"/>
  <c r="S2038" i="3" s="1"/>
  <c r="Z2039" i="3"/>
  <c r="R2039" i="3"/>
  <c r="S2039" i="3" s="1"/>
  <c r="R2040" i="3"/>
  <c r="S2040" i="3" s="1"/>
  <c r="Z2040" i="3"/>
  <c r="R2041" i="3"/>
  <c r="S2041" i="3" s="1"/>
  <c r="Z2041" i="3"/>
  <c r="Z2043" i="3"/>
  <c r="R2043" i="3"/>
  <c r="S2043" i="3" s="1"/>
  <c r="R2044" i="3"/>
  <c r="S2044" i="3" s="1"/>
  <c r="Z2044" i="3"/>
  <c r="Z2045" i="3"/>
  <c r="R2045" i="3"/>
  <c r="S2045" i="3" s="1"/>
  <c r="R2047" i="3"/>
  <c r="S2047" i="3" s="1"/>
  <c r="Z2047" i="3"/>
  <c r="R2048" i="3"/>
  <c r="S2048" i="3" s="1"/>
  <c r="Z2048" i="3"/>
  <c r="R2049" i="3"/>
  <c r="S2049" i="3" s="1"/>
  <c r="Z2049" i="3"/>
  <c r="R2050" i="3"/>
  <c r="S2050" i="3" s="1"/>
  <c r="Z2050" i="3"/>
  <c r="Z2051" i="3"/>
  <c r="R2051" i="3"/>
  <c r="S2051" i="3" s="1"/>
  <c r="R2052" i="3"/>
  <c r="S2052" i="3" s="1"/>
  <c r="Z2052" i="3"/>
  <c r="Z2053" i="3"/>
  <c r="R2053" i="3"/>
  <c r="S2053" i="3" s="1"/>
  <c r="Z2054" i="3"/>
  <c r="R2054" i="3"/>
  <c r="S2054" i="3" s="1"/>
  <c r="R2055" i="3"/>
  <c r="S2055" i="3" s="1"/>
  <c r="Z2055" i="3"/>
  <c r="R2056" i="3"/>
  <c r="S2056" i="3" s="1"/>
  <c r="Z2056" i="3"/>
  <c r="Z2057" i="3"/>
  <c r="R2057" i="3"/>
  <c r="S2057" i="3" s="1"/>
  <c r="Z2058" i="3"/>
  <c r="R2058" i="3"/>
  <c r="S2058" i="3" s="1"/>
  <c r="R2059" i="3"/>
  <c r="S2059" i="3" s="1"/>
  <c r="Z2059" i="3"/>
  <c r="Z2060" i="3"/>
  <c r="R2060" i="3"/>
  <c r="S2060" i="3" s="1"/>
  <c r="Z2062" i="3"/>
  <c r="R2062" i="3"/>
  <c r="S2062" i="3" s="1"/>
  <c r="Z2063" i="3"/>
  <c r="R2063" i="3"/>
  <c r="S2063" i="3" s="1"/>
  <c r="Z2064" i="3"/>
  <c r="R2064" i="3"/>
  <c r="S2064" i="3" s="1"/>
  <c r="R2065" i="3"/>
  <c r="S2065" i="3" s="1"/>
  <c r="Z2065" i="3"/>
  <c r="Z2066" i="3"/>
  <c r="R2066" i="3"/>
  <c r="S2066" i="3" s="1"/>
  <c r="Z2068" i="3"/>
  <c r="R2068" i="3"/>
  <c r="S2068" i="3" s="1"/>
  <c r="Z2069" i="3"/>
  <c r="R2069" i="3"/>
  <c r="S2069" i="3" s="1"/>
  <c r="R2070" i="3"/>
  <c r="S2070" i="3" s="1"/>
  <c r="Z2070" i="3"/>
  <c r="Z2071" i="3"/>
  <c r="R2071" i="3"/>
  <c r="S2071" i="3" s="1"/>
  <c r="R2072" i="3"/>
  <c r="S2072" i="3" s="1"/>
  <c r="Z2072" i="3"/>
  <c r="Z2073" i="3"/>
  <c r="R2073" i="3"/>
  <c r="S2073" i="3" s="1"/>
  <c r="R2074" i="3"/>
  <c r="S2074" i="3" s="1"/>
  <c r="Z2074" i="3"/>
  <c r="R2075" i="3"/>
  <c r="S2075" i="3" s="1"/>
  <c r="Z2075" i="3"/>
  <c r="R2076" i="3"/>
  <c r="S2076" i="3" s="1"/>
  <c r="Z2076" i="3"/>
  <c r="R2077" i="3"/>
  <c r="S2077" i="3" s="1"/>
  <c r="Z2077" i="3"/>
  <c r="Z2078" i="3"/>
  <c r="R2078" i="3"/>
  <c r="S2078" i="3" s="1"/>
  <c r="Z2079" i="3"/>
  <c r="R2079" i="3"/>
  <c r="S2079" i="3" s="1"/>
  <c r="R2081" i="3"/>
  <c r="S2081" i="3" s="1"/>
  <c r="Z2081" i="3"/>
  <c r="R2082" i="3"/>
  <c r="S2082" i="3" s="1"/>
  <c r="Z2082" i="3"/>
  <c r="R2083" i="3"/>
  <c r="S2083" i="3" s="1"/>
  <c r="Z2083" i="3"/>
  <c r="R2084" i="3"/>
  <c r="S2084" i="3" s="1"/>
  <c r="Z2084" i="3"/>
  <c r="Z2085" i="3"/>
  <c r="R2085" i="3"/>
  <c r="S2085" i="3" s="1"/>
  <c r="Z2086" i="3"/>
  <c r="R2086" i="3"/>
  <c r="S2086" i="3" s="1"/>
  <c r="Z2087" i="3"/>
  <c r="R2087" i="3"/>
  <c r="S2087" i="3" s="1"/>
  <c r="Z2088" i="3"/>
  <c r="R2088" i="3"/>
  <c r="S2088" i="3" s="1"/>
  <c r="Z2089" i="3"/>
  <c r="R2089" i="3"/>
  <c r="S2089" i="3" s="1"/>
  <c r="Z2090" i="3"/>
  <c r="R2090" i="3"/>
  <c r="S2090" i="3" s="1"/>
  <c r="Z2092" i="3"/>
  <c r="R2092" i="3"/>
  <c r="S2092" i="3" s="1"/>
  <c r="Z2095" i="3"/>
  <c r="R2095" i="3"/>
  <c r="S2095" i="3" s="1"/>
  <c r="R2096" i="3"/>
  <c r="S2096" i="3" s="1"/>
  <c r="Z2096" i="3"/>
  <c r="Z2097" i="3"/>
  <c r="R2097" i="3"/>
  <c r="S2097" i="3" s="1"/>
  <c r="R2099" i="3"/>
  <c r="S2099" i="3" s="1"/>
  <c r="Z2099" i="3"/>
  <c r="R2100" i="3"/>
  <c r="S2100" i="3" s="1"/>
  <c r="Z2100" i="3"/>
  <c r="R2101" i="3"/>
  <c r="S2101" i="3" s="1"/>
  <c r="Z2101" i="3"/>
  <c r="R2102" i="3"/>
  <c r="S2102" i="3" s="1"/>
  <c r="Z2102" i="3"/>
  <c r="R2103" i="3"/>
  <c r="S2103" i="3" s="1"/>
  <c r="Z2103" i="3"/>
  <c r="R2104" i="3"/>
  <c r="S2104" i="3" s="1"/>
  <c r="Z2104" i="3"/>
  <c r="R2106" i="3"/>
  <c r="S2106" i="3" s="1"/>
  <c r="Z2106" i="3"/>
  <c r="R2107" i="3"/>
  <c r="S2107" i="3" s="1"/>
  <c r="Z2107" i="3"/>
  <c r="R2108" i="3"/>
  <c r="S2108" i="3" s="1"/>
  <c r="Z2108" i="3"/>
  <c r="Z2109" i="3"/>
  <c r="R2109" i="3"/>
  <c r="S2109" i="3" s="1"/>
  <c r="R2110" i="3"/>
  <c r="S2110" i="3" s="1"/>
  <c r="Z2110" i="3"/>
  <c r="Z2111" i="3"/>
  <c r="R2111" i="3"/>
  <c r="S2111" i="3" s="1"/>
  <c r="Z2112" i="3"/>
  <c r="R2112" i="3"/>
  <c r="S2112" i="3" s="1"/>
  <c r="Z2113" i="3"/>
  <c r="R2113" i="3"/>
  <c r="S2113" i="3" s="1"/>
  <c r="R2114" i="3"/>
  <c r="S2114" i="3" s="1"/>
  <c r="Z2114" i="3"/>
  <c r="Z2115" i="3"/>
  <c r="R2115" i="3"/>
  <c r="S2115" i="3" s="1"/>
  <c r="R2116" i="3"/>
  <c r="S2116" i="3" s="1"/>
  <c r="Z2116" i="3"/>
  <c r="R2117" i="3"/>
  <c r="S2117" i="3" s="1"/>
  <c r="Z2117" i="3"/>
  <c r="R2118" i="3"/>
  <c r="S2118" i="3" s="1"/>
  <c r="Z2118" i="3"/>
  <c r="Z2119" i="3"/>
  <c r="R2119" i="3"/>
  <c r="S2119" i="3" s="1"/>
  <c r="Z2120" i="3"/>
  <c r="R2120" i="3"/>
  <c r="S2120" i="3" s="1"/>
  <c r="R2121" i="3"/>
  <c r="S2121" i="3" s="1"/>
  <c r="Z2121" i="3"/>
  <c r="R2122" i="3"/>
  <c r="S2122" i="3" s="1"/>
  <c r="Z2122" i="3"/>
  <c r="Z2123" i="3"/>
  <c r="R2123" i="3"/>
  <c r="S2123" i="3" s="1"/>
  <c r="R2124" i="3"/>
  <c r="S2124" i="3" s="1"/>
  <c r="Z2124" i="3"/>
  <c r="R2126" i="3"/>
  <c r="S2126" i="3" s="1"/>
  <c r="Z2126" i="3"/>
  <c r="Z2127" i="3"/>
  <c r="R2127" i="3"/>
  <c r="S2127" i="3" s="1"/>
  <c r="R2129" i="3"/>
  <c r="S2129" i="3" s="1"/>
  <c r="Z2129" i="3"/>
  <c r="R2130" i="3"/>
  <c r="S2130" i="3" s="1"/>
  <c r="Z2130" i="3"/>
  <c r="Z2131" i="3"/>
  <c r="R2131" i="3"/>
  <c r="S2131" i="3" s="1"/>
  <c r="Z2132" i="3"/>
  <c r="R2132" i="3"/>
  <c r="S2132" i="3" s="1"/>
  <c r="Z2133" i="3"/>
  <c r="R2133" i="3"/>
  <c r="S2133" i="3" s="1"/>
  <c r="Z2134" i="3"/>
  <c r="R2134" i="3"/>
  <c r="S2134" i="3" s="1"/>
  <c r="R2135" i="3"/>
  <c r="S2135" i="3" s="1"/>
  <c r="Z2135" i="3"/>
  <c r="R2136" i="3"/>
  <c r="S2136" i="3" s="1"/>
  <c r="Z2136" i="3"/>
  <c r="R2138" i="3"/>
  <c r="S2138" i="3" s="1"/>
  <c r="Z2138" i="3"/>
  <c r="R2139" i="3"/>
  <c r="S2139" i="3" s="1"/>
  <c r="Z2139" i="3"/>
  <c r="Z2140" i="3"/>
  <c r="R2140" i="3"/>
  <c r="S2140" i="3" s="1"/>
  <c r="R2141" i="3"/>
  <c r="S2141" i="3" s="1"/>
  <c r="Z2141" i="3"/>
  <c r="Z2142" i="3"/>
  <c r="R2142" i="3"/>
  <c r="S2142" i="3" s="1"/>
  <c r="R2143" i="3"/>
  <c r="S2143" i="3" s="1"/>
  <c r="Z2143" i="3"/>
  <c r="R2144" i="3"/>
  <c r="S2144" i="3" s="1"/>
  <c r="Z2144" i="3"/>
  <c r="R2146" i="3"/>
  <c r="S2146" i="3" s="1"/>
  <c r="Z2146" i="3"/>
  <c r="Z2147" i="3"/>
  <c r="R2147" i="3"/>
  <c r="S2147" i="3" s="1"/>
  <c r="Z2148" i="3"/>
  <c r="R2148" i="3"/>
  <c r="S2148" i="3" s="1"/>
  <c r="R2150" i="3"/>
  <c r="S2150" i="3" s="1"/>
  <c r="Z2150" i="3"/>
  <c r="R2151" i="3"/>
  <c r="S2151" i="3" s="1"/>
  <c r="Z2151" i="3"/>
  <c r="Z2152" i="3"/>
  <c r="R2152" i="3"/>
  <c r="S2152" i="3" s="1"/>
  <c r="Z2154" i="3"/>
  <c r="R2154" i="3"/>
  <c r="S2154" i="3" s="1"/>
  <c r="R2155" i="3"/>
  <c r="S2155" i="3" s="1"/>
  <c r="Z2155" i="3"/>
  <c r="R2156" i="3"/>
  <c r="S2156" i="3" s="1"/>
  <c r="Z2156" i="3"/>
  <c r="R2157" i="3"/>
  <c r="S2157" i="3" s="1"/>
  <c r="Z2157" i="3"/>
  <c r="Z2158" i="3"/>
  <c r="R2158" i="3"/>
  <c r="S2158" i="3" s="1"/>
  <c r="Z2159" i="3"/>
  <c r="R2159" i="3"/>
  <c r="S2159" i="3" s="1"/>
  <c r="R2160" i="3"/>
  <c r="S2160" i="3" s="1"/>
  <c r="Z2160" i="3"/>
  <c r="Z2161" i="3"/>
  <c r="R2161" i="3"/>
  <c r="S2161" i="3" s="1"/>
  <c r="R2162" i="3"/>
  <c r="S2162" i="3" s="1"/>
  <c r="Z2162" i="3"/>
  <c r="R2163" i="3"/>
  <c r="S2163" i="3" s="1"/>
  <c r="Z2163" i="3"/>
  <c r="Z2164" i="3"/>
  <c r="R2164" i="3"/>
  <c r="S2164" i="3" s="1"/>
  <c r="Z2165" i="3"/>
  <c r="R2165" i="3"/>
  <c r="S2165" i="3" s="1"/>
  <c r="Z2166" i="3"/>
  <c r="R2166" i="3"/>
  <c r="S2166" i="3" s="1"/>
  <c r="R2167" i="3"/>
  <c r="S2167" i="3" s="1"/>
  <c r="Z2167" i="3"/>
  <c r="R2168" i="3"/>
  <c r="S2168" i="3" s="1"/>
  <c r="Z2168" i="3"/>
  <c r="Z2170" i="3"/>
  <c r="R2170" i="3"/>
  <c r="S2170" i="3" s="1"/>
  <c r="R2171" i="3"/>
  <c r="S2171" i="3" s="1"/>
  <c r="Z2171" i="3"/>
  <c r="R2172" i="3"/>
  <c r="S2172" i="3" s="1"/>
  <c r="Z2172" i="3"/>
  <c r="Z2173" i="3"/>
  <c r="R2173" i="3"/>
  <c r="S2173" i="3" s="1"/>
  <c r="R2174" i="3"/>
  <c r="S2174" i="3" s="1"/>
  <c r="Z2174" i="3"/>
  <c r="Z2175" i="3"/>
  <c r="R2175" i="3"/>
  <c r="S2175" i="3" s="1"/>
  <c r="Z2176" i="3"/>
  <c r="R2176" i="3"/>
  <c r="S2176" i="3" s="1"/>
  <c r="Z2177" i="3"/>
  <c r="R2177" i="3"/>
  <c r="S2177" i="3" s="1"/>
  <c r="R2178" i="3"/>
  <c r="S2178" i="3" s="1"/>
  <c r="Z2178" i="3"/>
  <c r="Z2180" i="3"/>
  <c r="R2180" i="3"/>
  <c r="S2180" i="3" s="1"/>
  <c r="R2181" i="3"/>
  <c r="S2181" i="3" s="1"/>
  <c r="Z2181" i="3"/>
  <c r="Z2183" i="3"/>
  <c r="R2183" i="3"/>
  <c r="S2183" i="3" s="1"/>
  <c r="R2184" i="3"/>
  <c r="S2184" i="3" s="1"/>
  <c r="Z2184" i="3"/>
  <c r="Z2186" i="3"/>
  <c r="R2186" i="3"/>
  <c r="S2186" i="3" s="1"/>
  <c r="R2187" i="3"/>
  <c r="S2187" i="3" s="1"/>
  <c r="Z2187" i="3"/>
  <c r="Z2188" i="3"/>
  <c r="R2188" i="3"/>
  <c r="S2188" i="3" s="1"/>
  <c r="S940" i="3"/>
  <c r="S2189" i="3"/>
  <c r="O45" i="1"/>
  <c r="AA43" i="1"/>
  <c r="AA40" i="1"/>
  <c r="AA42" i="1"/>
  <c r="AA36" i="1"/>
  <c r="AA37" i="1"/>
  <c r="Z2" i="3"/>
  <c r="R2" i="3"/>
  <c r="S2" i="3" s="1"/>
  <c r="E48" i="1"/>
  <c r="E33" i="1"/>
  <c r="E18" i="1"/>
  <c r="E15" i="1"/>
  <c r="E57" i="1"/>
  <c r="E36" i="1"/>
  <c r="E30" i="1"/>
  <c r="E24" i="1"/>
  <c r="E21" i="1"/>
  <c r="E6" i="1"/>
  <c r="E60" i="1"/>
  <c r="E63" i="1"/>
  <c r="E54" i="1"/>
  <c r="E51" i="1"/>
  <c r="E42" i="1"/>
  <c r="E45" i="1"/>
  <c r="E39" i="1"/>
  <c r="E27" i="1"/>
  <c r="E12" i="1"/>
  <c r="AA63" i="1"/>
  <c r="AA6" i="1" l="1"/>
  <c r="AA24" i="1"/>
  <c r="Q24" i="1"/>
  <c r="T24" i="1"/>
  <c r="S24" i="1"/>
  <c r="P24" i="1"/>
  <c r="R24" i="1"/>
  <c r="AA21" i="1"/>
  <c r="R21" i="1"/>
  <c r="S21" i="1"/>
  <c r="P21" i="1"/>
  <c r="T21" i="1"/>
  <c r="Q21" i="1"/>
  <c r="AA12" i="1"/>
  <c r="T12" i="1"/>
  <c r="P12" i="1"/>
  <c r="U12" i="1" s="1"/>
  <c r="S12" i="1"/>
  <c r="Q12" i="1"/>
  <c r="R12" i="1"/>
  <c r="R19" i="1"/>
  <c r="AA15" i="1"/>
  <c r="S15" i="1"/>
  <c r="P15" i="1"/>
  <c r="R15" i="1"/>
  <c r="Q15" i="1"/>
  <c r="T15" i="1"/>
  <c r="AA13" i="1"/>
  <c r="S13" i="1"/>
  <c r="Q13" i="1"/>
  <c r="R13" i="1"/>
  <c r="P13" i="1"/>
  <c r="U13" i="1" s="1"/>
  <c r="T13" i="1"/>
  <c r="AA9" i="1"/>
  <c r="S9" i="1"/>
  <c r="R9" i="1"/>
  <c r="T9" i="1"/>
  <c r="P9" i="1"/>
  <c r="U9" i="1" s="1"/>
  <c r="Q9" i="1"/>
  <c r="AA16" i="1"/>
  <c r="Q16" i="1"/>
  <c r="P16" i="1"/>
  <c r="S16" i="1"/>
  <c r="R16" i="1"/>
  <c r="T16" i="1"/>
  <c r="AA10" i="1"/>
  <c r="S10" i="1"/>
  <c r="T10" i="1"/>
  <c r="Q10" i="1"/>
  <c r="R10" i="1"/>
  <c r="P10" i="1"/>
  <c r="U10" i="1" s="1"/>
  <c r="H54" i="1"/>
  <c r="L54" i="1"/>
  <c r="K54" i="1"/>
  <c r="J54" i="1"/>
  <c r="O54" i="1"/>
  <c r="N54" i="1"/>
  <c r="M54" i="1"/>
  <c r="I54" i="1"/>
  <c r="H51" i="1"/>
  <c r="O51" i="1"/>
  <c r="N51" i="1"/>
  <c r="M51" i="1"/>
  <c r="L51" i="1"/>
  <c r="J51" i="1"/>
  <c r="I51" i="1"/>
  <c r="K51" i="1"/>
  <c r="T30" i="1"/>
  <c r="R30" i="1"/>
  <c r="AA30" i="1"/>
  <c r="P30" i="1"/>
  <c r="U30" i="1" s="1"/>
  <c r="S30" i="1"/>
  <c r="Q30" i="1"/>
  <c r="Q31" i="1"/>
  <c r="R31" i="1"/>
  <c r="AA31" i="1"/>
  <c r="P31" i="1"/>
  <c r="U31" i="1" s="1"/>
  <c r="T31" i="1"/>
  <c r="S31" i="1"/>
  <c r="H52" i="1"/>
  <c r="J52" i="1"/>
  <c r="I52" i="1"/>
  <c r="K52" i="1"/>
  <c r="L52" i="1"/>
  <c r="M52" i="1"/>
  <c r="N52" i="1"/>
  <c r="O52" i="1"/>
  <c r="I49" i="1"/>
  <c r="J49" i="1"/>
  <c r="K49" i="1"/>
  <c r="H49" i="1"/>
  <c r="L49" i="1"/>
  <c r="M49" i="1"/>
  <c r="N49" i="1"/>
  <c r="O49" i="1"/>
  <c r="AA46" i="1"/>
  <c r="H46" i="1"/>
  <c r="J46" i="1"/>
  <c r="O46" i="1"/>
  <c r="N46" i="1"/>
  <c r="M46" i="1"/>
  <c r="L46" i="1"/>
  <c r="K46" i="1"/>
  <c r="I46" i="1"/>
  <c r="Q34" i="1"/>
  <c r="T34" i="1"/>
  <c r="AA34" i="1"/>
  <c r="S34" i="1"/>
  <c r="Q33" i="1"/>
  <c r="AA33" i="1"/>
  <c r="P33" i="1"/>
  <c r="U33" i="1" s="1"/>
  <c r="R33" i="1"/>
  <c r="T33" i="1"/>
  <c r="S33" i="1"/>
  <c r="R27" i="1"/>
  <c r="AA27" i="1"/>
  <c r="P27" i="1"/>
  <c r="T27" i="1"/>
  <c r="Q27" i="1"/>
  <c r="S27" i="1"/>
  <c r="AA25" i="1"/>
  <c r="Q25" i="1"/>
  <c r="T25" i="1"/>
  <c r="S25" i="1"/>
  <c r="P25" i="1"/>
  <c r="R25" i="1"/>
  <c r="P22" i="1"/>
  <c r="AA22" i="1"/>
  <c r="Q22" i="1"/>
  <c r="S22" i="1"/>
  <c r="R22" i="1"/>
  <c r="T22" i="1"/>
  <c r="P19" i="1"/>
  <c r="T19" i="1"/>
  <c r="AA19" i="1"/>
  <c r="Q19" i="1"/>
  <c r="S19" i="1"/>
  <c r="L55" i="1"/>
  <c r="N55" i="1"/>
  <c r="M55" i="1"/>
  <c r="O55" i="1"/>
  <c r="H55" i="1"/>
  <c r="I55" i="1"/>
  <c r="J55" i="1"/>
  <c r="K55" i="1"/>
  <c r="L48" i="1"/>
  <c r="O48" i="1"/>
  <c r="N48" i="1"/>
  <c r="M48" i="1"/>
  <c r="K48" i="1"/>
  <c r="J48" i="1"/>
  <c r="I48" i="1"/>
  <c r="H48" i="1"/>
  <c r="AA48" i="1"/>
  <c r="P28" i="1"/>
  <c r="Q28" i="1"/>
  <c r="T28" i="1"/>
  <c r="R28" i="1"/>
  <c r="S28" i="1"/>
  <c r="AA28" i="1"/>
  <c r="R18" i="1"/>
  <c r="T18" i="1"/>
  <c r="P18" i="1"/>
  <c r="S18" i="1"/>
  <c r="Q18" i="1"/>
  <c r="AA18" i="1"/>
  <c r="H61" i="1"/>
  <c r="J61" i="1"/>
  <c r="L61" i="1"/>
  <c r="M61" i="1"/>
  <c r="O61" i="1"/>
  <c r="K61" i="1"/>
  <c r="N61" i="1"/>
  <c r="I61" i="1"/>
  <c r="I58" i="1"/>
  <c r="H58" i="1"/>
  <c r="J58" i="1"/>
  <c r="K58" i="1"/>
  <c r="M58" i="1"/>
  <c r="L58" i="1"/>
  <c r="N58" i="1"/>
  <c r="O58" i="1"/>
  <c r="M63" i="1"/>
  <c r="O63" i="1"/>
  <c r="N63" i="1"/>
  <c r="L63" i="1"/>
  <c r="K63" i="1"/>
  <c r="J63" i="1"/>
  <c r="I63" i="1"/>
  <c r="H63" i="1"/>
  <c r="O64" i="1"/>
  <c r="I64" i="1"/>
  <c r="M64" i="1"/>
  <c r="N64" i="1"/>
  <c r="L64" i="1"/>
  <c r="K64" i="1"/>
  <c r="J64" i="1"/>
  <c r="H64" i="1"/>
  <c r="O60" i="1"/>
  <c r="M60" i="1"/>
  <c r="L60" i="1"/>
  <c r="H60" i="1"/>
  <c r="N60" i="1"/>
  <c r="J60" i="1"/>
  <c r="I60" i="1"/>
  <c r="K60" i="1"/>
  <c r="O57" i="1"/>
  <c r="N57" i="1"/>
  <c r="L57" i="1"/>
  <c r="M57" i="1"/>
  <c r="H57" i="1"/>
  <c r="I57" i="1"/>
  <c r="J57" i="1"/>
  <c r="K57" i="1"/>
  <c r="AA39" i="1"/>
  <c r="R39" i="1"/>
  <c r="Q39" i="1"/>
  <c r="H39" i="1"/>
  <c r="L39" i="1"/>
  <c r="M39" i="1"/>
  <c r="I39" i="1"/>
  <c r="J39" i="1"/>
  <c r="K39" i="1"/>
  <c r="O39" i="1"/>
  <c r="N39" i="1"/>
  <c r="T39" i="1"/>
  <c r="P39" i="1"/>
  <c r="U39" i="1" s="1"/>
  <c r="S39" i="1"/>
  <c r="K30" i="1"/>
  <c r="L30" i="1"/>
  <c r="M30" i="1"/>
  <c r="N30" i="1"/>
  <c r="H30" i="1"/>
  <c r="O30" i="1"/>
  <c r="I30" i="1"/>
  <c r="J30" i="1"/>
  <c r="AA45" i="1"/>
  <c r="N45" i="1"/>
  <c r="M45" i="1"/>
  <c r="L45" i="1"/>
  <c r="K45" i="1"/>
  <c r="I45" i="1"/>
  <c r="H45" i="1"/>
  <c r="J45" i="1"/>
  <c r="M43" i="1"/>
  <c r="N43" i="1"/>
  <c r="H43" i="1"/>
  <c r="O43" i="1"/>
  <c r="K43" i="1"/>
  <c r="I43" i="1"/>
  <c r="J43" i="1"/>
  <c r="L43" i="1"/>
  <c r="S40" i="1"/>
  <c r="T40" i="1"/>
  <c r="R40" i="1"/>
  <c r="P40" i="1"/>
  <c r="U40" i="1" s="1"/>
  <c r="Q40" i="1"/>
  <c r="L40" i="1"/>
  <c r="K40" i="1"/>
  <c r="J40" i="1"/>
  <c r="I40" i="1"/>
  <c r="H40" i="1"/>
  <c r="O40" i="1"/>
  <c r="N40" i="1"/>
  <c r="M40" i="1"/>
  <c r="R34" i="1"/>
  <c r="N34" i="1"/>
  <c r="M34" i="1"/>
  <c r="L34" i="1"/>
  <c r="K34" i="1"/>
  <c r="J34" i="1"/>
  <c r="I34" i="1"/>
  <c r="H34" i="1"/>
  <c r="O34" i="1"/>
  <c r="P34" i="1"/>
  <c r="U34" i="1" s="1"/>
  <c r="M33" i="1"/>
  <c r="L33" i="1"/>
  <c r="K33" i="1"/>
  <c r="J33" i="1"/>
  <c r="H33" i="1"/>
  <c r="N33" i="1"/>
  <c r="I33" i="1"/>
  <c r="O33" i="1"/>
  <c r="I42" i="1"/>
  <c r="K42" i="1"/>
  <c r="O42" i="1"/>
  <c r="N42" i="1"/>
  <c r="M42" i="1"/>
  <c r="L42" i="1"/>
  <c r="J42" i="1"/>
  <c r="H42" i="1"/>
  <c r="M36" i="1"/>
  <c r="L36" i="1"/>
  <c r="H36" i="1"/>
  <c r="I36" i="1"/>
  <c r="J36" i="1"/>
  <c r="K36" i="1"/>
  <c r="N36" i="1"/>
  <c r="O36" i="1"/>
  <c r="R36" i="1"/>
  <c r="Q36" i="1"/>
  <c r="T36" i="1"/>
  <c r="S36" i="1"/>
  <c r="P36" i="1"/>
  <c r="U36" i="1" s="1"/>
  <c r="M37" i="1"/>
  <c r="J37" i="1"/>
  <c r="L37" i="1"/>
  <c r="K37" i="1"/>
  <c r="O37" i="1"/>
  <c r="N37" i="1"/>
  <c r="P37" i="1"/>
  <c r="U37" i="1" s="1"/>
  <c r="R37" i="1"/>
  <c r="S37" i="1"/>
  <c r="H37" i="1"/>
  <c r="T37" i="1"/>
  <c r="I37" i="1"/>
  <c r="Q37" i="1"/>
  <c r="Q54" i="1"/>
  <c r="S54" i="1"/>
  <c r="R54" i="1"/>
  <c r="P54" i="1"/>
  <c r="U54" i="1" s="1"/>
  <c r="T54" i="1"/>
  <c r="P51" i="1"/>
  <c r="U51" i="1" s="1"/>
  <c r="T51" i="1"/>
  <c r="S51" i="1"/>
  <c r="Q51" i="1"/>
  <c r="R51" i="1"/>
  <c r="O31" i="1"/>
  <c r="N31" i="1"/>
  <c r="M31" i="1"/>
  <c r="L31" i="1"/>
  <c r="K31" i="1"/>
  <c r="J31" i="1"/>
  <c r="I31" i="1"/>
  <c r="H31" i="1"/>
  <c r="M24" i="1"/>
  <c r="O24" i="1"/>
  <c r="N24" i="1"/>
  <c r="L24" i="1"/>
  <c r="K24" i="1"/>
  <c r="J24" i="1"/>
  <c r="I24" i="1"/>
  <c r="H24" i="1"/>
  <c r="K21" i="1"/>
  <c r="J21" i="1"/>
  <c r="I21" i="1"/>
  <c r="H21" i="1"/>
  <c r="L21" i="1"/>
  <c r="O21" i="1"/>
  <c r="N21" i="1"/>
  <c r="M21" i="1"/>
  <c r="J12" i="1"/>
  <c r="K12" i="1"/>
  <c r="L12" i="1"/>
  <c r="M12" i="1"/>
  <c r="O12" i="1"/>
  <c r="N12" i="1"/>
  <c r="H12" i="1"/>
  <c r="I12" i="1"/>
  <c r="O6" i="1"/>
  <c r="N6" i="1"/>
  <c r="M6" i="1"/>
  <c r="L6" i="1"/>
  <c r="K6" i="1"/>
  <c r="J6" i="1"/>
  <c r="I6" i="1"/>
  <c r="H6" i="1"/>
  <c r="R52" i="1"/>
  <c r="T52" i="1"/>
  <c r="S52" i="1"/>
  <c r="Q52" i="1"/>
  <c r="P52" i="1"/>
  <c r="U52" i="1" s="1"/>
  <c r="T49" i="1"/>
  <c r="R49" i="1"/>
  <c r="P49" i="1"/>
  <c r="U49" i="1" s="1"/>
  <c r="S49" i="1"/>
  <c r="Q49" i="1"/>
  <c r="Q46" i="1"/>
  <c r="R46" i="1"/>
  <c r="P46" i="1"/>
  <c r="U46" i="1" s="1"/>
  <c r="T46" i="1"/>
  <c r="S46" i="1"/>
  <c r="P45" i="1"/>
  <c r="U45" i="1" s="1"/>
  <c r="T45" i="1"/>
  <c r="R45" i="1"/>
  <c r="Q45" i="1"/>
  <c r="S45" i="1"/>
  <c r="R43" i="1"/>
  <c r="T43" i="1"/>
  <c r="S43" i="1"/>
  <c r="P43" i="1"/>
  <c r="U43" i="1" s="1"/>
  <c r="Q43" i="1"/>
  <c r="O27" i="1"/>
  <c r="L27" i="1"/>
  <c r="M27" i="1"/>
  <c r="J27" i="1"/>
  <c r="K27" i="1"/>
  <c r="H27" i="1"/>
  <c r="I27" i="1"/>
  <c r="N27" i="1"/>
  <c r="I25" i="1"/>
  <c r="O25" i="1"/>
  <c r="N25" i="1"/>
  <c r="M25" i="1"/>
  <c r="L25" i="1"/>
  <c r="K25" i="1"/>
  <c r="J25" i="1"/>
  <c r="H25" i="1"/>
  <c r="H22" i="1"/>
  <c r="I22" i="1"/>
  <c r="J22" i="1"/>
  <c r="K22" i="1"/>
  <c r="L22" i="1"/>
  <c r="M22" i="1"/>
  <c r="N22" i="1"/>
  <c r="O22" i="1"/>
  <c r="N19" i="1"/>
  <c r="O19" i="1"/>
  <c r="M19" i="1"/>
  <c r="L19" i="1"/>
  <c r="K19" i="1"/>
  <c r="J19" i="1"/>
  <c r="I19" i="1"/>
  <c r="H19" i="1"/>
  <c r="N15" i="1"/>
  <c r="M15" i="1"/>
  <c r="L15" i="1"/>
  <c r="K15" i="1"/>
  <c r="J15" i="1"/>
  <c r="I15" i="1"/>
  <c r="H15" i="1"/>
  <c r="O15" i="1"/>
  <c r="J13" i="1"/>
  <c r="H13" i="1"/>
  <c r="I13" i="1"/>
  <c r="K13" i="1"/>
  <c r="L13" i="1"/>
  <c r="M13" i="1"/>
  <c r="N13" i="1"/>
  <c r="O13" i="1"/>
  <c r="N9" i="1"/>
  <c r="H9" i="1"/>
  <c r="I9" i="1"/>
  <c r="J9" i="1"/>
  <c r="K9" i="1"/>
  <c r="L9" i="1"/>
  <c r="M9" i="1"/>
  <c r="O9" i="1"/>
  <c r="R55" i="1"/>
  <c r="P55" i="1"/>
  <c r="U55" i="1" s="1"/>
  <c r="Q55" i="1"/>
  <c r="S55" i="1"/>
  <c r="T55" i="1"/>
  <c r="Q48" i="1"/>
  <c r="R48" i="1"/>
  <c r="T48" i="1"/>
  <c r="P48" i="1"/>
  <c r="U48" i="1" s="1"/>
  <c r="S48" i="1"/>
  <c r="R42" i="1"/>
  <c r="P42" i="1"/>
  <c r="U42" i="1" s="1"/>
  <c r="Q42" i="1"/>
  <c r="T42" i="1"/>
  <c r="S42" i="1"/>
  <c r="N28" i="1"/>
  <c r="M28" i="1"/>
  <c r="O28" i="1"/>
  <c r="L28" i="1"/>
  <c r="J28" i="1"/>
  <c r="K28" i="1"/>
  <c r="I28" i="1"/>
  <c r="H28" i="1"/>
  <c r="L18" i="1"/>
  <c r="K18" i="1"/>
  <c r="J18" i="1"/>
  <c r="I18" i="1"/>
  <c r="H18" i="1"/>
  <c r="M18" i="1"/>
  <c r="N18" i="1"/>
  <c r="O18" i="1"/>
  <c r="K16" i="1"/>
  <c r="J16" i="1"/>
  <c r="I16" i="1"/>
  <c r="H16" i="1"/>
  <c r="L16" i="1"/>
  <c r="O16" i="1"/>
  <c r="N16" i="1"/>
  <c r="M16" i="1"/>
  <c r="H10" i="1"/>
  <c r="I10" i="1"/>
  <c r="J10" i="1"/>
  <c r="N10" i="1"/>
  <c r="M10" i="1"/>
  <c r="L10" i="1"/>
  <c r="K10" i="1"/>
  <c r="O10" i="1"/>
  <c r="J7" i="1"/>
  <c r="I7" i="1"/>
  <c r="H7" i="1"/>
  <c r="K7" i="1"/>
  <c r="O7" i="1"/>
  <c r="L7" i="1"/>
  <c r="M7" i="1"/>
  <c r="N7" i="1"/>
  <c r="P58" i="1"/>
  <c r="T58" i="1"/>
  <c r="S58" i="1"/>
  <c r="R58" i="1"/>
  <c r="Q58" i="1"/>
  <c r="P61" i="1"/>
  <c r="T61" i="1"/>
  <c r="R61" i="1"/>
  <c r="S61" i="1"/>
  <c r="Q61" i="1"/>
  <c r="Q63" i="1"/>
  <c r="P63" i="1"/>
  <c r="T63" i="1"/>
  <c r="R63" i="1"/>
  <c r="S63" i="1"/>
  <c r="T64" i="1"/>
  <c r="P64" i="1"/>
  <c r="Q64" i="1"/>
  <c r="S64" i="1"/>
  <c r="R64" i="1"/>
  <c r="T60" i="1"/>
  <c r="P60" i="1"/>
  <c r="U60" i="1" s="1"/>
  <c r="R60" i="1"/>
  <c r="S60" i="1"/>
  <c r="Q60" i="1"/>
  <c r="T57" i="1"/>
  <c r="P57" i="1"/>
  <c r="Q57" i="1"/>
  <c r="R57" i="1"/>
  <c r="S57" i="1"/>
  <c r="AA64" i="1"/>
  <c r="AA55" i="1"/>
  <c r="AA58" i="1"/>
  <c r="AA57" i="1"/>
  <c r="AA60" i="1"/>
  <c r="AA61" i="1"/>
  <c r="AA49" i="1"/>
  <c r="AA51" i="1"/>
  <c r="AA54" i="1"/>
  <c r="AA52" i="1"/>
  <c r="AA7" i="1"/>
  <c r="W33" i="1"/>
  <c r="W34" i="1"/>
  <c r="W37" i="1"/>
  <c r="W36" i="1"/>
  <c r="W40" i="1"/>
  <c r="W57" i="1"/>
  <c r="W31" i="1"/>
  <c r="W10" i="1"/>
  <c r="W24" i="1"/>
  <c r="W12" i="1"/>
  <c r="W15" i="1"/>
  <c r="W19" i="1"/>
  <c r="W18" i="1"/>
  <c r="W30" i="1"/>
  <c r="W55" i="1"/>
  <c r="W60" i="1"/>
  <c r="W39" i="1"/>
  <c r="W64" i="1"/>
  <c r="W46" i="1"/>
  <c r="W48" i="1"/>
  <c r="W49" i="1"/>
  <c r="W52" i="1"/>
  <c r="W61" i="1"/>
  <c r="W22" i="1"/>
  <c r="W21" i="1"/>
  <c r="W25" i="1"/>
  <c r="W28" i="1"/>
  <c r="W43" i="1"/>
  <c r="W54" i="1"/>
  <c r="W63" i="1"/>
  <c r="W9" i="1"/>
  <c r="W27" i="1"/>
  <c r="W42" i="1"/>
  <c r="W45" i="1"/>
  <c r="W51" i="1"/>
  <c r="W58" i="1"/>
  <c r="W13" i="1"/>
  <c r="W16" i="1"/>
  <c r="U61" i="1"/>
  <c r="E9" i="1"/>
  <c r="W7" i="1"/>
  <c r="W6" i="1"/>
  <c r="P7" i="1"/>
  <c r="R7" i="1"/>
  <c r="S7" i="1"/>
  <c r="T7" i="1"/>
  <c r="Q7" i="1"/>
  <c r="S6" i="1"/>
  <c r="T6" i="1"/>
  <c r="Q6" i="1"/>
  <c r="R6" i="1"/>
  <c r="P6" i="1"/>
  <c r="U57" i="1" l="1"/>
  <c r="U58" i="1"/>
  <c r="U64" i="1"/>
  <c r="U24" i="1"/>
  <c r="U21" i="1"/>
  <c r="U16" i="1"/>
  <c r="U25" i="1"/>
  <c r="U22" i="1"/>
  <c r="U27" i="1"/>
  <c r="U19" i="1"/>
  <c r="U28" i="1"/>
  <c r="U18" i="1"/>
  <c r="U15" i="1"/>
  <c r="U63" i="1"/>
  <c r="Y21" i="1"/>
  <c r="V33" i="1"/>
  <c r="Y24" i="1"/>
  <c r="Y10" i="1"/>
  <c r="Y13" i="1"/>
  <c r="V39" i="1"/>
  <c r="Y57" i="1"/>
  <c r="Y30" i="1"/>
  <c r="Y34" i="1"/>
  <c r="Z24" i="1"/>
  <c r="V42" i="1"/>
  <c r="Y12" i="1"/>
  <c r="Y15" i="1"/>
  <c r="Y16" i="1"/>
  <c r="Y31" i="1"/>
  <c r="Y19" i="1"/>
  <c r="Y18" i="1"/>
  <c r="V36" i="1"/>
  <c r="Y27" i="1"/>
  <c r="Y25" i="1"/>
  <c r="Y22" i="1"/>
  <c r="Z21" i="1"/>
  <c r="AB45" i="1"/>
  <c r="AB36" i="1"/>
  <c r="V48" i="1"/>
  <c r="Z16" i="1"/>
  <c r="Z10" i="1"/>
  <c r="Z9" i="1"/>
  <c r="Y9" i="1"/>
  <c r="Z31" i="1"/>
  <c r="AB39" i="1"/>
  <c r="AB42" i="1"/>
  <c r="Z19" i="1"/>
  <c r="AB9" i="1"/>
  <c r="AB63" i="1"/>
  <c r="AB48" i="1"/>
  <c r="Z33" i="1"/>
  <c r="Y33" i="1"/>
  <c r="Z28" i="1"/>
  <c r="Y28" i="1"/>
  <c r="V51" i="1"/>
  <c r="Z13" i="1"/>
  <c r="V60" i="1"/>
  <c r="AB6" i="1"/>
  <c r="Z39" i="1"/>
  <c r="Y39" i="1"/>
  <c r="AB30" i="1"/>
  <c r="Z30" i="1"/>
  <c r="Z40" i="1"/>
  <c r="Y40" i="1"/>
  <c r="AB33" i="1"/>
  <c r="Z34" i="1"/>
  <c r="Z36" i="1"/>
  <c r="Y36" i="1"/>
  <c r="Z37" i="1"/>
  <c r="Y37" i="1"/>
  <c r="Y54" i="1"/>
  <c r="Z54" i="1"/>
  <c r="Z51" i="1"/>
  <c r="Y51" i="1"/>
  <c r="AB12" i="1"/>
  <c r="Z12" i="1"/>
  <c r="Z15" i="1"/>
  <c r="AB15" i="1"/>
  <c r="AB18" i="1"/>
  <c r="Z18" i="1"/>
  <c r="Z58" i="1"/>
  <c r="Y58" i="1"/>
  <c r="Z57" i="1"/>
  <c r="Z52" i="1"/>
  <c r="Y52" i="1"/>
  <c r="Y49" i="1"/>
  <c r="Z49" i="1"/>
  <c r="Y46" i="1"/>
  <c r="Z46" i="1"/>
  <c r="Z45" i="1"/>
  <c r="Y45" i="1"/>
  <c r="Z43" i="1"/>
  <c r="Y43" i="1"/>
  <c r="AB27" i="1"/>
  <c r="Z27" i="1"/>
  <c r="AB24" i="1"/>
  <c r="Z25" i="1"/>
  <c r="AB21" i="1"/>
  <c r="Z22" i="1"/>
  <c r="Y55" i="1"/>
  <c r="Z55" i="1"/>
  <c r="Z48" i="1"/>
  <c r="Y48" i="1"/>
  <c r="Z42" i="1"/>
  <c r="Y42" i="1"/>
  <c r="Z64" i="1"/>
  <c r="Y64" i="1"/>
  <c r="Z60" i="1"/>
  <c r="Y60" i="1"/>
  <c r="V45" i="1"/>
  <c r="Z61" i="1"/>
  <c r="Y61" i="1"/>
  <c r="Z63" i="1"/>
  <c r="Y63" i="1"/>
  <c r="X30" i="1"/>
  <c r="V54" i="1"/>
  <c r="X36" i="1"/>
  <c r="AB51" i="1"/>
  <c r="AB60" i="1"/>
  <c r="V30" i="1"/>
  <c r="AB54" i="1"/>
  <c r="X63" i="1"/>
  <c r="X9" i="1"/>
  <c r="AB57" i="1"/>
  <c r="X27" i="1"/>
  <c r="X39" i="1"/>
  <c r="X54" i="1"/>
  <c r="X33" i="1"/>
  <c r="X21" i="1"/>
  <c r="X18" i="1"/>
  <c r="X60" i="1"/>
  <c r="X42" i="1"/>
  <c r="X45" i="1"/>
  <c r="X51" i="1"/>
  <c r="X24" i="1"/>
  <c r="X15" i="1"/>
  <c r="X57" i="1"/>
  <c r="X12" i="1"/>
  <c r="X48" i="1"/>
  <c r="V12" i="1"/>
  <c r="V9" i="1"/>
  <c r="U7" i="1"/>
  <c r="U6" i="1"/>
  <c r="X6" i="1"/>
  <c r="Z7" i="1"/>
  <c r="Z6" i="1"/>
  <c r="Y6" i="1"/>
  <c r="Y7" i="1"/>
  <c r="V57" i="1" l="1"/>
  <c r="V27" i="1"/>
  <c r="V63" i="1"/>
  <c r="V15" i="1"/>
  <c r="V18" i="1"/>
  <c r="V24" i="1"/>
  <c r="V21" i="1"/>
  <c r="V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C060C7-5D06-4F9E-85C3-90E0919BF376}" keepAlive="1" name="ModelConnection_DatiEsterni_1" description="Modello di dati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CC64A4C-99ED-4793-8158-E99A25B9129A}" keepAlive="1" name="ModelConnection_DatiEsterni_11" description="Modello di dati" type="5" refreshedVersion="8" minRefreshableVersion="5" saveData="1">
    <dbPr connection="Data Model Connection" command="Sheet1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696980F-A982-439B-8A24-43E7C644FB17}" name="Query - Sheet1" description="Connessione alla query 'Sheet1' nella cartella di lavoro." type="100" refreshedVersion="8" minRefreshableVersion="5">
    <extLst>
      <ext xmlns:x15="http://schemas.microsoft.com/office/spreadsheetml/2010/11/main" uri="{DE250136-89BD-433C-8126-D09CA5730AF9}">
        <x15:connection id="bd2d3742-b40b-4035-9e3d-b52e66aa25e1"/>
      </ext>
    </extLst>
  </connection>
  <connection id="4" xr16:uid="{E82283B6-3618-4913-8C41-FBB987C35732}" name="Query - Sheet1 (2)" description="Connessione alla query 'Sheet1 (2)' nella cartella di lavoro." type="100" refreshedVersion="8" minRefreshableVersion="5">
    <extLst>
      <ext xmlns:x15="http://schemas.microsoft.com/office/spreadsheetml/2010/11/main" uri="{DE250136-89BD-433C-8126-D09CA5730AF9}">
        <x15:connection id="e1e60a3c-2294-4c86-a061-3567153dd80a">
          <x15:oledbPr connection="Provider=Microsoft.Mashup.OleDb.1;Data Source=$Workbook$;Location=&quot;Sheet1 (2)&quot;;Extended Properties=&quot;&quot;">
            <x15:dbTables>
              <x15:dbTable name="Sheet1 (2)"/>
            </x15:dbTables>
          </x15:oledbPr>
        </x15:connection>
      </ext>
    </extLst>
  </connection>
  <connection id="5" xr16:uid="{A8184512-3930-480F-92BF-481CC4056AEF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<sst xmlns="http://schemas.openxmlformats.org/spreadsheetml/2006/main" count="22280" uniqueCount="2479">
  <si>
    <t>Data</t>
  </si>
  <si>
    <t>D</t>
  </si>
  <si>
    <t>L</t>
  </si>
  <si>
    <t>P</t>
  </si>
  <si>
    <t>Ora</t>
  </si>
  <si>
    <t>Squadra</t>
  </si>
  <si>
    <t>V</t>
  </si>
  <si>
    <t>S</t>
  </si>
  <si>
    <t>GF</t>
  </si>
  <si>
    <t>GS</t>
  </si>
  <si>
    <t>Punti</t>
  </si>
  <si>
    <t>Pos.</t>
  </si>
  <si>
    <t>Forma1</t>
  </si>
  <si>
    <t>Forma2</t>
  </si>
  <si>
    <t>Forma3</t>
  </si>
  <si>
    <t>Forma4</t>
  </si>
  <si>
    <t>Forma5</t>
  </si>
  <si>
    <t>Campionato</t>
  </si>
  <si>
    <t>Wk</t>
  </si>
  <si>
    <t>Day</t>
  </si>
  <si>
    <t>Date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</si>
  <si>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</si>
  <si>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</si>
  <si>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</si>
  <si>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</si>
  <si>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</si>
  <si>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</si>
  <si>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</si>
  <si>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</si>
  <si>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</si>
  <si>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Allsvenskan</t>
  </si>
  <si>
    <t>Austria Bundesliga</t>
  </si>
  <si>
    <t>Champions League</t>
  </si>
  <si>
    <t>Chinese Super League</t>
  </si>
  <si>
    <t>Danish Superliga</t>
  </si>
  <si>
    <t>Eliteserien</t>
  </si>
  <si>
    <t>Europa League</t>
  </si>
  <si>
    <t>Ireland Premier Division</t>
  </si>
  <si>
    <t>J1 League</t>
  </si>
  <si>
    <t>K League 1</t>
  </si>
  <si>
    <t>Veikkausliiga</t>
  </si>
  <si>
    <t>24</t>
  </si>
  <si>
    <t>Sun</t>
  </si>
  <si>
    <t>2026-10-18</t>
  </si>
  <si>
    <t>Degerfors</t>
  </si>
  <si>
    <t>Kalmar</t>
  </si>
  <si>
    <t>Stora Valla</t>
  </si>
  <si>
    <t>Head-to-Head</t>
  </si>
  <si>
    <t>Sirius</t>
  </si>
  <si>
    <t>Elfsborg</t>
  </si>
  <si>
    <t>Studenternas IP</t>
  </si>
  <si>
    <t>Brommapojkarna</t>
  </si>
  <si>
    <t>Djurgården</t>
  </si>
  <si>
    <t>Grimsta IP</t>
  </si>
  <si>
    <t>Västerås</t>
  </si>
  <si>
    <t>Mjällby</t>
  </si>
  <si>
    <t>Hitachi Energy Arena</t>
  </si>
  <si>
    <t>Halmstad</t>
  </si>
  <si>
    <t>Hammarby</t>
  </si>
  <si>
    <t>Örjans Vall</t>
  </si>
  <si>
    <t>Örgryte</t>
  </si>
  <si>
    <t>GAIS</t>
  </si>
  <si>
    <t>Salon Urheilupuisto Stadion</t>
  </si>
  <si>
    <t>AIK Stockholm</t>
  </si>
  <si>
    <t>Göteborg</t>
  </si>
  <si>
    <t>Strawberry Arena</t>
  </si>
  <si>
    <t>Malmö</t>
  </si>
  <si>
    <t>BK Häcken</t>
  </si>
  <si>
    <t>Eleda Stadion</t>
  </si>
  <si>
    <t>25</t>
  </si>
  <si>
    <t>2026-10-25</t>
  </si>
  <si>
    <t>3Arena</t>
  </si>
  <si>
    <t>Borås Arena</t>
  </si>
  <si>
    <t>Bravida Arena</t>
  </si>
  <si>
    <t>Guldfågeln Arena</t>
  </si>
  <si>
    <t>Strandvallen A-Plan</t>
  </si>
  <si>
    <t>27</t>
  </si>
  <si>
    <t>2026-11-01</t>
  </si>
  <si>
    <t>28</t>
  </si>
  <si>
    <t>2026-11-08</t>
  </si>
  <si>
    <t>29</t>
  </si>
  <si>
    <t>2026-11-22</t>
  </si>
  <si>
    <t>30</t>
  </si>
  <si>
    <t>2026-11-29</t>
  </si>
  <si>
    <t>8</t>
  </si>
  <si>
    <t>2026-09-13</t>
  </si>
  <si>
    <t>FC Copenhagen</t>
  </si>
  <si>
    <t>Horsens</t>
  </si>
  <si>
    <t>Parken</t>
  </si>
  <si>
    <t>Midtjylland</t>
  </si>
  <si>
    <t>Brøndby</t>
  </si>
  <si>
    <t>MCH Arena</t>
  </si>
  <si>
    <t>Nordsjælland</t>
  </si>
  <si>
    <t>AGF</t>
  </si>
  <si>
    <t>Right to Dream Park</t>
  </si>
  <si>
    <t>Lyngby</t>
  </si>
  <si>
    <t>SønderjyskE</t>
  </si>
  <si>
    <t>Lyngby Stadion</t>
  </si>
  <si>
    <t>Silkeborg</t>
  </si>
  <si>
    <t>Viborg</t>
  </si>
  <si>
    <t>JYSK Park</t>
  </si>
  <si>
    <t>Randers</t>
  </si>
  <si>
    <t>Odense</t>
  </si>
  <si>
    <t>Cepheus Park Randers</t>
  </si>
  <si>
    <t>9</t>
  </si>
  <si>
    <t>2026-09-20</t>
  </si>
  <si>
    <t>Nature Energy Park</t>
  </si>
  <si>
    <t>Energi Viborg Arena</t>
  </si>
  <si>
    <t>Brøndby Stadion</t>
  </si>
  <si>
    <t>Nordstern Arena Horsens</t>
  </si>
  <si>
    <t>Sydbank Park</t>
  </si>
  <si>
    <t>10</t>
  </si>
  <si>
    <t>2026-10-11</t>
  </si>
  <si>
    <t>Ceres Park</t>
  </si>
  <si>
    <t>11</t>
  </si>
  <si>
    <t>12</t>
  </si>
  <si>
    <t>13</t>
  </si>
  <si>
    <t>14</t>
  </si>
  <si>
    <t>15</t>
  </si>
  <si>
    <t>16</t>
  </si>
  <si>
    <t>17</t>
  </si>
  <si>
    <t>2026-12-06</t>
  </si>
  <si>
    <t>18</t>
  </si>
  <si>
    <t>2027-02-21</t>
  </si>
  <si>
    <t>19</t>
  </si>
  <si>
    <t>2027-02-28</t>
  </si>
  <si>
    <t>20</t>
  </si>
  <si>
    <t>2027-03-07</t>
  </si>
  <si>
    <t>21</t>
  </si>
  <si>
    <t>2027-03-14</t>
  </si>
  <si>
    <t>22</t>
  </si>
  <si>
    <t>2027-03-21</t>
  </si>
  <si>
    <t>6</t>
  </si>
  <si>
    <t>Sat</t>
  </si>
  <si>
    <t>2026-09-12</t>
  </si>
  <si>
    <t>WSG Tirol</t>
  </si>
  <si>
    <t>Hartberg</t>
  </si>
  <si>
    <t>Tivoli Stadion Tirol</t>
  </si>
  <si>
    <t>Rheindorf Altach</t>
  </si>
  <si>
    <t>Grazer AK</t>
  </si>
  <si>
    <t>CASHPOINT Arena</t>
  </si>
  <si>
    <t>Sturm Graz</t>
  </si>
  <si>
    <t>LASK</t>
  </si>
  <si>
    <t>Merkur Arena</t>
  </si>
  <si>
    <t>Ried</t>
  </si>
  <si>
    <t>RB Salzburg</t>
  </si>
  <si>
    <t>Innviertel Arena</t>
  </si>
  <si>
    <t>RZ Pellets WAC</t>
  </si>
  <si>
    <t>Rapid Wien</t>
  </si>
  <si>
    <t>Lavanttal-Arena</t>
  </si>
  <si>
    <t>Austria Wien</t>
  </si>
  <si>
    <t>Austria Lustenau</t>
  </si>
  <si>
    <t>Generali Arena</t>
  </si>
  <si>
    <t>7</t>
  </si>
  <si>
    <t>2026-09-19</t>
  </si>
  <si>
    <t>Red Bull Arena</t>
  </si>
  <si>
    <t>Sun Minimeal Arena</t>
  </si>
  <si>
    <t>Allianz Stadion</t>
  </si>
  <si>
    <t>PROfertil ARENA</t>
  </si>
  <si>
    <t>2026-10-10</t>
  </si>
  <si>
    <t>Raiffeisen Arena</t>
  </si>
  <si>
    <t>2026-10-17</t>
  </si>
  <si>
    <t>2026-10-24</t>
  </si>
  <si>
    <t>2026-10-31</t>
  </si>
  <si>
    <t>2026-11-21</t>
  </si>
  <si>
    <t>2026-11-28</t>
  </si>
  <si>
    <t>2026-12-05</t>
  </si>
  <si>
    <t>2026-12-12</t>
  </si>
  <si>
    <t>2027-01-23</t>
  </si>
  <si>
    <t>2027-01-30</t>
  </si>
  <si>
    <t>2027-02-06</t>
  </si>
  <si>
    <t>2027-02-13</t>
  </si>
  <si>
    <t>2027-02-20</t>
  </si>
  <si>
    <t>2027-02-27</t>
  </si>
  <si>
    <t>Fri</t>
  </si>
  <si>
    <t>2026-11-06</t>
  </si>
  <si>
    <t>26</t>
  </si>
  <si>
    <t>Wed</t>
  </si>
  <si>
    <t>2026-10-28</t>
  </si>
  <si>
    <t>Mon</t>
  </si>
  <si>
    <t>2026-07-20</t>
  </si>
  <si>
    <t>19:00</t>
  </si>
  <si>
    <t>20:00 (19:00)</t>
  </si>
  <si>
    <t>2026-07-27</t>
  </si>
  <si>
    <t>2026-08-03</t>
  </si>
  <si>
    <t>2026-08-10</t>
  </si>
  <si>
    <t>2026-08-17</t>
  </si>
  <si>
    <t>2026-08-24</t>
  </si>
  <si>
    <t>2026-08-31</t>
  </si>
  <si>
    <t>Thu</t>
  </si>
  <si>
    <t>2026-09-03</t>
  </si>
  <si>
    <t>2026-09-07</t>
  </si>
  <si>
    <t>2026-09-14</t>
  </si>
  <si>
    <t>2026-09-16</t>
  </si>
  <si>
    <t>23</t>
  </si>
  <si>
    <t>2026-10-12</t>
  </si>
  <si>
    <t>1</t>
  </si>
  <si>
    <t>2</t>
  </si>
  <si>
    <t>3</t>
  </si>
  <si>
    <t>4</t>
  </si>
  <si>
    <t>5</t>
  </si>
  <si>
    <t>2026-09-02</t>
  </si>
  <si>
    <t>20:00</t>
  </si>
  <si>
    <t>2026-07-22</t>
  </si>
  <si>
    <t>Bodø/Glimt</t>
  </si>
  <si>
    <t>HamKam</t>
  </si>
  <si>
    <t>Aspmyra Stadion</t>
  </si>
  <si>
    <t>Lillestrøm</t>
  </si>
  <si>
    <t>Viking</t>
  </si>
  <si>
    <t>Åråsen Stadion</t>
  </si>
  <si>
    <t>Rosenborg</t>
  </si>
  <si>
    <t>Fredrikstad</t>
  </si>
  <si>
    <t>Lerkendal Stadion</t>
  </si>
  <si>
    <t>Sarpsborg 08</t>
  </si>
  <si>
    <t>Vålerenga</t>
  </si>
  <si>
    <t>Sarpsborg Stadion</t>
  </si>
  <si>
    <t>Tue</t>
  </si>
  <si>
    <t>2026-07-21</t>
  </si>
  <si>
    <t>19:30 (12:30)</t>
  </si>
  <si>
    <t>Jeju United</t>
  </si>
  <si>
    <t>Gangwon FC</t>
  </si>
  <si>
    <t>Jeju World Cup Stadium</t>
  </si>
  <si>
    <t>Ulsan HD</t>
  </si>
  <si>
    <t>Incheon United</t>
  </si>
  <si>
    <t>Munsu Cup Stadium</t>
  </si>
  <si>
    <t>Jeonbuk</t>
  </si>
  <si>
    <t>Daejeon Hana</t>
  </si>
  <si>
    <t>Jeonju World Cup Stadium</t>
  </si>
  <si>
    <t>FC Seoul</t>
  </si>
  <si>
    <t>Pohang Steelers</t>
  </si>
  <si>
    <t>Seoul World Cup Stadium</t>
  </si>
  <si>
    <t>Gwangju FC</t>
  </si>
  <si>
    <t>Sangmu</t>
  </si>
  <si>
    <t>Guus Hiddink Stadium</t>
  </si>
  <si>
    <t>Bucheon FC</t>
  </si>
  <si>
    <t>FC Anyang</t>
  </si>
  <si>
    <t>Bucheon Stadium</t>
  </si>
  <si>
    <t>2026-08-25</t>
  </si>
  <si>
    <t>Gimcheon Stadium</t>
  </si>
  <si>
    <t>2026-08-26</t>
  </si>
  <si>
    <t>Gangneung Stadium</t>
  </si>
  <si>
    <t>Daejeon World Cup Stadium</t>
  </si>
  <si>
    <t>Anyang Stadium</t>
  </si>
  <si>
    <t>2026-09-08</t>
  </si>
  <si>
    <t>Sungui Arena Park</t>
  </si>
  <si>
    <t>2026-09-09</t>
  </si>
  <si>
    <t>Pohang Steelyard</t>
  </si>
  <si>
    <t>18:00 (17:00)</t>
  </si>
  <si>
    <t>TPS</t>
  </si>
  <si>
    <t>Ilves</t>
  </si>
  <si>
    <t>Veritas Stadion</t>
  </si>
  <si>
    <t>19:00 (18:00)</t>
  </si>
  <si>
    <t>IFK Mariehamn</t>
  </si>
  <si>
    <t>Lahti</t>
  </si>
  <si>
    <t>Wiklöf Holding Arena</t>
  </si>
  <si>
    <t>SJK</t>
  </si>
  <si>
    <t>HJK Helsinki</t>
  </si>
  <si>
    <t>OmaSP Stadion</t>
  </si>
  <si>
    <t>IF Gnistan</t>
  </si>
  <si>
    <t>Mustapekka Areena</t>
  </si>
  <si>
    <t>Inter Turku</t>
  </si>
  <si>
    <t>KuPS</t>
  </si>
  <si>
    <t>Tammelan Stadion</t>
  </si>
  <si>
    <t>VPS</t>
  </si>
  <si>
    <t>Lemonsoft Stadion</t>
  </si>
  <si>
    <t>FF Jaro</t>
  </si>
  <si>
    <t>AC Oulu</t>
  </si>
  <si>
    <t>Raatin Stadion</t>
  </si>
  <si>
    <t>2026-07-24</t>
  </si>
  <si>
    <t>2026-08-14</t>
  </si>
  <si>
    <t>2026-08-21</t>
  </si>
  <si>
    <t>2026-09-11</t>
  </si>
  <si>
    <t>2026-10-09</t>
  </si>
  <si>
    <t>2026-07-31</t>
  </si>
  <si>
    <t>19:30</t>
  </si>
  <si>
    <t>2026-08-07</t>
  </si>
  <si>
    <t>2026-08-28</t>
  </si>
  <si>
    <t>19:35 (13:35)</t>
  </si>
  <si>
    <t>Henan</t>
  </si>
  <si>
    <t>Dalian Yingbo</t>
  </si>
  <si>
    <t>Zhengzhou Hanghai Stadium</t>
  </si>
  <si>
    <t>Beijing Guoan</t>
  </si>
  <si>
    <t>SZ Peng City</t>
  </si>
  <si>
    <t>Workers' Stadium</t>
  </si>
  <si>
    <t>SD Taishan</t>
  </si>
  <si>
    <t>Qingdao Hainiu</t>
  </si>
  <si>
    <t>Jinan Olympic Sports Center Stadium</t>
  </si>
  <si>
    <t>Wuhan 3 Towns</t>
  </si>
  <si>
    <t>Shanghai Port</t>
  </si>
  <si>
    <t>Wuhan Sports Center Stadium</t>
  </si>
  <si>
    <t>20:00 (14:00)</t>
  </si>
  <si>
    <t>Q. West Coast</t>
  </si>
  <si>
    <t>Chongqing</t>
  </si>
  <si>
    <t>Qingdao West Coast University City Stadi...</t>
  </si>
  <si>
    <t>Dalian Suoyuwan Football Stadium</t>
  </si>
  <si>
    <t>Shenzhen Sports Center Stadium</t>
  </si>
  <si>
    <t>Zhejiang</t>
  </si>
  <si>
    <t>Yellow Dragon Sports Center</t>
  </si>
  <si>
    <t>2026-10-16</t>
  </si>
  <si>
    <t>Jinmen Tiger</t>
  </si>
  <si>
    <t>2026-09-04</t>
  </si>
  <si>
    <t>Intility Arena</t>
  </si>
  <si>
    <t>21:00</t>
  </si>
  <si>
    <t>Sandefjord</t>
  </si>
  <si>
    <t>KFUM Oslo</t>
  </si>
  <si>
    <t>Jotun Arena</t>
  </si>
  <si>
    <t>Aalesund</t>
  </si>
  <si>
    <t>Start</t>
  </si>
  <si>
    <t>Color Line Stadion</t>
  </si>
  <si>
    <t>Nye Fredrikstad Stadion</t>
  </si>
  <si>
    <t>2026-09-18</t>
  </si>
  <si>
    <t>20:00 (21:00)</t>
  </si>
  <si>
    <t>St Patrick's</t>
  </si>
  <si>
    <t>Dundalk FC</t>
  </si>
  <si>
    <t>Richmond Park</t>
  </si>
  <si>
    <t>19:45 (20:45)</t>
  </si>
  <si>
    <t>Sligo Rovers</t>
  </si>
  <si>
    <t>Oriel Park</t>
  </si>
  <si>
    <t>Drogheda United</t>
  </si>
  <si>
    <t>Shamrock</t>
  </si>
  <si>
    <t>Sullivan and Lambe Park</t>
  </si>
  <si>
    <t>Waterford United</t>
  </si>
  <si>
    <t>Bohemian FC</t>
  </si>
  <si>
    <t>Waterford Regional Sports Centre</t>
  </si>
  <si>
    <t>Derry City</t>
  </si>
  <si>
    <t>The Ryan McBride Brandywell Stadium</t>
  </si>
  <si>
    <t>Galway United</t>
  </si>
  <si>
    <t>Deacy Park</t>
  </si>
  <si>
    <t>Shelbourne FC</t>
  </si>
  <si>
    <t>Tolka Park</t>
  </si>
  <si>
    <t>Tallaght Stadium</t>
  </si>
  <si>
    <t>Dalymount Park</t>
  </si>
  <si>
    <t>31</t>
  </si>
  <si>
    <t>32</t>
  </si>
  <si>
    <t>2026-09-25</t>
  </si>
  <si>
    <t>33</t>
  </si>
  <si>
    <t>34</t>
  </si>
  <si>
    <t>35</t>
  </si>
  <si>
    <t>2026-10-23</t>
  </si>
  <si>
    <t>36</t>
  </si>
  <si>
    <t>2026-10-30</t>
  </si>
  <si>
    <t>The Showgrounds</t>
  </si>
  <si>
    <t>14:00 (07:00)</t>
  </si>
  <si>
    <t>16:30 (09:30)</t>
  </si>
  <si>
    <t>Länsikenttä TN</t>
  </si>
  <si>
    <t>2026-07-25</t>
  </si>
  <si>
    <t>15:00</t>
  </si>
  <si>
    <t>17:30</t>
  </si>
  <si>
    <t>2026-08-01</t>
  </si>
  <si>
    <t>2026-08-08</t>
  </si>
  <si>
    <t>16:00 (15:00)</t>
  </si>
  <si>
    <t>2026-08-15</t>
  </si>
  <si>
    <t>2026-08-22</t>
  </si>
  <si>
    <t>2026-08-29</t>
  </si>
  <si>
    <t>2026-09-05</t>
  </si>
  <si>
    <t>Stora Valla B-plan</t>
  </si>
  <si>
    <t>18:30 (17:30)</t>
  </si>
  <si>
    <t>17:00</t>
  </si>
  <si>
    <t>17:30 (11:30)</t>
  </si>
  <si>
    <t>Qingdao Youth Football Stadium</t>
  </si>
  <si>
    <t>Shanghai Shen</t>
  </si>
  <si>
    <t>SAIC Motor Pudong Arena</t>
  </si>
  <si>
    <t>Shenyang Urban</t>
  </si>
  <si>
    <t>Tiexi Stadium</t>
  </si>
  <si>
    <t>19:00 (13:00)</t>
  </si>
  <si>
    <t>Yunnan Yukun</t>
  </si>
  <si>
    <t>TEDA Football Stadium</t>
  </si>
  <si>
    <t>Rongcheng</t>
  </si>
  <si>
    <t>Chengdu Phoenix Hill Stadium</t>
  </si>
  <si>
    <t>Yuxi Highland Sports Center Stadium</t>
  </si>
  <si>
    <t>Tianjin Olympic Center Stadium</t>
  </si>
  <si>
    <t>Shanghai Stadium</t>
  </si>
  <si>
    <t>17:00 (11:00)</t>
  </si>
  <si>
    <t>15:30 (09:30)</t>
  </si>
  <si>
    <t>Tongliang Long Stadium</t>
  </si>
  <si>
    <t>18:00</t>
  </si>
  <si>
    <t>16:00</t>
  </si>
  <si>
    <t>Kristiansund</t>
  </si>
  <si>
    <t>Nordmøre Stadion</t>
  </si>
  <si>
    <t>Sparebanken Sør Arena</t>
  </si>
  <si>
    <t>14:00</t>
  </si>
  <si>
    <t>Lyse Arena</t>
  </si>
  <si>
    <t>KFUM Arena</t>
  </si>
  <si>
    <t>Molde</t>
  </si>
  <si>
    <t>Brann</t>
  </si>
  <si>
    <t>Brann Stadion</t>
  </si>
  <si>
    <t>Tromsø</t>
  </si>
  <si>
    <t>Aker Stadion</t>
  </si>
  <si>
    <t>17:00 (18:00)</t>
  </si>
  <si>
    <t>Páirc an Phiarsaigh</t>
  </si>
  <si>
    <t>19:00 (12:00)</t>
  </si>
  <si>
    <t>16:30 (15:30)</t>
  </si>
  <si>
    <t>17:00 (16:00)</t>
  </si>
  <si>
    <t>Väre Areena</t>
  </si>
  <si>
    <t>15:00 (14:00)</t>
  </si>
  <si>
    <t>Lahden Stadion</t>
  </si>
  <si>
    <t>14:00 (13:00)</t>
  </si>
  <si>
    <t>2026-07-19</t>
  </si>
  <si>
    <t>16:30</t>
  </si>
  <si>
    <t>2026-07-26</t>
  </si>
  <si>
    <t>17:30 (16:30)</t>
  </si>
  <si>
    <t>2026-08-02</t>
  </si>
  <si>
    <t>2026-08-09</t>
  </si>
  <si>
    <t>2026-08-16</t>
  </si>
  <si>
    <t>2026-08-23</t>
  </si>
  <si>
    <t>2026-08-30</t>
  </si>
  <si>
    <t>2026-09-06</t>
  </si>
  <si>
    <t>18:00 (12:00)</t>
  </si>
  <si>
    <t>Chongqing Longxing Football Stadium</t>
  </si>
  <si>
    <t>15:30 (08:30)</t>
  </si>
  <si>
    <t>12:00</t>
  </si>
  <si>
    <t>14:30</t>
  </si>
  <si>
    <t>19:15</t>
  </si>
  <si>
    <t>15:00 (16:00)</t>
  </si>
  <si>
    <t>19:00 (20:00)</t>
  </si>
  <si>
    <t>2026-09-27</t>
  </si>
  <si>
    <t>Bolt Arena</t>
  </si>
  <si>
    <t>Briskeby Arena</t>
  </si>
  <si>
    <t>Romssa Arena</t>
  </si>
  <si>
    <t>2026-12-13</t>
  </si>
  <si>
    <t>Mjällby se</t>
  </si>
  <si>
    <t>gi Lincoln FC</t>
  </si>
  <si>
    <t>19:00 (21:00)</t>
  </si>
  <si>
    <t>KV is</t>
  </si>
  <si>
    <t>il H. Be'er Sheva</t>
  </si>
  <si>
    <t>Víkingsvöllur</t>
  </si>
  <si>
    <t>AGF dk</t>
  </si>
  <si>
    <t>pl Lech Poznań</t>
  </si>
  <si>
    <t>KÍ Klaksvík fo</t>
  </si>
  <si>
    <t>lt Kauno Žalgiris</t>
  </si>
  <si>
    <t>Við Djúpumýrar</t>
  </si>
  <si>
    <t>20:00 (18:00)</t>
  </si>
  <si>
    <t>Sabah FK az</t>
  </si>
  <si>
    <t>fi KuPS</t>
  </si>
  <si>
    <t>Bank Respublika Arena</t>
  </si>
  <si>
    <t>Iberia 1999 ge</t>
  </si>
  <si>
    <t>sk Slovan Bratislava</t>
  </si>
  <si>
    <t>Mikheil Meskhis Sakhelobis Stadioni</t>
  </si>
  <si>
    <t>Ararat-Armenia am</t>
  </si>
  <si>
    <t>ie Shamrock</t>
  </si>
  <si>
    <t>Vazgen Sargsyan anvan Hanrapetakan Marza...</t>
  </si>
  <si>
    <t>Larne FC nir</t>
  </si>
  <si>
    <t>rs Red Star</t>
  </si>
  <si>
    <t>Inver Park</t>
  </si>
  <si>
    <t>Thun ch</t>
  </si>
  <si>
    <t>hr Dinamo Zagreb</t>
  </si>
  <si>
    <t>Stockhorn Arena</t>
  </si>
  <si>
    <t>20:30</t>
  </si>
  <si>
    <t>Sturm Graz at</t>
  </si>
  <si>
    <t>sct Hearts</t>
  </si>
  <si>
    <t>21:00 (20:00)</t>
  </si>
  <si>
    <t>Fenerbahçe tr</t>
  </si>
  <si>
    <t>pl Górnik Zabrze</t>
  </si>
  <si>
    <t>Ülker Stadyumu Fenerbahçe Şükrü Saracoğl...</t>
  </si>
  <si>
    <t>AC Omonia cy</t>
  </si>
  <si>
    <t>kz FC Kairat</t>
  </si>
  <si>
    <t>Neo GSP</t>
  </si>
  <si>
    <t>20:30 (19:30)</t>
  </si>
  <si>
    <t>Levski Sofia bg</t>
  </si>
  <si>
    <t>ro CS U Craiova</t>
  </si>
  <si>
    <t>Stadion Georgi Asparuhov</t>
  </si>
  <si>
    <t>FK Egnatia al</t>
  </si>
  <si>
    <t>si NK Celje</t>
  </si>
  <si>
    <t>Egnatia Arena</t>
  </si>
  <si>
    <t>2026-07-28</t>
  </si>
  <si>
    <t>Lincoln FC gi</t>
  </si>
  <si>
    <t>se Mjällby</t>
  </si>
  <si>
    <t>Europa Point Stadium</t>
  </si>
  <si>
    <t>KuPS fi</t>
  </si>
  <si>
    <t>az Sabah FK</t>
  </si>
  <si>
    <t>Hearts sct</t>
  </si>
  <si>
    <t>at Sturm Graz</t>
  </si>
  <si>
    <t>Tynecastle Park</t>
  </si>
  <si>
    <t>Dinamo Zagreb hr</t>
  </si>
  <si>
    <t>ch Thun</t>
  </si>
  <si>
    <t>Stadion Maksimir</t>
  </si>
  <si>
    <t>Shamrock ie</t>
  </si>
  <si>
    <t>am Ararat-Armenia</t>
  </si>
  <si>
    <t>20:15</t>
  </si>
  <si>
    <t>NK Celje si</t>
  </si>
  <si>
    <t>al FK Egnatia</t>
  </si>
  <si>
    <t>Stadion Z'dežele</t>
  </si>
  <si>
    <t>2026-07-29</t>
  </si>
  <si>
    <t>Kauno Žalgiris lt</t>
  </si>
  <si>
    <t>fo KÍ Klaksvík</t>
  </si>
  <si>
    <t>S. Dariaus ir S. Girėno stadionas</t>
  </si>
  <si>
    <t>Lech Poznań pl</t>
  </si>
  <si>
    <t>dk AGF</t>
  </si>
  <si>
    <t>ENEA Stadion</t>
  </si>
  <si>
    <t>Red Star rs</t>
  </si>
  <si>
    <t>nir Larne FC</t>
  </si>
  <si>
    <t>Stadion Rajko Mitić</t>
  </si>
  <si>
    <t>20:00 (17:00)</t>
  </si>
  <si>
    <t>FC Kairat kz</t>
  </si>
  <si>
    <t>cy AC Omonia</t>
  </si>
  <si>
    <t>Ortalıq Stadion</t>
  </si>
  <si>
    <t>Górnik Zabrze pl</t>
  </si>
  <si>
    <t>tr Fenerbahçe</t>
  </si>
  <si>
    <t>Stadion im. Ernesta Pohla</t>
  </si>
  <si>
    <t>Slovan Bratislava sk</t>
  </si>
  <si>
    <t>ge Iberia 1999</t>
  </si>
  <si>
    <t>Štadión Tehelné pole</t>
  </si>
  <si>
    <t>H. Be'er Sheva il</t>
  </si>
  <si>
    <t>is KV</t>
  </si>
  <si>
    <t>Haladás Stadion</t>
  </si>
  <si>
    <t>CS U Craiova ro</t>
  </si>
  <si>
    <t>bg Levski Sofia</t>
  </si>
  <si>
    <t>Stadionul Ion Oblemenco</t>
  </si>
  <si>
    <t>2026-07-11</t>
  </si>
  <si>
    <t>2026-07-12</t>
  </si>
  <si>
    <t>2026-07-23</t>
  </si>
  <si>
    <t>Tromsø no</t>
  </si>
  <si>
    <t>cz Hradec Králové</t>
  </si>
  <si>
    <t>Dynamo Kyiv ua</t>
  </si>
  <si>
    <t>gr PAOK</t>
  </si>
  <si>
    <t>Motor Lublin Arena</t>
  </si>
  <si>
    <t>Hammarby se</t>
  </si>
  <si>
    <t>be Anderlecht</t>
  </si>
  <si>
    <t>Qarabağ az</t>
  </si>
  <si>
    <t>bg CSKA Sofia</t>
  </si>
  <si>
    <t>Tofiq Bəhramov adına Respublika stadionu</t>
  </si>
  <si>
    <t>St. Gallen ch</t>
  </si>
  <si>
    <t>pt Benfica</t>
  </si>
  <si>
    <t>Kybunpark</t>
  </si>
  <si>
    <t>Twente nl</t>
  </si>
  <si>
    <t>hu Ferencváros</t>
  </si>
  <si>
    <t>De Grolsch Veste</t>
  </si>
  <si>
    <t>Sheriff Tiraspol md</t>
  </si>
  <si>
    <t>il Maccabi Tel Aviv</t>
  </si>
  <si>
    <t>Bolshaya Sportivnaya Arena</t>
  </si>
  <si>
    <t>Hajduk Split hr</t>
  </si>
  <si>
    <t>cy Pafos FC</t>
  </si>
  <si>
    <t>Gradski stadion u Poljudu</t>
  </si>
  <si>
    <t>Beşiktaş tr</t>
  </si>
  <si>
    <t>dk Midtjylland</t>
  </si>
  <si>
    <t>Tüpraş Stadyumu</t>
  </si>
  <si>
    <t>2026-07-30</t>
  </si>
  <si>
    <t>Midtjylland dk</t>
  </si>
  <si>
    <t>tr Beşiktaş</t>
  </si>
  <si>
    <t>Hradec Králové cz</t>
  </si>
  <si>
    <t>no Tromsø</t>
  </si>
  <si>
    <t>Malšovická Aréna</t>
  </si>
  <si>
    <t>Maccabi Tel Aviv il</t>
  </si>
  <si>
    <t>md Sheriff Tiraspol</t>
  </si>
  <si>
    <t>Adjarabet Arena</t>
  </si>
  <si>
    <t>Benfica pt</t>
  </si>
  <si>
    <t>ch St. Gallen</t>
  </si>
  <si>
    <t>Estádio do Sport Lisboa e Benfica</t>
  </si>
  <si>
    <t>Pafos FC cy</t>
  </si>
  <si>
    <t>hr Hajduk Split</t>
  </si>
  <si>
    <t>Alphamega Stadium</t>
  </si>
  <si>
    <t>Anderlecht be</t>
  </si>
  <si>
    <t>se Hammarby</t>
  </si>
  <si>
    <t>Lotto Park</t>
  </si>
  <si>
    <t>Ferencváros hu</t>
  </si>
  <si>
    <t>nl Twente</t>
  </si>
  <si>
    <t>Groupama Arena</t>
  </si>
  <si>
    <t>20:45 (19:45)</t>
  </si>
  <si>
    <t>PAOK gr</t>
  </si>
  <si>
    <t>ua Dynamo Kyiv</t>
  </si>
  <si>
    <t>Stadio Toumbas</t>
  </si>
  <si>
    <t>CSKA Sofia bg</t>
  </si>
  <si>
    <t>az Qarabağ</t>
  </si>
  <si>
    <t>Stadion Vasil Levski</t>
  </si>
  <si>
    <t>2026-05-19</t>
  </si>
  <si>
    <t>2–3</t>
  </si>
  <si>
    <t>Glenn Nyberg</t>
  </si>
  <si>
    <t>2026-07-18</t>
  </si>
  <si>
    <t>0–2</t>
  </si>
  <si>
    <t>Li Haixin</t>
  </si>
  <si>
    <t>3–1</t>
  </si>
  <si>
    <t>Meng Xiangkun</t>
  </si>
  <si>
    <t>2026-03-15</t>
  </si>
  <si>
    <t>2–0</t>
  </si>
  <si>
    <t>Christian Moen</t>
  </si>
  <si>
    <t>1–0</t>
  </si>
  <si>
    <t>Rohit Saggi</t>
  </si>
  <si>
    <t>1–3</t>
  </si>
  <si>
    <t>Espen Eskås</t>
  </si>
  <si>
    <t>2–1</t>
  </si>
  <si>
    <t>Ola Nilsen</t>
  </si>
  <si>
    <t>1–2</t>
  </si>
  <si>
    <t>Marius Lien</t>
  </si>
  <si>
    <t>2026-02-14</t>
  </si>
  <si>
    <t>0–4</t>
  </si>
  <si>
    <t>Alan Patchell</t>
  </si>
  <si>
    <t>2026-03-07</t>
  </si>
  <si>
    <t>Oliver Moran</t>
  </si>
  <si>
    <t>2026-04-10</t>
  </si>
  <si>
    <t>Neil Doyle</t>
  </si>
  <si>
    <t>0–1</t>
  </si>
  <si>
    <t>Robert Harvey</t>
  </si>
  <si>
    <t>2026-05-01</t>
  </si>
  <si>
    <t>Paul Norton</t>
  </si>
  <si>
    <t>Joni Hyytiä</t>
  </si>
  <si>
    <t>Amir Hajizadeh</t>
  </si>
  <si>
    <t>Antti Munukka</t>
  </si>
  <si>
    <t>2026-07-07</t>
  </si>
  <si>
    <t>ad Inter d'Escaldes</t>
  </si>
  <si>
    <t>721</t>
  </si>
  <si>
    <t>João António Gonçalves</t>
  </si>
  <si>
    <t>hu Győr</t>
  </si>
  <si>
    <t>1108</t>
  </si>
  <si>
    <t>Romain Lissorgue</t>
  </si>
  <si>
    <t>FK Vardar mk</t>
  </si>
  <si>
    <t>3512</t>
  </si>
  <si>
    <t>Nationala Arena Toše Proeski</t>
  </si>
  <si>
    <t>Kadir Sağlam</t>
  </si>
  <si>
    <t>1–1</t>
  </si>
  <si>
    <t>xk KF Drita</t>
  </si>
  <si>
    <t>4484</t>
  </si>
  <si>
    <t>Ívar Orri Kristjánsson</t>
  </si>
  <si>
    <t>Floriana FC mt</t>
  </si>
  <si>
    <t>1215</t>
  </si>
  <si>
    <t>MFA Centenary Stadium</t>
  </si>
  <si>
    <t>Benjamin Brand</t>
  </si>
  <si>
    <t>lu FC Atert Bissen</t>
  </si>
  <si>
    <t>1095</t>
  </si>
  <si>
    <t>Dominik Starý</t>
  </si>
  <si>
    <t>wls The New Saints</t>
  </si>
  <si>
    <t>7000</t>
  </si>
  <si>
    <t>Patryk Gryckiewicz</t>
  </si>
  <si>
    <t>lv Rīga FC</t>
  </si>
  <si>
    <t>2300</t>
  </si>
  <si>
    <t>Vahagn Tumasyan Stadium</t>
  </si>
  <si>
    <t>Klym Zabroda</t>
  </si>
  <si>
    <t>Tre Fiori sm</t>
  </si>
  <si>
    <t>672</t>
  </si>
  <si>
    <t>San Marino Stadium</t>
  </si>
  <si>
    <t>Artem Gasparyan</t>
  </si>
  <si>
    <t>B. Banja Luka ba</t>
  </si>
  <si>
    <t>10102</t>
  </si>
  <si>
    <t>Gradski Stadion</t>
  </si>
  <si>
    <t>Mehmet Türkmen</t>
  </si>
  <si>
    <t>2026-07-08</t>
  </si>
  <si>
    <t>FC Flora ee</t>
  </si>
  <si>
    <t>2017</t>
  </si>
  <si>
    <t>A. Le Coq Arena</t>
  </si>
  <si>
    <t>Sandi Putros</t>
  </si>
  <si>
    <t>ML Vitebsk by</t>
  </si>
  <si>
    <t>1–4</t>
  </si>
  <si>
    <t>Városi Stadion</t>
  </si>
  <si>
    <t>Luka Bilbija</t>
  </si>
  <si>
    <t>me Sutjeska Nikšić</t>
  </si>
  <si>
    <t>14356</t>
  </si>
  <si>
    <t>Dmytro Panchyshyn</t>
  </si>
  <si>
    <t>Petrocub md</t>
  </si>
  <si>
    <t>8798</t>
  </si>
  <si>
    <t>Stadionul Zimbru</t>
  </si>
  <si>
    <t>Sayat Karabaev</t>
  </si>
  <si>
    <t>2026-07-14</t>
  </si>
  <si>
    <t>Inter d'Escaldes ad</t>
  </si>
  <si>
    <t>350</t>
  </si>
  <si>
    <t>Estadi Nacional</t>
  </si>
  <si>
    <t>Sven Wolfensberger</t>
  </si>
  <si>
    <t>mk FK Vardar</t>
  </si>
  <si>
    <t>2887</t>
  </si>
  <si>
    <t>Matthew MacDermid</t>
  </si>
  <si>
    <t>18:30 (19:30)</t>
  </si>
  <si>
    <t>The New Saints wls</t>
  </si>
  <si>
    <t>1179</t>
  </si>
  <si>
    <t>Park Hall Stadium</t>
  </si>
  <si>
    <t>Mateo Busquets</t>
  </si>
  <si>
    <t>Győr hu</t>
  </si>
  <si>
    <t>2–2</t>
  </si>
  <si>
    <t>6138</t>
  </si>
  <si>
    <t>ETO Park</t>
  </si>
  <si>
    <t>Mateo Erceg</t>
  </si>
  <si>
    <t>ee FC Flora</t>
  </si>
  <si>
    <t>4506</t>
  </si>
  <si>
    <t>Florian Lata</t>
  </si>
  <si>
    <t>KF Drita xk</t>
  </si>
  <si>
    <t>2130</t>
  </si>
  <si>
    <t>Stadiumi Fadil Vokrri</t>
  </si>
  <si>
    <t>Oğuzhan Çakir</t>
  </si>
  <si>
    <t>sm Tre Fiori</t>
  </si>
  <si>
    <t>1632</t>
  </si>
  <si>
    <t>Sigurd Smehus Kringstad</t>
  </si>
  <si>
    <t>5–1</t>
  </si>
  <si>
    <t>mt Floriana FC</t>
  </si>
  <si>
    <t>5466</t>
  </si>
  <si>
    <t>Joakim Östling</t>
  </si>
  <si>
    <t>Rīga FC lv</t>
  </si>
  <si>
    <t>3–2</t>
  </si>
  <si>
    <t>4801</t>
  </si>
  <si>
    <t>Stadions Skonto</t>
  </si>
  <si>
    <t>Bence Csonka</t>
  </si>
  <si>
    <t>4–0</t>
  </si>
  <si>
    <t>ba B. Banja Luka</t>
  </si>
  <si>
    <t>17325</t>
  </si>
  <si>
    <t>Andy Madley</t>
  </si>
  <si>
    <t>2026-07-15</t>
  </si>
  <si>
    <t>FC Atert Bissen lu</t>
  </si>
  <si>
    <t>2072</t>
  </si>
  <si>
    <t>Stade de Luxembourg</t>
  </si>
  <si>
    <t>Igor Stojchevski</t>
  </si>
  <si>
    <t>by ML Vitebsk</t>
  </si>
  <si>
    <t>14008</t>
  </si>
  <si>
    <t>Márton Rúsz</t>
  </si>
  <si>
    <t>6–1</t>
  </si>
  <si>
    <t>md Petrocub</t>
  </si>
  <si>
    <t>3250</t>
  </si>
  <si>
    <t>Philip Farrugia</t>
  </si>
  <si>
    <t>Sutjeska Nikšić me</t>
  </si>
  <si>
    <t>2246</t>
  </si>
  <si>
    <t>Stadion Kraj Bistrice</t>
  </si>
  <si>
    <t>Wojciech Myć</t>
  </si>
  <si>
    <t>2026-07-09</t>
  </si>
  <si>
    <t>0–0</t>
  </si>
  <si>
    <t>ro Univ. Cluj</t>
  </si>
  <si>
    <t>1795</t>
  </si>
  <si>
    <t>Joonas Jaanovits</t>
  </si>
  <si>
    <t>sk MŠK Žilina</t>
  </si>
  <si>
    <t>22352</t>
  </si>
  <si>
    <t>Kyriakos Athanasiou</t>
  </si>
  <si>
    <t>Vojvodina rs</t>
  </si>
  <si>
    <t>6557</t>
  </si>
  <si>
    <t>Stadion Karađorđe</t>
  </si>
  <si>
    <t>Mathieu Vernice</t>
  </si>
  <si>
    <t>si Aluminij</t>
  </si>
  <si>
    <t>5634</t>
  </si>
  <si>
    <t>Arnes Talic</t>
  </si>
  <si>
    <t>3–0</t>
  </si>
  <si>
    <t>is ÍF Vestri</t>
  </si>
  <si>
    <t>23549</t>
  </si>
  <si>
    <t>Roman Jitari</t>
  </si>
  <si>
    <t>ie Derry City</t>
  </si>
  <si>
    <t>12713</t>
  </si>
  <si>
    <t>Visar Kastrati</t>
  </si>
  <si>
    <t>2026-07-16</t>
  </si>
  <si>
    <t>Derry City ie</t>
  </si>
  <si>
    <t>4155</t>
  </si>
  <si>
    <t>Jasmin Šabotić</t>
  </si>
  <si>
    <t>Aluminij si</t>
  </si>
  <si>
    <t>2000</t>
  </si>
  <si>
    <t>Ljudski Vrt</t>
  </si>
  <si>
    <t>Anojen Kanagasingam</t>
  </si>
  <si>
    <t>20:00 (22:00)</t>
  </si>
  <si>
    <t>ÍF Vestri is</t>
  </si>
  <si>
    <t>0–3</t>
  </si>
  <si>
    <t>474</t>
  </si>
  <si>
    <t>AVIS Völlurinn</t>
  </si>
  <si>
    <t>Marek Radina</t>
  </si>
  <si>
    <t>rs Vojvodina</t>
  </si>
  <si>
    <t>13901</t>
  </si>
  <si>
    <t>Vitālijs Spasjoņņikovs</t>
  </si>
  <si>
    <t>Univ. Cluj ro</t>
  </si>
  <si>
    <t>(2) 0–0 (4)</t>
  </si>
  <si>
    <t>20043</t>
  </si>
  <si>
    <t>Cluj Arena</t>
  </si>
  <si>
    <t>Iwan Griffith</t>
  </si>
  <si>
    <t>MŠK Žilina sk</t>
  </si>
  <si>
    <t>7823</t>
  </si>
  <si>
    <t>Štadión Pod Dubňom</t>
  </si>
  <si>
    <t>Horațiu Feșnic</t>
  </si>
  <si>
    <t>2026-04-06</t>
  </si>
  <si>
    <t>14344</t>
  </si>
  <si>
    <t>Victor Wolf</t>
  </si>
  <si>
    <t>4104</t>
  </si>
  <si>
    <t>Oscar Johnson</t>
  </si>
  <si>
    <t>17165</t>
  </si>
  <si>
    <t>Mohammed Al Hakim</t>
  </si>
  <si>
    <t>2026-04-13</t>
  </si>
  <si>
    <t>4421</t>
  </si>
  <si>
    <t>10306</t>
  </si>
  <si>
    <t>2026-04-23</t>
  </si>
  <si>
    <t>4896</t>
  </si>
  <si>
    <t>Adam Ladebäck</t>
  </si>
  <si>
    <t>18535</t>
  </si>
  <si>
    <t>Kristoffer Karlsson</t>
  </si>
  <si>
    <t>5449</t>
  </si>
  <si>
    <t>8011</t>
  </si>
  <si>
    <t>2026-04-27</t>
  </si>
  <si>
    <t>4134</t>
  </si>
  <si>
    <t>Erik Mattsson</t>
  </si>
  <si>
    <t>3504</t>
  </si>
  <si>
    <t>30492</t>
  </si>
  <si>
    <t>Granit Maqedonci</t>
  </si>
  <si>
    <t>3573</t>
  </si>
  <si>
    <t>Richard Sundell</t>
  </si>
  <si>
    <t>4928</t>
  </si>
  <si>
    <t>Adi Aganovic</t>
  </si>
  <si>
    <t>2026-05-04</t>
  </si>
  <si>
    <t>3305</t>
  </si>
  <si>
    <t>6–0</t>
  </si>
  <si>
    <t>20415</t>
  </si>
  <si>
    <t>2026-05-11</t>
  </si>
  <si>
    <t>8609</t>
  </si>
  <si>
    <t>2026-05-18</t>
  </si>
  <si>
    <t>23636</t>
  </si>
  <si>
    <t>2026-05-21</t>
  </si>
  <si>
    <t>5818</t>
  </si>
  <si>
    <t>2026-05-25</t>
  </si>
  <si>
    <t>7152</t>
  </si>
  <si>
    <t>Fredrik Klitte</t>
  </si>
  <si>
    <t>16653</t>
  </si>
  <si>
    <t>2026-07-06</t>
  </si>
  <si>
    <t>1347</t>
  </si>
  <si>
    <t>2–4</t>
  </si>
  <si>
    <t>5984</t>
  </si>
  <si>
    <t>2026-07-13</t>
  </si>
  <si>
    <t>20009</t>
  </si>
  <si>
    <t>2026-04-21</t>
  </si>
  <si>
    <t>16133</t>
  </si>
  <si>
    <t>Danao Shan</t>
  </si>
  <si>
    <t>10693</t>
  </si>
  <si>
    <t>Jing Wang</t>
  </si>
  <si>
    <t>41184</t>
  </si>
  <si>
    <t>Yige Dai</t>
  </si>
  <si>
    <t>20929</t>
  </si>
  <si>
    <t>Shuran Gan</t>
  </si>
  <si>
    <t>16636</t>
  </si>
  <si>
    <t>Zhang Lei</t>
  </si>
  <si>
    <t>2026-05-05</t>
  </si>
  <si>
    <t>15325</t>
  </si>
  <si>
    <t>29015</t>
  </si>
  <si>
    <t>Jindong Chen</t>
  </si>
  <si>
    <t>4–1</t>
  </si>
  <si>
    <t>20766</t>
  </si>
  <si>
    <t>55610</t>
  </si>
  <si>
    <t>Jansen Mehmetjan</t>
  </si>
  <si>
    <t>18739</t>
  </si>
  <si>
    <t>Kai He</t>
  </si>
  <si>
    <t>15320</t>
  </si>
  <si>
    <t>Su Zihao</t>
  </si>
  <si>
    <t>10633</t>
  </si>
  <si>
    <t>Shen Yinhao</t>
  </si>
  <si>
    <t>41452</t>
  </si>
  <si>
    <t>21011</t>
  </si>
  <si>
    <t>Mu Yuchen</t>
  </si>
  <si>
    <t>14712</t>
  </si>
  <si>
    <t>Tore Hansen</t>
  </si>
  <si>
    <t>5422</t>
  </si>
  <si>
    <t>Mohammad Aslam</t>
  </si>
  <si>
    <t>5749</t>
  </si>
  <si>
    <t>Svein Tore Sinnes</t>
  </si>
  <si>
    <t>3737</t>
  </si>
  <si>
    <t>1–5</t>
  </si>
  <si>
    <t>5165</t>
  </si>
  <si>
    <t>Stian Røvig Sletner</t>
  </si>
  <si>
    <t>6027</t>
  </si>
  <si>
    <t>2026-04-07</t>
  </si>
  <si>
    <t>1365</t>
  </si>
  <si>
    <t>Marius Grøtta</t>
  </si>
  <si>
    <t>4008</t>
  </si>
  <si>
    <t>Kristoffer Hagenes</t>
  </si>
  <si>
    <t>2026-04-30</t>
  </si>
  <si>
    <t>5–0</t>
  </si>
  <si>
    <t>5441</t>
  </si>
  <si>
    <t>5876</t>
  </si>
  <si>
    <t>9601</t>
  </si>
  <si>
    <t>3199</t>
  </si>
  <si>
    <t>Mischa Kellerhals</t>
  </si>
  <si>
    <t>5621</t>
  </si>
  <si>
    <t>7604</t>
  </si>
  <si>
    <t>5249</t>
  </si>
  <si>
    <t>4018</t>
  </si>
  <si>
    <t>8506</t>
  </si>
  <si>
    <t>Daniel Higraff</t>
  </si>
  <si>
    <t>2026-02-23</t>
  </si>
  <si>
    <t>4352</t>
  </si>
  <si>
    <t>Aaron O'Dowd</t>
  </si>
  <si>
    <t>2026-03-02</t>
  </si>
  <si>
    <t>3809</t>
  </si>
  <si>
    <t>2026-03-09</t>
  </si>
  <si>
    <t>5683</t>
  </si>
  <si>
    <t>Rob Hennessy</t>
  </si>
  <si>
    <t>2026-03-16</t>
  </si>
  <si>
    <t>4502</t>
  </si>
  <si>
    <t>2417</t>
  </si>
  <si>
    <t>D. Toland</t>
  </si>
  <si>
    <t>5650</t>
  </si>
  <si>
    <t>2343</t>
  </si>
  <si>
    <t>4–3</t>
  </si>
  <si>
    <t>1836</t>
  </si>
  <si>
    <t>Kevin O'Sullivan</t>
  </si>
  <si>
    <t>3294</t>
  </si>
  <si>
    <t>4193</t>
  </si>
  <si>
    <t>1616</t>
  </si>
  <si>
    <t>5808</t>
  </si>
  <si>
    <t>2567</t>
  </si>
  <si>
    <t>3–3</t>
  </si>
  <si>
    <t>1667</t>
  </si>
  <si>
    <t>Daniel Murphy</t>
  </si>
  <si>
    <t>4324</t>
  </si>
  <si>
    <t>Find Insurance Celtic Park</t>
  </si>
  <si>
    <t>4015</t>
  </si>
  <si>
    <t>3163</t>
  </si>
  <si>
    <t>Marc Lynch</t>
  </si>
  <si>
    <t>4011</t>
  </si>
  <si>
    <t>1322</t>
  </si>
  <si>
    <t>2850</t>
  </si>
  <si>
    <t>4422</t>
  </si>
  <si>
    <t>2026-06-22</t>
  </si>
  <si>
    <t>5329</t>
  </si>
  <si>
    <t>3726</t>
  </si>
  <si>
    <t>2025-04-29</t>
  </si>
  <si>
    <t>13:05 (06:05)</t>
  </si>
  <si>
    <t>FC Tokyo</t>
  </si>
  <si>
    <t>Shimizu S-Pulse</t>
  </si>
  <si>
    <t>33769</t>
  </si>
  <si>
    <t>Ajinomoto Stadium</t>
  </si>
  <si>
    <t>Ryo Tanimoto</t>
  </si>
  <si>
    <t>Grampus</t>
  </si>
  <si>
    <t>Kashiwa Reysol</t>
  </si>
  <si>
    <t>34151</t>
  </si>
  <si>
    <t>Toyota Stadium</t>
  </si>
  <si>
    <t>Masuya Ueda</t>
  </si>
  <si>
    <t>Sanf. Hiroshima</t>
  </si>
  <si>
    <t>Albirex Niigata</t>
  </si>
  <si>
    <t>25246</t>
  </si>
  <si>
    <t>Edion Peace Wing Hiroshima</t>
  </si>
  <si>
    <t>Shū Kawamata</t>
  </si>
  <si>
    <t>F. Okayama</t>
  </si>
  <si>
    <t>Tokyo Verdy</t>
  </si>
  <si>
    <t>14285</t>
  </si>
  <si>
    <t>JFE Sunny Country Stadium</t>
  </si>
  <si>
    <t>Koki Nagamine</t>
  </si>
  <si>
    <t>Yokohama FC</t>
  </si>
  <si>
    <t>Kashima Antlers</t>
  </si>
  <si>
    <t>13252</t>
  </si>
  <si>
    <t>NHK Spring Mitsuzawa Football Stadium</t>
  </si>
  <si>
    <t>Jumpei Iida</t>
  </si>
  <si>
    <t>15:00 (08:00)</t>
  </si>
  <si>
    <t>Cerezo Osaka</t>
  </si>
  <si>
    <t>Machida Zelvia</t>
  </si>
  <si>
    <t>18030</t>
  </si>
  <si>
    <t>Yodoko Sakura Stadium</t>
  </si>
  <si>
    <t>Kōei Koya</t>
  </si>
  <si>
    <t>Gamba Osaka</t>
  </si>
  <si>
    <t>Kyoto Sanga</t>
  </si>
  <si>
    <t>30620</t>
  </si>
  <si>
    <t>Panasonic Stadium Suita</t>
  </si>
  <si>
    <t>Yudai Yamamoto</t>
  </si>
  <si>
    <t>Shonan Bellmare</t>
  </si>
  <si>
    <t>Avispa Fukuoka</t>
  </si>
  <si>
    <t>11644</t>
  </si>
  <si>
    <t>Lemon Gas Stadium Hiratsuka</t>
  </si>
  <si>
    <t>Yoshimi Yamashita</t>
  </si>
  <si>
    <t>2025-05-06</t>
  </si>
  <si>
    <t>Urawa Reds</t>
  </si>
  <si>
    <t>41770</t>
  </si>
  <si>
    <t>Saitama Stadium 2002</t>
  </si>
  <si>
    <t>24867</t>
  </si>
  <si>
    <t>Atsushi Kamimura</t>
  </si>
  <si>
    <t>Vissel Kobe</t>
  </si>
  <si>
    <t>24891</t>
  </si>
  <si>
    <t>NOEVIR Stadium Kobe</t>
  </si>
  <si>
    <t>14039</t>
  </si>
  <si>
    <t>Best Denki Stadium</t>
  </si>
  <si>
    <t>16:00 (09:00)</t>
  </si>
  <si>
    <t>11747</t>
  </si>
  <si>
    <t>Sankyo Frontier Kashiwa Stadium</t>
  </si>
  <si>
    <t>14258</t>
  </si>
  <si>
    <t>Keigo Sendachi</t>
  </si>
  <si>
    <t>2025-07-21</t>
  </si>
  <si>
    <t>18:00 (11:00)</t>
  </si>
  <si>
    <t>9943</t>
  </si>
  <si>
    <t>2025-08-11</t>
  </si>
  <si>
    <t>18674</t>
  </si>
  <si>
    <t>Akihiko Ikeuchi</t>
  </si>
  <si>
    <t>2025-09-15</t>
  </si>
  <si>
    <t>37424</t>
  </si>
  <si>
    <t>2025-09-23</t>
  </si>
  <si>
    <t>19673</t>
  </si>
  <si>
    <t>Denka Big Swan Stadium</t>
  </si>
  <si>
    <t>Yūsuke Ohashi</t>
  </si>
  <si>
    <t>25752</t>
  </si>
  <si>
    <t>Kashima Soccer Stadium</t>
  </si>
  <si>
    <t>Faisal Suleiman Al Balawi</t>
  </si>
  <si>
    <t>24412</t>
  </si>
  <si>
    <t>13537</t>
  </si>
  <si>
    <t>17202</t>
  </si>
  <si>
    <t>IAI Stadium Nihondaira</t>
  </si>
  <si>
    <t>Koji Takasaki</t>
  </si>
  <si>
    <t>18964</t>
  </si>
  <si>
    <t>Sanga Stadium by Kyocera</t>
  </si>
  <si>
    <t>13552</t>
  </si>
  <si>
    <t>Mohamed Ahmed El Shenawy</t>
  </si>
  <si>
    <t>Kawasaki F.</t>
  </si>
  <si>
    <t>12760</t>
  </si>
  <si>
    <t>Yokohama F.M.</t>
  </si>
  <si>
    <t>26768</t>
  </si>
  <si>
    <t>17132</t>
  </si>
  <si>
    <t>Hiroyuki Kimura</t>
  </si>
  <si>
    <t>14:00 (06:00)</t>
  </si>
  <si>
    <t>14787</t>
  </si>
  <si>
    <t>Shin Yongjun</t>
  </si>
  <si>
    <t>2026-03-17</t>
  </si>
  <si>
    <t>19:30 (11:30)</t>
  </si>
  <si>
    <t>1044</t>
  </si>
  <si>
    <t>Chae Sanghyeop</t>
  </si>
  <si>
    <t>8074</t>
  </si>
  <si>
    <t>Kim Jonghyeok</t>
  </si>
  <si>
    <t>10257</t>
  </si>
  <si>
    <t>Song Minseok</t>
  </si>
  <si>
    <t>1125</t>
  </si>
  <si>
    <t>8183</t>
  </si>
  <si>
    <t>Lee Dongjun</t>
  </si>
  <si>
    <t>20364</t>
  </si>
  <si>
    <t>Kim Daeyong</t>
  </si>
  <si>
    <t>11670</t>
  </si>
  <si>
    <t>3603</t>
  </si>
  <si>
    <t>Choi Gyuhyun</t>
  </si>
  <si>
    <t>8422</t>
  </si>
  <si>
    <t>Kim Woosung</t>
  </si>
  <si>
    <t>35729</t>
  </si>
  <si>
    <t>Seol Taehwan</t>
  </si>
  <si>
    <t>2026-05-12</t>
  </si>
  <si>
    <t>4618</t>
  </si>
  <si>
    <t>6620</t>
  </si>
  <si>
    <t>1942</t>
  </si>
  <si>
    <t>Park Byungjin</t>
  </si>
  <si>
    <t>5052</t>
  </si>
  <si>
    <t>Dennis Antamo</t>
  </si>
  <si>
    <t>1911</t>
  </si>
  <si>
    <t>Joona Kontinen</t>
  </si>
  <si>
    <t>1902</t>
  </si>
  <si>
    <t>Matti Roth</t>
  </si>
  <si>
    <t>2026-06-18</t>
  </si>
  <si>
    <t>12:59 (11:59)</t>
  </si>
  <si>
    <t>1807</t>
  </si>
  <si>
    <t>Juuso Vuorinen</t>
  </si>
  <si>
    <t>2026-06-23</t>
  </si>
  <si>
    <t>3225</t>
  </si>
  <si>
    <t>Oliver Reitala</t>
  </si>
  <si>
    <t>3532</t>
  </si>
  <si>
    <t>Peiman Simani</t>
  </si>
  <si>
    <t>4409</t>
  </si>
  <si>
    <t>3005</t>
  </si>
  <si>
    <t>Mohammad Al Emara</t>
  </si>
  <si>
    <t>2129</t>
  </si>
  <si>
    <t>1502</t>
  </si>
  <si>
    <t>2026-04-22</t>
  </si>
  <si>
    <t>9426</t>
  </si>
  <si>
    <t>22283</t>
  </si>
  <si>
    <t>5908</t>
  </si>
  <si>
    <t>5001</t>
  </si>
  <si>
    <t>Tess Olofsson</t>
  </si>
  <si>
    <t>2026-05-20</t>
  </si>
  <si>
    <t>10153</t>
  </si>
  <si>
    <t>14216</t>
  </si>
  <si>
    <t>40220</t>
  </si>
  <si>
    <t>28220</t>
  </si>
  <si>
    <t>Liang Songshang</t>
  </si>
  <si>
    <t>2026-05-06</t>
  </si>
  <si>
    <t>16453</t>
  </si>
  <si>
    <t>Zhang Yangfan</t>
  </si>
  <si>
    <t>40423</t>
  </si>
  <si>
    <t>Wang Jin</t>
  </si>
  <si>
    <t>13778</t>
  </si>
  <si>
    <t>Yunkun Ma</t>
  </si>
  <si>
    <t>18259</t>
  </si>
  <si>
    <t>Qiu Zhaojun</t>
  </si>
  <si>
    <t>17520</t>
  </si>
  <si>
    <t>Yi Huang</t>
  </si>
  <si>
    <t>28857</t>
  </si>
  <si>
    <t>18901</t>
  </si>
  <si>
    <t>38570</t>
  </si>
  <si>
    <t>Ai Kun</t>
  </si>
  <si>
    <t>2026-04-15</t>
  </si>
  <si>
    <t>4549</t>
  </si>
  <si>
    <t>5256</t>
  </si>
  <si>
    <t>2026-04-29</t>
  </si>
  <si>
    <t>0–5</t>
  </si>
  <si>
    <t>5221</t>
  </si>
  <si>
    <t>10494</t>
  </si>
  <si>
    <t>19:45</t>
  </si>
  <si>
    <t>5802</t>
  </si>
  <si>
    <t>Sivert Øksnes Amland</t>
  </si>
  <si>
    <t>5003</t>
  </si>
  <si>
    <t>Jørgen Haugen</t>
  </si>
  <si>
    <t>2025-02-26</t>
  </si>
  <si>
    <t>19:00 (11:00)</t>
  </si>
  <si>
    <t>12106</t>
  </si>
  <si>
    <t>13555</t>
  </si>
  <si>
    <t>11351</t>
  </si>
  <si>
    <t>14971</t>
  </si>
  <si>
    <t>Takafumi Mikuriya</t>
  </si>
  <si>
    <t>12238</t>
  </si>
  <si>
    <t>8946</t>
  </si>
  <si>
    <t>6825</t>
  </si>
  <si>
    <t>Machida GION Stadium</t>
  </si>
  <si>
    <t>Nathan Verboomen</t>
  </si>
  <si>
    <t>11335</t>
  </si>
  <si>
    <t>17115</t>
  </si>
  <si>
    <t>Nissan Stadium</t>
  </si>
  <si>
    <t>Yūsuke Araki</t>
  </si>
  <si>
    <t>7106</t>
  </si>
  <si>
    <t>2025-04-02</t>
  </si>
  <si>
    <t>05:00 (12:00)</t>
  </si>
  <si>
    <t>24868</t>
  </si>
  <si>
    <t>Hiroki Kasahara</t>
  </si>
  <si>
    <t>21892</t>
  </si>
  <si>
    <t>8032</t>
  </si>
  <si>
    <t>Koichiro Fukushima</t>
  </si>
  <si>
    <t>26865</t>
  </si>
  <si>
    <t>Fu Ming</t>
  </si>
  <si>
    <t>9059</t>
  </si>
  <si>
    <t>Hayato Shimizu</t>
  </si>
  <si>
    <t>23125</t>
  </si>
  <si>
    <t>21392</t>
  </si>
  <si>
    <t>Kawasaki Todoroki Stadium</t>
  </si>
  <si>
    <t>Yoshirō Imamura</t>
  </si>
  <si>
    <t>13627</t>
  </si>
  <si>
    <t>17141</t>
  </si>
  <si>
    <t>Takuto Okabe</t>
  </si>
  <si>
    <t>25326</t>
  </si>
  <si>
    <t>2025-04-09</t>
  </si>
  <si>
    <t>21478</t>
  </si>
  <si>
    <t>2025-04-16</t>
  </si>
  <si>
    <t>16785</t>
  </si>
  <si>
    <t>11019</t>
  </si>
  <si>
    <t>21383</t>
  </si>
  <si>
    <t>2025-05-07</t>
  </si>
  <si>
    <t>7183</t>
  </si>
  <si>
    <t>8871</t>
  </si>
  <si>
    <t>2025-05-14</t>
  </si>
  <si>
    <t>20175</t>
  </si>
  <si>
    <t>14513</t>
  </si>
  <si>
    <t>2025-05-21</t>
  </si>
  <si>
    <t>15373</t>
  </si>
  <si>
    <t>Futoshi Nakamura</t>
  </si>
  <si>
    <t>20302</t>
  </si>
  <si>
    <t>2025-05-28</t>
  </si>
  <si>
    <t>24697</t>
  </si>
  <si>
    <t>2025-06-25</t>
  </si>
  <si>
    <t>20905</t>
  </si>
  <si>
    <t>19244</t>
  </si>
  <si>
    <t>Łukasz Kuźma</t>
  </si>
  <si>
    <t>2025-07-02</t>
  </si>
  <si>
    <t>14950</t>
  </si>
  <si>
    <t>2025-07-23</t>
  </si>
  <si>
    <t>26977</t>
  </si>
  <si>
    <t>2025-08-20</t>
  </si>
  <si>
    <t>24847</t>
  </si>
  <si>
    <t>10108</t>
  </si>
  <si>
    <t>Iván Barton</t>
  </si>
  <si>
    <t>2026-03-18</t>
  </si>
  <si>
    <t>6650</t>
  </si>
  <si>
    <t>Ko Hyungjin</t>
  </si>
  <si>
    <t>3132</t>
  </si>
  <si>
    <t>Cheol junchoi</t>
  </si>
  <si>
    <t>2832</t>
  </si>
  <si>
    <t>6360</t>
  </si>
  <si>
    <t>4177</t>
  </si>
  <si>
    <t>6567</t>
  </si>
  <si>
    <t>2908</t>
  </si>
  <si>
    <t>4533</t>
  </si>
  <si>
    <t>5076</t>
  </si>
  <si>
    <t>2026-05-13</t>
  </si>
  <si>
    <t>4509</t>
  </si>
  <si>
    <t>5087</t>
  </si>
  <si>
    <t>6066</t>
  </si>
  <si>
    <t>Choi Cheoljun</t>
  </si>
  <si>
    <t>2610</t>
  </si>
  <si>
    <t>2686</t>
  </si>
  <si>
    <t>3410</t>
  </si>
  <si>
    <t>3040</t>
  </si>
  <si>
    <t>2026-06-17</t>
  </si>
  <si>
    <t>2857</t>
  </si>
  <si>
    <t>6082</t>
  </si>
  <si>
    <t>3458</t>
  </si>
  <si>
    <t>3633</t>
  </si>
  <si>
    <t>2013</t>
  </si>
  <si>
    <t>2026-04-17</t>
  </si>
  <si>
    <t>27902</t>
  </si>
  <si>
    <t>3112</t>
  </si>
  <si>
    <t>2026-05-08</t>
  </si>
  <si>
    <t>6487</t>
  </si>
  <si>
    <t>2026-05-22</t>
  </si>
  <si>
    <t>21836</t>
  </si>
  <si>
    <t>2026-05-29</t>
  </si>
  <si>
    <t>7359</t>
  </si>
  <si>
    <t>2026-07-03</t>
  </si>
  <si>
    <t>4–4</t>
  </si>
  <si>
    <t>9349</t>
  </si>
  <si>
    <t>2026-07-17</t>
  </si>
  <si>
    <t>5188</t>
  </si>
  <si>
    <t>15486</t>
  </si>
  <si>
    <t>2026-03-06</t>
  </si>
  <si>
    <t>19:35 (12:35)</t>
  </si>
  <si>
    <t>41219</t>
  </si>
  <si>
    <t>Wang Di</t>
  </si>
  <si>
    <t>2026-03-13</t>
  </si>
  <si>
    <t>19067</t>
  </si>
  <si>
    <t>2026-03-20</t>
  </si>
  <si>
    <t>58377</t>
  </si>
  <si>
    <t>22305</t>
  </si>
  <si>
    <t>2026-04-03</t>
  </si>
  <si>
    <t>41352</t>
  </si>
  <si>
    <t>Xu Qiangqiang</t>
  </si>
  <si>
    <t>58229</t>
  </si>
  <si>
    <t>28905</t>
  </si>
  <si>
    <t>Gao Peng</t>
  </si>
  <si>
    <t>28725</t>
  </si>
  <si>
    <t>18033</t>
  </si>
  <si>
    <t>24951</t>
  </si>
  <si>
    <t>22113</t>
  </si>
  <si>
    <t>Zhang Chao</t>
  </si>
  <si>
    <t>22015</t>
  </si>
  <si>
    <t>62339</t>
  </si>
  <si>
    <t>19055</t>
  </si>
  <si>
    <t>Ren Tong</t>
  </si>
  <si>
    <t>29378</t>
  </si>
  <si>
    <t>32157</t>
  </si>
  <si>
    <t>Shunqi Tang</t>
  </si>
  <si>
    <t>61815</t>
  </si>
  <si>
    <t>Ma Ning</t>
  </si>
  <si>
    <t>2026-05-15</t>
  </si>
  <si>
    <t>16976</t>
  </si>
  <si>
    <t>Shengyu Sun</t>
  </si>
  <si>
    <t>28637</t>
  </si>
  <si>
    <t>20135</t>
  </si>
  <si>
    <t>4–2</t>
  </si>
  <si>
    <t>41866</t>
  </si>
  <si>
    <t>61910</t>
  </si>
  <si>
    <t>31759</t>
  </si>
  <si>
    <t>2026-06-26</t>
  </si>
  <si>
    <t>21036</t>
  </si>
  <si>
    <t>18105</t>
  </si>
  <si>
    <t>Ma Teng</t>
  </si>
  <si>
    <t>2026-07-10</t>
  </si>
  <si>
    <t>23719</t>
  </si>
  <si>
    <t>17323</t>
  </si>
  <si>
    <t>17652</t>
  </si>
  <si>
    <t>43303</t>
  </si>
  <si>
    <t>20132</t>
  </si>
  <si>
    <t>Jin Jingyuan</t>
  </si>
  <si>
    <t>15900</t>
  </si>
  <si>
    <t>6608</t>
  </si>
  <si>
    <t>5611</t>
  </si>
  <si>
    <t>Mathias Støfringshaug</t>
  </si>
  <si>
    <t>2011</t>
  </si>
  <si>
    <t>9465</t>
  </si>
  <si>
    <t>15420</t>
  </si>
  <si>
    <t>8273</t>
  </si>
  <si>
    <t>14177</t>
  </si>
  <si>
    <t>7442</t>
  </si>
  <si>
    <t>2026-02-06</t>
  </si>
  <si>
    <t>3027</t>
  </si>
  <si>
    <t>3232</t>
  </si>
  <si>
    <t>Lucas Keating</t>
  </si>
  <si>
    <t>4127</t>
  </si>
  <si>
    <t>2026-02-13</t>
  </si>
  <si>
    <t>4323</t>
  </si>
  <si>
    <t>2103</t>
  </si>
  <si>
    <t>2026-02-20</t>
  </si>
  <si>
    <t>4434</t>
  </si>
  <si>
    <t>4052</t>
  </si>
  <si>
    <t>2132</t>
  </si>
  <si>
    <t>3819</t>
  </si>
  <si>
    <t>7573</t>
  </si>
  <si>
    <t>2026-02-27</t>
  </si>
  <si>
    <t>2520</t>
  </si>
  <si>
    <t>4427</t>
  </si>
  <si>
    <t>3413</t>
  </si>
  <si>
    <t>3456</t>
  </si>
  <si>
    <t>4442</t>
  </si>
  <si>
    <t>1933</t>
  </si>
  <si>
    <t>2683</t>
  </si>
  <si>
    <t>5205</t>
  </si>
  <si>
    <t>5090</t>
  </si>
  <si>
    <t>2974</t>
  </si>
  <si>
    <t>4096</t>
  </si>
  <si>
    <t>2819</t>
  </si>
  <si>
    <t>4778</t>
  </si>
  <si>
    <t>3065</t>
  </si>
  <si>
    <t>2846</t>
  </si>
  <si>
    <t>2378</t>
  </si>
  <si>
    <t>4748</t>
  </si>
  <si>
    <t>4383</t>
  </si>
  <si>
    <t>4485</t>
  </si>
  <si>
    <t>2616</t>
  </si>
  <si>
    <t>2554</t>
  </si>
  <si>
    <t>4674</t>
  </si>
  <si>
    <t>4611</t>
  </si>
  <si>
    <t>2736</t>
  </si>
  <si>
    <t>3624</t>
  </si>
  <si>
    <t>2673</t>
  </si>
  <si>
    <t>Daryl Carolan</t>
  </si>
  <si>
    <t>2323</t>
  </si>
  <si>
    <t>9202</t>
  </si>
  <si>
    <t>2026-04-24</t>
  </si>
  <si>
    <t>1826</t>
  </si>
  <si>
    <t>3–4</t>
  </si>
  <si>
    <t>4577</t>
  </si>
  <si>
    <t>5435</t>
  </si>
  <si>
    <t>7104</t>
  </si>
  <si>
    <t>2243</t>
  </si>
  <si>
    <t>1811</t>
  </si>
  <si>
    <t>4101</t>
  </si>
  <si>
    <t>4433</t>
  </si>
  <si>
    <t>3610</t>
  </si>
  <si>
    <t>1759</t>
  </si>
  <si>
    <t>Arnold Hunter</t>
  </si>
  <si>
    <t>2641</t>
  </si>
  <si>
    <t>3127</t>
  </si>
  <si>
    <t>4132</t>
  </si>
  <si>
    <t>4379</t>
  </si>
  <si>
    <t>5041</t>
  </si>
  <si>
    <t>1656</t>
  </si>
  <si>
    <t>2961</t>
  </si>
  <si>
    <t>2442</t>
  </si>
  <si>
    <t>3815</t>
  </si>
  <si>
    <t>3308</t>
  </si>
  <si>
    <t>2547</t>
  </si>
  <si>
    <t>4121</t>
  </si>
  <si>
    <t>2617</t>
  </si>
  <si>
    <t>1932</t>
  </si>
  <si>
    <t>3924</t>
  </si>
  <si>
    <t>Paul McLaughlin</t>
  </si>
  <si>
    <t>2754</t>
  </si>
  <si>
    <t>8661</t>
  </si>
  <si>
    <t>2026-06-12</t>
  </si>
  <si>
    <t>3050</t>
  </si>
  <si>
    <t>1856</t>
  </si>
  <si>
    <t>4166</t>
  </si>
  <si>
    <t>454</t>
  </si>
  <si>
    <t>Turner's Cross</t>
  </si>
  <si>
    <t>5515</t>
  </si>
  <si>
    <t>2026-06-19</t>
  </si>
  <si>
    <t>3101</t>
  </si>
  <si>
    <t>2472</t>
  </si>
  <si>
    <t>3816</t>
  </si>
  <si>
    <t>2141</t>
  </si>
  <si>
    <t>4017</t>
  </si>
  <si>
    <t>19:30 (20:30)</t>
  </si>
  <si>
    <t>3773</t>
  </si>
  <si>
    <t>2848</t>
  </si>
  <si>
    <t>2073</t>
  </si>
  <si>
    <t>4223</t>
  </si>
  <si>
    <t>4389</t>
  </si>
  <si>
    <t>2283</t>
  </si>
  <si>
    <t>2451</t>
  </si>
  <si>
    <t>2872</t>
  </si>
  <si>
    <t>4032</t>
  </si>
  <si>
    <t>2658</t>
  </si>
  <si>
    <t>2533</t>
  </si>
  <si>
    <t>2025-02-14</t>
  </si>
  <si>
    <t>2–5</t>
  </si>
  <si>
    <t>34860</t>
  </si>
  <si>
    <t>2025-03-28</t>
  </si>
  <si>
    <t>18366</t>
  </si>
  <si>
    <t>2025-04-11</t>
  </si>
  <si>
    <t>43813</t>
  </si>
  <si>
    <t>Japan National Stadium</t>
  </si>
  <si>
    <t>2025-04-25</t>
  </si>
  <si>
    <t>10671</t>
  </si>
  <si>
    <t>6157</t>
  </si>
  <si>
    <t>7683</t>
  </si>
  <si>
    <t>13550</t>
  </si>
  <si>
    <t>11334</t>
  </si>
  <si>
    <t>28555</t>
  </si>
  <si>
    <t>44519</t>
  </si>
  <si>
    <t>2025-08-22</t>
  </si>
  <si>
    <t>13922</t>
  </si>
  <si>
    <t>2025-09-12</t>
  </si>
  <si>
    <t>25369</t>
  </si>
  <si>
    <t>15051</t>
  </si>
  <si>
    <t>7035</t>
  </si>
  <si>
    <t>2025-10-03</t>
  </si>
  <si>
    <t>11460</t>
  </si>
  <si>
    <t>2025-10-17</t>
  </si>
  <si>
    <t>25728</t>
  </si>
  <si>
    <t>25806</t>
  </si>
  <si>
    <t>2828</t>
  </si>
  <si>
    <t>2706</t>
  </si>
  <si>
    <t>3724</t>
  </si>
  <si>
    <t>2354</t>
  </si>
  <si>
    <t>2341</t>
  </si>
  <si>
    <t>2448</t>
  </si>
  <si>
    <t>3547</t>
  </si>
  <si>
    <t>4308</t>
  </si>
  <si>
    <t>3109</t>
  </si>
  <si>
    <t>3718</t>
  </si>
  <si>
    <t>2026-04-05</t>
  </si>
  <si>
    <t>6789</t>
  </si>
  <si>
    <t>39085</t>
  </si>
  <si>
    <t>13360</t>
  </si>
  <si>
    <t>Joakim Sars</t>
  </si>
  <si>
    <t>2026-04-12</t>
  </si>
  <si>
    <t>26454</t>
  </si>
  <si>
    <t>4638</t>
  </si>
  <si>
    <t>19500</t>
  </si>
  <si>
    <t>2026-04-19</t>
  </si>
  <si>
    <t>27784</t>
  </si>
  <si>
    <t>6316</t>
  </si>
  <si>
    <t>2026-04-26</t>
  </si>
  <si>
    <t>26775</t>
  </si>
  <si>
    <t>1631</t>
  </si>
  <si>
    <t>18084</t>
  </si>
  <si>
    <t>2026-05-03</t>
  </si>
  <si>
    <t>19905</t>
  </si>
  <si>
    <t>26751</t>
  </si>
  <si>
    <t>10112</t>
  </si>
  <si>
    <t>16470</t>
  </si>
  <si>
    <t>2026-05-10</t>
  </si>
  <si>
    <t>4280</t>
  </si>
  <si>
    <t>46278</t>
  </si>
  <si>
    <t>6163</t>
  </si>
  <si>
    <t>2026-05-17</t>
  </si>
  <si>
    <t>817</t>
  </si>
  <si>
    <t>25793</t>
  </si>
  <si>
    <t>5019</t>
  </si>
  <si>
    <t>8619</t>
  </si>
  <si>
    <t>2026-05-24</t>
  </si>
  <si>
    <t>28226</t>
  </si>
  <si>
    <t>9008</t>
  </si>
  <si>
    <t>17703</t>
  </si>
  <si>
    <t>2026-05-31</t>
  </si>
  <si>
    <t>4–5</t>
  </si>
  <si>
    <t>7656</t>
  </si>
  <si>
    <t>3002</t>
  </si>
  <si>
    <t>2026-07-05</t>
  </si>
  <si>
    <t>4899</t>
  </si>
  <si>
    <t>16598</t>
  </si>
  <si>
    <t>12210</t>
  </si>
  <si>
    <t>22833</t>
  </si>
  <si>
    <t>5782</t>
  </si>
  <si>
    <t>19674</t>
  </si>
  <si>
    <t>2057</t>
  </si>
  <si>
    <t>10618</t>
  </si>
  <si>
    <t>2026-03-08</t>
  </si>
  <si>
    <t>25128</t>
  </si>
  <si>
    <t>21679</t>
  </si>
  <si>
    <t>19621</t>
  </si>
  <si>
    <t>18533</t>
  </si>
  <si>
    <t>40811</t>
  </si>
  <si>
    <t>27983</t>
  </si>
  <si>
    <t>Xiaochen Zhang</t>
  </si>
  <si>
    <t>5–2</t>
  </si>
  <si>
    <t>22563</t>
  </si>
  <si>
    <t>27565</t>
  </si>
  <si>
    <t>He Xin</t>
  </si>
  <si>
    <t>20079</t>
  </si>
  <si>
    <t>Zhao Liu</t>
  </si>
  <si>
    <t>53033</t>
  </si>
  <si>
    <t>16354</t>
  </si>
  <si>
    <t>Xiong Xing</t>
  </si>
  <si>
    <t>37532</t>
  </si>
  <si>
    <t>55423</t>
  </si>
  <si>
    <t>15621</t>
  </si>
  <si>
    <t>Tao Wan</t>
  </si>
  <si>
    <t>61968</t>
  </si>
  <si>
    <t>Du Jianxin</t>
  </si>
  <si>
    <t>19203</t>
  </si>
  <si>
    <t>16397</t>
  </si>
  <si>
    <t>23751</t>
  </si>
  <si>
    <t>Cui Yong</t>
  </si>
  <si>
    <t>19987</t>
  </si>
  <si>
    <t>20011</t>
  </si>
  <si>
    <t>43875</t>
  </si>
  <si>
    <t>30532</t>
  </si>
  <si>
    <t>32332</t>
  </si>
  <si>
    <t>18394</t>
  </si>
  <si>
    <t>19646</t>
  </si>
  <si>
    <t>13561</t>
  </si>
  <si>
    <t>32212</t>
  </si>
  <si>
    <t>27863</t>
  </si>
  <si>
    <t>22241</t>
  </si>
  <si>
    <t>2026-06-28</t>
  </si>
  <si>
    <t>14332</t>
  </si>
  <si>
    <t>62373</t>
  </si>
  <si>
    <t>30312</t>
  </si>
  <si>
    <t>Zhen Wei</t>
  </si>
  <si>
    <t>39537</t>
  </si>
  <si>
    <t>Yan Lifu</t>
  </si>
  <si>
    <t>3302</t>
  </si>
  <si>
    <t>4255</t>
  </si>
  <si>
    <t>2026-03-22</t>
  </si>
  <si>
    <t>13374</t>
  </si>
  <si>
    <t>14569</t>
  </si>
  <si>
    <t>3759</t>
  </si>
  <si>
    <t>7534</t>
  </si>
  <si>
    <t>10246</t>
  </si>
  <si>
    <t>4186</t>
  </si>
  <si>
    <t>Mischa Huru</t>
  </si>
  <si>
    <t>5331</t>
  </si>
  <si>
    <t>10234</t>
  </si>
  <si>
    <t>15031</t>
  </si>
  <si>
    <t>16556</t>
  </si>
  <si>
    <t>2852</t>
  </si>
  <si>
    <t>3012</t>
  </si>
  <si>
    <t>4227</t>
  </si>
  <si>
    <t>5870</t>
  </si>
  <si>
    <t>5461</t>
  </si>
  <si>
    <t>5013</t>
  </si>
  <si>
    <t>4821</t>
  </si>
  <si>
    <t>1491</t>
  </si>
  <si>
    <t>3402</t>
  </si>
  <si>
    <t>10368</t>
  </si>
  <si>
    <t>6815</t>
  </si>
  <si>
    <t>5795</t>
  </si>
  <si>
    <t>2708</t>
  </si>
  <si>
    <t>4043</t>
  </si>
  <si>
    <t>11244</t>
  </si>
  <si>
    <t>11892</t>
  </si>
  <si>
    <t>3485</t>
  </si>
  <si>
    <t>2948</t>
  </si>
  <si>
    <t>5011</t>
  </si>
  <si>
    <t>6887</t>
  </si>
  <si>
    <t>3014</t>
  </si>
  <si>
    <t>15414</t>
  </si>
  <si>
    <t>10378</t>
  </si>
  <si>
    <t>3591</t>
  </si>
  <si>
    <t>4891</t>
  </si>
  <si>
    <t>2026-02-08</t>
  </si>
  <si>
    <t>14:00 (15:00)</t>
  </si>
  <si>
    <t>21472</t>
  </si>
  <si>
    <t>Aviva Stadium</t>
  </si>
  <si>
    <t>2026-03-01</t>
  </si>
  <si>
    <t>20681</t>
  </si>
  <si>
    <t>16:30 (08:30)</t>
  </si>
  <si>
    <t>8891</t>
  </si>
  <si>
    <t>3323</t>
  </si>
  <si>
    <t>10021</t>
  </si>
  <si>
    <t>8558</t>
  </si>
  <si>
    <t>7518</t>
  </si>
  <si>
    <t>10510</t>
  </si>
  <si>
    <t>6087</t>
  </si>
  <si>
    <t>24122</t>
  </si>
  <si>
    <t>11655</t>
  </si>
  <si>
    <t>5377</t>
  </si>
  <si>
    <t>8012</t>
  </si>
  <si>
    <t>9391</t>
  </si>
  <si>
    <t>11542</t>
  </si>
  <si>
    <t>8239</t>
  </si>
  <si>
    <t>7082</t>
  </si>
  <si>
    <t>1832</t>
  </si>
  <si>
    <t>9022</t>
  </si>
  <si>
    <t>8403</t>
  </si>
  <si>
    <t>14501</t>
  </si>
  <si>
    <t>2667</t>
  </si>
  <si>
    <t>14618</t>
  </si>
  <si>
    <t>14931</t>
  </si>
  <si>
    <t>10026</t>
  </si>
  <si>
    <t>6039</t>
  </si>
  <si>
    <t>16:40 (09:40)</t>
  </si>
  <si>
    <t>31447</t>
  </si>
  <si>
    <t>Choi Hyunjai</t>
  </si>
  <si>
    <t>6421</t>
  </si>
  <si>
    <t>8327</t>
  </si>
  <si>
    <t>22600</t>
  </si>
  <si>
    <t>1284</t>
  </si>
  <si>
    <t>3516</t>
  </si>
  <si>
    <t>4028</t>
  </si>
  <si>
    <t>17872</t>
  </si>
  <si>
    <t>10616</t>
  </si>
  <si>
    <t>2881</t>
  </si>
  <si>
    <t>2182</t>
  </si>
  <si>
    <t>1742</t>
  </si>
  <si>
    <t>2025-02-16</t>
  </si>
  <si>
    <t>52541</t>
  </si>
  <si>
    <t>12773</t>
  </si>
  <si>
    <t>2025-02-23</t>
  </si>
  <si>
    <t>00:00 (06:00)</t>
  </si>
  <si>
    <t>27123</t>
  </si>
  <si>
    <t>2025-03-02</t>
  </si>
  <si>
    <t>13330</t>
  </si>
  <si>
    <t>34718</t>
  </si>
  <si>
    <t>22933</t>
  </si>
  <si>
    <t>21260</t>
  </si>
  <si>
    <t>14:30 (06:30)</t>
  </si>
  <si>
    <t>25043</t>
  </si>
  <si>
    <t>15:00 (07:00)</t>
  </si>
  <si>
    <t>51009</t>
  </si>
  <si>
    <t>2025-03-09</t>
  </si>
  <si>
    <t>11535</t>
  </si>
  <si>
    <t>2025-03-16</t>
  </si>
  <si>
    <t>13:00 (05:00)</t>
  </si>
  <si>
    <t>14012</t>
  </si>
  <si>
    <t>31574</t>
  </si>
  <si>
    <t>13699</t>
  </si>
  <si>
    <t>25283</t>
  </si>
  <si>
    <t>23169</t>
  </si>
  <si>
    <t>9537</t>
  </si>
  <si>
    <t>2025-04-06</t>
  </si>
  <si>
    <t>01:00 (08:00)</t>
  </si>
  <si>
    <t>25324</t>
  </si>
  <si>
    <t>13:00 (06:00)</t>
  </si>
  <si>
    <t>15073</t>
  </si>
  <si>
    <t>11683</t>
  </si>
  <si>
    <t>11974</t>
  </si>
  <si>
    <t>9106</t>
  </si>
  <si>
    <t>36407</t>
  </si>
  <si>
    <t>12833</t>
  </si>
  <si>
    <t>16859</t>
  </si>
  <si>
    <t>9900</t>
  </si>
  <si>
    <t>2025-04-13</t>
  </si>
  <si>
    <t>19527</t>
  </si>
  <si>
    <t>44363</t>
  </si>
  <si>
    <t>2025-04-20</t>
  </si>
  <si>
    <t>16366</t>
  </si>
  <si>
    <t>21920</t>
  </si>
  <si>
    <t>9697</t>
  </si>
  <si>
    <t>29072</t>
  </si>
  <si>
    <t>11936</t>
  </si>
  <si>
    <t>16113</t>
  </si>
  <si>
    <t>21870</t>
  </si>
  <si>
    <t>41981</t>
  </si>
  <si>
    <t>2025-05-11</t>
  </si>
  <si>
    <t>59574</t>
  </si>
  <si>
    <t>16741</t>
  </si>
  <si>
    <t>16994</t>
  </si>
  <si>
    <t>14:05 (07:05)</t>
  </si>
  <si>
    <t>27412</t>
  </si>
  <si>
    <t>18797</t>
  </si>
  <si>
    <t>30633</t>
  </si>
  <si>
    <t>14801</t>
  </si>
  <si>
    <t>2025-05-18</t>
  </si>
  <si>
    <t>14666</t>
  </si>
  <si>
    <t>22070</t>
  </si>
  <si>
    <t>2025-05-25</t>
  </si>
  <si>
    <t>14022</t>
  </si>
  <si>
    <t>32443</t>
  </si>
  <si>
    <t>17528</t>
  </si>
  <si>
    <t>8779</t>
  </si>
  <si>
    <t>18426</t>
  </si>
  <si>
    <t>Martin Petersen</t>
  </si>
  <si>
    <t>46206</t>
  </si>
  <si>
    <t>Florian Badstübner</t>
  </si>
  <si>
    <t>21440</t>
  </si>
  <si>
    <t>2025-06-01</t>
  </si>
  <si>
    <t>20864</t>
  </si>
  <si>
    <t>11696</t>
  </si>
  <si>
    <t>39995</t>
  </si>
  <si>
    <t>2025-06-15</t>
  </si>
  <si>
    <t>30474</t>
  </si>
  <si>
    <t>15375</t>
  </si>
  <si>
    <t>14653</t>
  </si>
  <si>
    <t>22175</t>
  </si>
  <si>
    <t>Robert Jones</t>
  </si>
  <si>
    <t>18:30 (11:30)</t>
  </si>
  <si>
    <t>16401</t>
  </si>
  <si>
    <t>2025-06-22</t>
  </si>
  <si>
    <t>10475</t>
  </si>
  <si>
    <t>28747</t>
  </si>
  <si>
    <t>2025-06-29</t>
  </si>
  <si>
    <t>20087</t>
  </si>
  <si>
    <t>22326</t>
  </si>
  <si>
    <t>2025-07-20</t>
  </si>
  <si>
    <t>22217</t>
  </si>
  <si>
    <t>33400</t>
  </si>
  <si>
    <t>18012</t>
  </si>
  <si>
    <t>31898</t>
  </si>
  <si>
    <t>15153</t>
  </si>
  <si>
    <t>32113</t>
  </si>
  <si>
    <t>22178</t>
  </si>
  <si>
    <t>2025-07-27</t>
  </si>
  <si>
    <t>33850</t>
  </si>
  <si>
    <t>2025-08-10</t>
  </si>
  <si>
    <t>23969</t>
  </si>
  <si>
    <t>12619</t>
  </si>
  <si>
    <t>39896</t>
  </si>
  <si>
    <t>40939</t>
  </si>
  <si>
    <t>35245</t>
  </si>
  <si>
    <t>14048</t>
  </si>
  <si>
    <t>2025-08-17</t>
  </si>
  <si>
    <t>15421</t>
  </si>
  <si>
    <t>Naoto Uehara</t>
  </si>
  <si>
    <t>2025-08-24</t>
  </si>
  <si>
    <t>27591</t>
  </si>
  <si>
    <t>2025-08-31</t>
  </si>
  <si>
    <t>17922</t>
  </si>
  <si>
    <t>39815</t>
  </si>
  <si>
    <t>30968</t>
  </si>
  <si>
    <t>13995</t>
  </si>
  <si>
    <t>19899</t>
  </si>
  <si>
    <t>5–3</t>
  </si>
  <si>
    <t>22270</t>
  </si>
  <si>
    <t>13200</t>
  </si>
  <si>
    <t>Yuzo Sutani</t>
  </si>
  <si>
    <t>2025-09-28</t>
  </si>
  <si>
    <t>17:00 (10:00)</t>
  </si>
  <si>
    <t>12751</t>
  </si>
  <si>
    <t>33460</t>
  </si>
  <si>
    <t>21935</t>
  </si>
  <si>
    <t>Daichi Shiino</t>
  </si>
  <si>
    <t>21652</t>
  </si>
  <si>
    <t>2025-10-05</t>
  </si>
  <si>
    <t>32407</t>
  </si>
  <si>
    <t>2025-10-19</t>
  </si>
  <si>
    <t>11688</t>
  </si>
  <si>
    <t>2025-10-26</t>
  </si>
  <si>
    <t>19480</t>
  </si>
  <si>
    <t>14:40 (06:40)</t>
  </si>
  <si>
    <t>11047</t>
  </si>
  <si>
    <t>2025-11-09</t>
  </si>
  <si>
    <t>46838</t>
  </si>
  <si>
    <t>19828</t>
  </si>
  <si>
    <t>15910</t>
  </si>
  <si>
    <t>34695</t>
  </si>
  <si>
    <t>37</t>
  </si>
  <si>
    <t>2025-11-30</t>
  </si>
  <si>
    <t>21948</t>
  </si>
  <si>
    <t>15623</t>
  </si>
  <si>
    <t>12531</t>
  </si>
  <si>
    <t>17587</t>
  </si>
  <si>
    <t>42665</t>
  </si>
  <si>
    <t>25346</t>
  </si>
  <si>
    <t>38168</t>
  </si>
  <si>
    <t>9804</t>
  </si>
  <si>
    <t>12396</t>
  </si>
  <si>
    <t>23173</t>
  </si>
  <si>
    <t>2026-04-04</t>
  </si>
  <si>
    <t>30162</t>
  </si>
  <si>
    <t>2026-04-11</t>
  </si>
  <si>
    <t>7449</t>
  </si>
  <si>
    <t>3884</t>
  </si>
  <si>
    <t>17457</t>
  </si>
  <si>
    <t>2026-04-18</t>
  </si>
  <si>
    <t>8644</t>
  </si>
  <si>
    <t>9228</t>
  </si>
  <si>
    <t>8–1</t>
  </si>
  <si>
    <t>26623</t>
  </si>
  <si>
    <t>2026-05-02</t>
  </si>
  <si>
    <t>8780</t>
  </si>
  <si>
    <t>4243</t>
  </si>
  <si>
    <t>2026-05-09</t>
  </si>
  <si>
    <t>6863</t>
  </si>
  <si>
    <t>3636</t>
  </si>
  <si>
    <t>16281</t>
  </si>
  <si>
    <t>2026-05-16</t>
  </si>
  <si>
    <t>5936</t>
  </si>
  <si>
    <t>8829</t>
  </si>
  <si>
    <t>2026-05-23</t>
  </si>
  <si>
    <t>4576</t>
  </si>
  <si>
    <t>4014</t>
  </si>
  <si>
    <t>Niclas Karlsson</t>
  </si>
  <si>
    <t>2026-05-30</t>
  </si>
  <si>
    <t>28283</t>
  </si>
  <si>
    <t>17052</t>
  </si>
  <si>
    <t>8125</t>
  </si>
  <si>
    <t>2026-07-04</t>
  </si>
  <si>
    <t>4723</t>
  </si>
  <si>
    <t>6003</t>
  </si>
  <si>
    <t>5875</t>
  </si>
  <si>
    <t>6008</t>
  </si>
  <si>
    <t>26814</t>
  </si>
  <si>
    <t>30519</t>
  </si>
  <si>
    <t>25081</t>
  </si>
  <si>
    <t>42193</t>
  </si>
  <si>
    <t>22163</t>
  </si>
  <si>
    <t>22863</t>
  </si>
  <si>
    <t>2026-03-14</t>
  </si>
  <si>
    <t>45069</t>
  </si>
  <si>
    <t>33258</t>
  </si>
  <si>
    <t>43423</t>
  </si>
  <si>
    <t>20:00 (13:00)</t>
  </si>
  <si>
    <t>31391</t>
  </si>
  <si>
    <t>2026-03-21</t>
  </si>
  <si>
    <t>25069</t>
  </si>
  <si>
    <t>64118</t>
  </si>
  <si>
    <t>20528</t>
  </si>
  <si>
    <t>15633</t>
  </si>
  <si>
    <t>55868</t>
  </si>
  <si>
    <t>23688</t>
  </si>
  <si>
    <t>38536</t>
  </si>
  <si>
    <t>23936</t>
  </si>
  <si>
    <t>32105</t>
  </si>
  <si>
    <t>23345</t>
  </si>
  <si>
    <t>17933</t>
  </si>
  <si>
    <t>18326</t>
  </si>
  <si>
    <t>20777</t>
  </si>
  <si>
    <t>60141</t>
  </si>
  <si>
    <t>61653</t>
  </si>
  <si>
    <t>39056</t>
  </si>
  <si>
    <t>2026-04-25</t>
  </si>
  <si>
    <t>41428</t>
  </si>
  <si>
    <t>55396</t>
  </si>
  <si>
    <t>20033</t>
  </si>
  <si>
    <t>29330</t>
  </si>
  <si>
    <t>Wenbin Zhu</t>
  </si>
  <si>
    <t>24508</t>
  </si>
  <si>
    <t>22347</t>
  </si>
  <si>
    <t>38128</t>
  </si>
  <si>
    <t>41719</t>
  </si>
  <si>
    <t>20349</t>
  </si>
  <si>
    <t>22761</t>
  </si>
  <si>
    <t>22531</t>
  </si>
  <si>
    <t>21182</t>
  </si>
  <si>
    <t>48053</t>
  </si>
  <si>
    <t>62356</t>
  </si>
  <si>
    <t>19311</t>
  </si>
  <si>
    <t>19371</t>
  </si>
  <si>
    <t>41724</t>
  </si>
  <si>
    <t>20138</t>
  </si>
  <si>
    <t>56246</t>
  </si>
  <si>
    <t>2026-06-27</t>
  </si>
  <si>
    <t>28619</t>
  </si>
  <si>
    <t>25119</t>
  </si>
  <si>
    <t>Dong Fangyu</t>
  </si>
  <si>
    <t>19041</t>
  </si>
  <si>
    <t>16856</t>
  </si>
  <si>
    <t>40146</t>
  </si>
  <si>
    <t>16313</t>
  </si>
  <si>
    <t>22011</t>
  </si>
  <si>
    <t>60122</t>
  </si>
  <si>
    <t>56679</t>
  </si>
  <si>
    <t>21364</t>
  </si>
  <si>
    <t>17976</t>
  </si>
  <si>
    <t>41378</t>
  </si>
  <si>
    <t>15283</t>
  </si>
  <si>
    <t>23357</t>
  </si>
  <si>
    <t>3802</t>
  </si>
  <si>
    <t>9630</t>
  </si>
  <si>
    <t>6194</t>
  </si>
  <si>
    <t>15503</t>
  </si>
  <si>
    <t>8851</t>
  </si>
  <si>
    <t>5532</t>
  </si>
  <si>
    <t>7109</t>
  </si>
  <si>
    <t>6023</t>
  </si>
  <si>
    <t>7612</t>
  </si>
  <si>
    <t>12378</t>
  </si>
  <si>
    <t>16207</t>
  </si>
  <si>
    <t>8022</t>
  </si>
  <si>
    <t>17500</t>
  </si>
  <si>
    <t>6–3</t>
  </si>
  <si>
    <t>9198</t>
  </si>
  <si>
    <t>9395</t>
  </si>
  <si>
    <t>21426</t>
  </si>
  <si>
    <t>10290</t>
  </si>
  <si>
    <t>8232</t>
  </si>
  <si>
    <t>12889</t>
  </si>
  <si>
    <t>5112</t>
  </si>
  <si>
    <t>8385</t>
  </si>
  <si>
    <t>6735</t>
  </si>
  <si>
    <t>5102</t>
  </si>
  <si>
    <t>4705</t>
  </si>
  <si>
    <t>5746</t>
  </si>
  <si>
    <t>8367</t>
  </si>
  <si>
    <t>2755</t>
  </si>
  <si>
    <t>2878</t>
  </si>
  <si>
    <t>2316</t>
  </si>
  <si>
    <t>2691</t>
  </si>
  <si>
    <t>2677</t>
  </si>
  <si>
    <t>2089</t>
  </si>
  <si>
    <t>3076</t>
  </si>
  <si>
    <t>2026-02-28</t>
  </si>
  <si>
    <t>18108</t>
  </si>
  <si>
    <t>11036</t>
  </si>
  <si>
    <t>4377</t>
  </si>
  <si>
    <t>10224</t>
  </si>
  <si>
    <t>7574</t>
  </si>
  <si>
    <t>7006</t>
  </si>
  <si>
    <t>6494</t>
  </si>
  <si>
    <t>12550</t>
  </si>
  <si>
    <t>2026-03-28</t>
  </si>
  <si>
    <t>7385</t>
  </si>
  <si>
    <t>5035</t>
  </si>
  <si>
    <t>20532</t>
  </si>
  <si>
    <t>7625</t>
  </si>
  <si>
    <t>4448</t>
  </si>
  <si>
    <t>34068</t>
  </si>
  <si>
    <t>7827</t>
  </si>
  <si>
    <t>11358</t>
  </si>
  <si>
    <t>2842</t>
  </si>
  <si>
    <t>7725</t>
  </si>
  <si>
    <t>22503</t>
  </si>
  <si>
    <t>2937</t>
  </si>
  <si>
    <t>9314</t>
  </si>
  <si>
    <t>8259</t>
  </si>
  <si>
    <t>5119</t>
  </si>
  <si>
    <t>8371</t>
  </si>
  <si>
    <t>16413</t>
  </si>
  <si>
    <t>22337</t>
  </si>
  <si>
    <t>11404</t>
  </si>
  <si>
    <t>8568</t>
  </si>
  <si>
    <t>7664</t>
  </si>
  <si>
    <t>3186</t>
  </si>
  <si>
    <t>6051</t>
  </si>
  <si>
    <t>6013</t>
  </si>
  <si>
    <t>2218</t>
  </si>
  <si>
    <t>7605</t>
  </si>
  <si>
    <t>11687</t>
  </si>
  <si>
    <t>11128</t>
  </si>
  <si>
    <t>7736</t>
  </si>
  <si>
    <t>15551</t>
  </si>
  <si>
    <t>8210</t>
  </si>
  <si>
    <t>20173</t>
  </si>
  <si>
    <t>1467</t>
  </si>
  <si>
    <t>4225</t>
  </si>
  <si>
    <t>12984</t>
  </si>
  <si>
    <t>7165</t>
  </si>
  <si>
    <t>5810</t>
  </si>
  <si>
    <t>13:00 (12:00)</t>
  </si>
  <si>
    <t>3401</t>
  </si>
  <si>
    <t>4774</t>
  </si>
  <si>
    <t>2470</t>
  </si>
  <si>
    <t>1258</t>
  </si>
  <si>
    <t>1853</t>
  </si>
  <si>
    <t>3108</t>
  </si>
  <si>
    <t>4519</t>
  </si>
  <si>
    <t>2418</t>
  </si>
  <si>
    <t>3070</t>
  </si>
  <si>
    <t>1786</t>
  </si>
  <si>
    <t>2475</t>
  </si>
  <si>
    <t>2763</t>
  </si>
  <si>
    <t>1879</t>
  </si>
  <si>
    <t>944</t>
  </si>
  <si>
    <t>1745</t>
  </si>
  <si>
    <t>2543</t>
  </si>
  <si>
    <t>3037</t>
  </si>
  <si>
    <t>1003</t>
  </si>
  <si>
    <t>1864</t>
  </si>
  <si>
    <t>2869</t>
  </si>
  <si>
    <t>2556</t>
  </si>
  <si>
    <t>2436</t>
  </si>
  <si>
    <t>Juho Nieminen</t>
  </si>
  <si>
    <t>2254</t>
  </si>
  <si>
    <t>961</t>
  </si>
  <si>
    <t>1637</t>
  </si>
  <si>
    <t>2090</t>
  </si>
  <si>
    <t>8102</t>
  </si>
  <si>
    <t>2882</t>
  </si>
  <si>
    <t>4568</t>
  </si>
  <si>
    <t>4003</t>
  </si>
  <si>
    <t>5786</t>
  </si>
  <si>
    <t>2223</t>
  </si>
  <si>
    <t>2884</t>
  </si>
  <si>
    <t>2102</t>
  </si>
  <si>
    <t>2026-06-13</t>
  </si>
  <si>
    <t>4137</t>
  </si>
  <si>
    <t>3716</t>
  </si>
  <si>
    <t>2397</t>
  </si>
  <si>
    <t>2783</t>
  </si>
  <si>
    <t>2457</t>
  </si>
  <si>
    <t>1926</t>
  </si>
  <si>
    <t>3930</t>
  </si>
  <si>
    <t>1486</t>
  </si>
  <si>
    <t>6748</t>
  </si>
  <si>
    <t>2572</t>
  </si>
  <si>
    <t>2137</t>
  </si>
  <si>
    <t>2664</t>
  </si>
  <si>
    <t>2430</t>
  </si>
  <si>
    <t>2169</t>
  </si>
  <si>
    <t>2460</t>
  </si>
  <si>
    <t>3653</t>
  </si>
  <si>
    <t>4152</t>
  </si>
  <si>
    <t>2177</t>
  </si>
  <si>
    <t>2025-02-15</t>
  </si>
  <si>
    <t>12195</t>
  </si>
  <si>
    <t>32713</t>
  </si>
  <si>
    <t>22266</t>
  </si>
  <si>
    <t>9923</t>
  </si>
  <si>
    <t>14575</t>
  </si>
  <si>
    <t>23005</t>
  </si>
  <si>
    <t>13025</t>
  </si>
  <si>
    <t>2025-02-22</t>
  </si>
  <si>
    <t>18141</t>
  </si>
  <si>
    <t>31088</t>
  </si>
  <si>
    <t>14718</t>
  </si>
  <si>
    <t>13695</t>
  </si>
  <si>
    <t>7274</t>
  </si>
  <si>
    <t>26021</t>
  </si>
  <si>
    <t>29545</t>
  </si>
  <si>
    <t>22614</t>
  </si>
  <si>
    <t>16002</t>
  </si>
  <si>
    <t>2025-03-01</t>
  </si>
  <si>
    <t>25561</t>
  </si>
  <si>
    <t>21421</t>
  </si>
  <si>
    <t>20890</t>
  </si>
  <si>
    <t>22404</t>
  </si>
  <si>
    <t>2025-03-08</t>
  </si>
  <si>
    <t>35269</t>
  </si>
  <si>
    <t>14:05 (06:05)</t>
  </si>
  <si>
    <t>20503</t>
  </si>
  <si>
    <t>29071</t>
  </si>
  <si>
    <t>16:00 (08:00)</t>
  </si>
  <si>
    <t>13309</t>
  </si>
  <si>
    <t>19654</t>
  </si>
  <si>
    <t>17171</t>
  </si>
  <si>
    <t>7934</t>
  </si>
  <si>
    <t>2025-03-15</t>
  </si>
  <si>
    <t>16300</t>
  </si>
  <si>
    <t>7721</t>
  </si>
  <si>
    <t>10152</t>
  </si>
  <si>
    <t>6431</t>
  </si>
  <si>
    <t>2025-03-29</t>
  </si>
  <si>
    <t>12:55 (04:55)</t>
  </si>
  <si>
    <t>14892</t>
  </si>
  <si>
    <t>17684</t>
  </si>
  <si>
    <t>20497</t>
  </si>
  <si>
    <t>11888</t>
  </si>
  <si>
    <t>32226</t>
  </si>
  <si>
    <t>14393</t>
  </si>
  <si>
    <t>22601</t>
  </si>
  <si>
    <t>7600</t>
  </si>
  <si>
    <t>17:00 (09:00)</t>
  </si>
  <si>
    <t>33632</t>
  </si>
  <si>
    <t>2025-04-05</t>
  </si>
  <si>
    <t>24170</t>
  </si>
  <si>
    <t>2025-04-12</t>
  </si>
  <si>
    <t>00:00 (07:00)</t>
  </si>
  <si>
    <t>26135</t>
  </si>
  <si>
    <t>8255</t>
  </si>
  <si>
    <t>17629</t>
  </si>
  <si>
    <t>28074</t>
  </si>
  <si>
    <t>19410</t>
  </si>
  <si>
    <t>17474</t>
  </si>
  <si>
    <t>11419</t>
  </si>
  <si>
    <t>2025-04-19</t>
  </si>
  <si>
    <t>2025-04-26</t>
  </si>
  <si>
    <t>13030</t>
  </si>
  <si>
    <t>2025-05-03</t>
  </si>
  <si>
    <t>25631</t>
  </si>
  <si>
    <t>30272</t>
  </si>
  <si>
    <t>52847</t>
  </si>
  <si>
    <t>25596</t>
  </si>
  <si>
    <t>52429</t>
  </si>
  <si>
    <t>28352</t>
  </si>
  <si>
    <t>33762</t>
  </si>
  <si>
    <t>18452</t>
  </si>
  <si>
    <t>2025-05-10</t>
  </si>
  <si>
    <t>8311</t>
  </si>
  <si>
    <t>24837</t>
  </si>
  <si>
    <t>12414</t>
  </si>
  <si>
    <t>2025-05-17</t>
  </si>
  <si>
    <t>20786</t>
  </si>
  <si>
    <t>8741</t>
  </si>
  <si>
    <t>23275</t>
  </si>
  <si>
    <t>14:30 (07:30)</t>
  </si>
  <si>
    <t>7370</t>
  </si>
  <si>
    <t>8476</t>
  </si>
  <si>
    <t>36002</t>
  </si>
  <si>
    <t>2025-05-24</t>
  </si>
  <si>
    <t>14693</t>
  </si>
  <si>
    <t>17:30 (10:30)</t>
  </si>
  <si>
    <t>31001</t>
  </si>
  <si>
    <t>2025-05-31</t>
  </si>
  <si>
    <t>23541</t>
  </si>
  <si>
    <t>10289</t>
  </si>
  <si>
    <t>7409</t>
  </si>
  <si>
    <t>12989</t>
  </si>
  <si>
    <t>25909</t>
  </si>
  <si>
    <t>32013</t>
  </si>
  <si>
    <t>16302</t>
  </si>
  <si>
    <t>2025-06-14</t>
  </si>
  <si>
    <t>10745</t>
  </si>
  <si>
    <t>22725</t>
  </si>
  <si>
    <t>11188</t>
  </si>
  <si>
    <t>24572</t>
  </si>
  <si>
    <t>2025-06-21</t>
  </si>
  <si>
    <t>11350</t>
  </si>
  <si>
    <t>13828</t>
  </si>
  <si>
    <t>18024</t>
  </si>
  <si>
    <t>12954</t>
  </si>
  <si>
    <t>23103</t>
  </si>
  <si>
    <t>33833</t>
  </si>
  <si>
    <t>29282</t>
  </si>
  <si>
    <t>2025-06-28</t>
  </si>
  <si>
    <t>22254</t>
  </si>
  <si>
    <t>18159</t>
  </si>
  <si>
    <t>24233</t>
  </si>
  <si>
    <t>11783</t>
  </si>
  <si>
    <t>13031</t>
  </si>
  <si>
    <t>26246</t>
  </si>
  <si>
    <t>20174</t>
  </si>
  <si>
    <t>2025-07-05</t>
  </si>
  <si>
    <t>11779</t>
  </si>
  <si>
    <t>18:55 (11:55)</t>
  </si>
  <si>
    <t>15451</t>
  </si>
  <si>
    <t>14633</t>
  </si>
  <si>
    <t>13447</t>
  </si>
  <si>
    <t>20941</t>
  </si>
  <si>
    <t>13300</t>
  </si>
  <si>
    <t>34095</t>
  </si>
  <si>
    <t>22365</t>
  </si>
  <si>
    <t>23675</t>
  </si>
  <si>
    <t>2025-07-19</t>
  </si>
  <si>
    <t>11213</t>
  </si>
  <si>
    <t>35687</t>
  </si>
  <si>
    <t>2025-08-09</t>
  </si>
  <si>
    <t>26902</t>
  </si>
  <si>
    <t>13048</t>
  </si>
  <si>
    <t>22062</t>
  </si>
  <si>
    <t>2025-08-16</t>
  </si>
  <si>
    <t>30672</t>
  </si>
  <si>
    <t>18198</t>
  </si>
  <si>
    <t>11971</t>
  </si>
  <si>
    <t>23166</t>
  </si>
  <si>
    <t>18300</t>
  </si>
  <si>
    <t>26493</t>
  </si>
  <si>
    <t>12608</t>
  </si>
  <si>
    <t>25925</t>
  </si>
  <si>
    <t>45652</t>
  </si>
  <si>
    <t>2025-08-23</t>
  </si>
  <si>
    <t>11434</t>
  </si>
  <si>
    <t>40055</t>
  </si>
  <si>
    <t>21578</t>
  </si>
  <si>
    <t>27994</t>
  </si>
  <si>
    <t>17480</t>
  </si>
  <si>
    <t>14256</t>
  </si>
  <si>
    <t>26100</t>
  </si>
  <si>
    <t>32188</t>
  </si>
  <si>
    <t>2025-08-30</t>
  </si>
  <si>
    <t>10512</t>
  </si>
  <si>
    <t>20030</t>
  </si>
  <si>
    <t>23198</t>
  </si>
  <si>
    <t>2025-09-13</t>
  </si>
  <si>
    <t>9643</t>
  </si>
  <si>
    <t>14735</t>
  </si>
  <si>
    <t>24557</t>
  </si>
  <si>
    <t>23121</t>
  </si>
  <si>
    <t>31998</t>
  </si>
  <si>
    <t>Elmoiz Ali Mohamed Ahmed</t>
  </si>
  <si>
    <t>41221</t>
  </si>
  <si>
    <t>2025-09-20</t>
  </si>
  <si>
    <t>29550</t>
  </si>
  <si>
    <t>Mohamed Ahmed Al Shrief</t>
  </si>
  <si>
    <t>9462</t>
  </si>
  <si>
    <t>13516</t>
  </si>
  <si>
    <t>18938</t>
  </si>
  <si>
    <t>53301</t>
  </si>
  <si>
    <t>19056</t>
  </si>
  <si>
    <t>21840</t>
  </si>
  <si>
    <t>22338</t>
  </si>
  <si>
    <t>2025-09-27</t>
  </si>
  <si>
    <t>10113</t>
  </si>
  <si>
    <t>34648</t>
  </si>
  <si>
    <t>24643</t>
  </si>
  <si>
    <t>11472</t>
  </si>
  <si>
    <t>18914</t>
  </si>
  <si>
    <t>2025-10-04</t>
  </si>
  <si>
    <t>02:00 (09:00)</t>
  </si>
  <si>
    <t>25877</t>
  </si>
  <si>
    <t>17099</t>
  </si>
  <si>
    <t>13:30 (06:30)</t>
  </si>
  <si>
    <t>33496</t>
  </si>
  <si>
    <t>19567</t>
  </si>
  <si>
    <t>9076</t>
  </si>
  <si>
    <t>38062</t>
  </si>
  <si>
    <t>13884</t>
  </si>
  <si>
    <t>19265</t>
  </si>
  <si>
    <t>2025-10-18</t>
  </si>
  <si>
    <t>17497</t>
  </si>
  <si>
    <t>9680</t>
  </si>
  <si>
    <t>30282</t>
  </si>
  <si>
    <t>14903</t>
  </si>
  <si>
    <t>22292</t>
  </si>
  <si>
    <t>11465</t>
  </si>
  <si>
    <t>36442</t>
  </si>
  <si>
    <t>2025-10-25</t>
  </si>
  <si>
    <t>34551</t>
  </si>
  <si>
    <t>20353</t>
  </si>
  <si>
    <t>16814</t>
  </si>
  <si>
    <t>12950</t>
  </si>
  <si>
    <t>27356</t>
  </si>
  <si>
    <t>24664</t>
  </si>
  <si>
    <t>30084</t>
  </si>
  <si>
    <t>17360</t>
  </si>
  <si>
    <t>2025-11-08</t>
  </si>
  <si>
    <t>34873</t>
  </si>
  <si>
    <t>15091</t>
  </si>
  <si>
    <t>23343</t>
  </si>
  <si>
    <t>11505</t>
  </si>
  <si>
    <t>13634</t>
  </si>
  <si>
    <t>23:00 (05:00)</t>
  </si>
  <si>
    <t>26383</t>
  </si>
  <si>
    <t>38</t>
  </si>
  <si>
    <t>2025-12-06</t>
  </si>
  <si>
    <t>26373</t>
  </si>
  <si>
    <t>18346</t>
  </si>
  <si>
    <t>47878</t>
  </si>
  <si>
    <t>36276</t>
  </si>
  <si>
    <t>20074</t>
  </si>
  <si>
    <t>14092</t>
  </si>
  <si>
    <t>19070</t>
  </si>
  <si>
    <t>37079</t>
  </si>
  <si>
    <t>34975</t>
  </si>
  <si>
    <t>33627</t>
  </si>
  <si>
    <t>Rk</t>
  </si>
  <si>
    <t>Squad</t>
  </si>
  <si>
    <t>MP</t>
  </si>
  <si>
    <t>W</t>
  </si>
  <si>
    <t>GA</t>
  </si>
  <si>
    <t>GD</t>
  </si>
  <si>
    <t>Pts</t>
  </si>
  <si>
    <t>Pts/MP</t>
  </si>
  <si>
    <t>Last 5</t>
  </si>
  <si>
    <t>Top Team Scorer</t>
  </si>
  <si>
    <t>Goalkeeper</t>
  </si>
  <si>
    <t>W W W D W</t>
  </si>
  <si>
    <t>Robbie Ure - 12</t>
  </si>
  <si>
    <t>David Celic</t>
  </si>
  <si>
    <t>L L L W W</t>
  </si>
  <si>
    <t>Paulos Abraham - 7</t>
  </si>
  <si>
    <t>Warner Hahn</t>
  </si>
  <si>
    <t>W L W W W</t>
  </si>
  <si>
    <t>Johan Hove - 4</t>
  </si>
  <si>
    <t>Kristoffer Nordfeldt</t>
  </si>
  <si>
    <t>W D W L L</t>
  </si>
  <si>
    <t>Gustav Lindgren - 5</t>
  </si>
  <si>
    <t>Andreas Linde</t>
  </si>
  <si>
    <t>W L L W W</t>
  </si>
  <si>
    <t>Kristian Strømland Lien - 7</t>
  </si>
  <si>
    <t>Jacob Rinne</t>
  </si>
  <si>
    <t>L L W W W</t>
  </si>
  <si>
    <t>Erik Botheim - 10</t>
  </si>
  <si>
    <t>Robin Olsen</t>
  </si>
  <si>
    <t>L W D W L</t>
  </si>
  <si>
    <t>Samuel Salter, Robert Þorkelsson - 3</t>
  </si>
  <si>
    <t>Mergim Krasniqi</t>
  </si>
  <si>
    <t>W L W W D</t>
  </si>
  <si>
    <t>Mikkel Ladefoged - 9</t>
  </si>
  <si>
    <t>Elis Jäger</t>
  </si>
  <si>
    <t>D D D L L</t>
  </si>
  <si>
    <t>Leo Östman - 4</t>
  </si>
  <si>
    <t>Isak Pettersson</t>
  </si>
  <si>
    <t>D D D L D</t>
  </si>
  <si>
    <t>Jacob Bergström - 5</t>
  </si>
  <si>
    <t>Robin Wallinder</t>
  </si>
  <si>
    <t>W D D L L</t>
  </si>
  <si>
    <t>Mads Hansen - 4</t>
  </si>
  <si>
    <t>Leo Cavallius</t>
  </si>
  <si>
    <t>L W L W L</t>
  </si>
  <si>
    <t>Charlie Rosenquist - 5</t>
  </si>
  <si>
    <t>Samuel Brolin, Jakob Kindberg</t>
  </si>
  <si>
    <t>D W L L W</t>
  </si>
  <si>
    <t>Tobias Heintz - 6</t>
  </si>
  <si>
    <t>Elis Bishesari</t>
  </si>
  <si>
    <t>D L D L L</t>
  </si>
  <si>
    <t>Arman Taranis, Marcus Rafferty - 2</t>
  </si>
  <si>
    <t>Matvei Igonen</t>
  </si>
  <si>
    <t>L L D L W</t>
  </si>
  <si>
    <t>Noah Christoffersson - 4</t>
  </si>
  <si>
    <t>Hampus Gustafsson</t>
  </si>
  <si>
    <t>D W L L L</t>
  </si>
  <si>
    <t>Omar Faraj - 3</t>
  </si>
  <si>
    <t>Tim Rönning</t>
  </si>
  <si>
    <t>W W D D D</t>
  </si>
  <si>
    <t>Felipe Sousa - 11</t>
  </si>
  <si>
    <t>Liu Dianzuo</t>
  </si>
  <si>
    <t>L W L D D</t>
  </si>
  <si>
    <t>Landry Dimata - 7</t>
  </si>
  <si>
    <t>Yao Haoyang</t>
  </si>
  <si>
    <t>Cephas Malele - 8</t>
  </si>
  <si>
    <t>Huang Zihao</t>
  </si>
  <si>
    <t>D W W L D</t>
  </si>
  <si>
    <t>Nelson - 8</t>
  </si>
  <si>
    <t>Li Hao</t>
  </si>
  <si>
    <t>D L W L D</t>
  </si>
  <si>
    <t>Oscar Maritu - 13</t>
  </si>
  <si>
    <t>Wang Zhifeng</t>
  </si>
  <si>
    <t>Cryzan - 11</t>
  </si>
  <si>
    <t>Wang Dalei</t>
  </si>
  <si>
    <t>L W W W D</t>
  </si>
  <si>
    <t>Zhang Yuning - 7</t>
  </si>
  <si>
    <t>Hou Sen</t>
  </si>
  <si>
    <t>W W L W D</t>
  </si>
  <si>
    <t>Guy Mbenza - 9</t>
  </si>
  <si>
    <t>Han Rongze, Zhang Yan</t>
  </si>
  <si>
    <t>W L L W D</t>
  </si>
  <si>
    <t>Wang Yudong - 7</t>
  </si>
  <si>
    <t>Zhao Bo</t>
  </si>
  <si>
    <t>W L L W L</t>
  </si>
  <si>
    <t>Wesley Moraes - 8</t>
  </si>
  <si>
    <t>Peng Peng</t>
  </si>
  <si>
    <t>L D W W L</t>
  </si>
  <si>
    <t>Rafael Ratão - 13</t>
  </si>
  <si>
    <t>Xue Qinghao</t>
  </si>
  <si>
    <t>W L L L W</t>
  </si>
  <si>
    <t>Bruno Nazário, Gustavo - 7</t>
  </si>
  <si>
    <t>Wang Guoming</t>
  </si>
  <si>
    <t>Leo - 5</t>
  </si>
  <si>
    <t>Yan Junling</t>
  </si>
  <si>
    <t>L W D L L</t>
  </si>
  <si>
    <t>Yaw Yeboah, Malcolm Edjouma - 6</t>
  </si>
  <si>
    <t>Mou Pengfei</t>
  </si>
  <si>
    <t>D W L W W</t>
  </si>
  <si>
    <t>Alberto Quiles - 8</t>
  </si>
  <si>
    <t>Yan Bingliang</t>
  </si>
  <si>
    <t>D D L L W</t>
  </si>
  <si>
    <t>Jhonder Cádiz - 13</t>
  </si>
  <si>
    <t>Fang Jingqi</t>
  </si>
  <si>
    <t>L D D W W</t>
  </si>
  <si>
    <t>Jens Hjertø-Dahl - 7</t>
  </si>
  <si>
    <t>Jakob Haugaard</t>
  </si>
  <si>
    <t>W W W L W</t>
  </si>
  <si>
    <t>Peter Christiansen - 6</t>
  </si>
  <si>
    <t>Ľubomír Belko</t>
  </si>
  <si>
    <t>W W D W W</t>
  </si>
  <si>
    <t>Kasper Waarst Høgh - 7</t>
  </si>
  <si>
    <t>Nikita Haikin</t>
  </si>
  <si>
    <t>Thomas Lehne Olsen, Markus Karlsbakk... - 4</t>
  </si>
  <si>
    <t>Pontus Dahlberg</t>
  </si>
  <si>
    <t>W L W D L</t>
  </si>
  <si>
    <t>Emil Breivik - 6</t>
  </si>
  <si>
    <t>Albert Posiadala</t>
  </si>
  <si>
    <t>Noah Holm - 5</t>
  </si>
  <si>
    <t>Mathias Dyngeland, Simen Nilsen</t>
  </si>
  <si>
    <t>L W D D L</t>
  </si>
  <si>
    <t>Mame Alassane Niang - 6</t>
  </si>
  <si>
    <t>Marcus Sandberg</t>
  </si>
  <si>
    <t>Daniel Karlsbakk - 4</t>
  </si>
  <si>
    <t>Mamour Ndiaye</t>
  </si>
  <si>
    <t>W L W L W</t>
  </si>
  <si>
    <t>Lucas Haren - 5</t>
  </si>
  <si>
    <t>Oscar Hedvall</t>
  </si>
  <si>
    <t>L L D W W</t>
  </si>
  <si>
    <t>Amin Chiakha - 5</t>
  </si>
  <si>
    <t>Leopold Wahlstedt</t>
  </si>
  <si>
    <t>L D L D L</t>
  </si>
  <si>
    <t>Evangelos Patoulidis, Nikolaj Moller - 3</t>
  </si>
  <si>
    <t>Elias Hadaya</t>
  </si>
  <si>
    <t>Daniel Eid, Oskar Øhlenschlæger... - 2</t>
  </si>
  <si>
    <t>Martin Børsheim</t>
  </si>
  <si>
    <t>Teodor Haltvik - 4</t>
  </si>
  <si>
    <t>Emil Ødegaard</t>
  </si>
  <si>
    <t>W D D D L</t>
  </si>
  <si>
    <t>Kristian Lonebu - 5</t>
  </si>
  <si>
    <t>Kristoffer Klaesson</t>
  </si>
  <si>
    <t>W L L L D</t>
  </si>
  <si>
    <t>Leander Alvheim - 5</t>
  </si>
  <si>
    <t>Adrian Sæther</t>
  </si>
  <si>
    <t>L W L L L</t>
  </si>
  <si>
    <t>Jesper Cornelius - 4</t>
  </si>
  <si>
    <t>Jacob Pryts</t>
  </si>
  <si>
    <t>L W D W W</t>
  </si>
  <si>
    <t>Graham Burke - 7</t>
  </si>
  <si>
    <t>Ed McGinty</t>
  </si>
  <si>
    <t>Colm Whelan - 9</t>
  </si>
  <si>
    <t>Kacper Chorążka</t>
  </si>
  <si>
    <t>Ryan Edmondson - 9</t>
  </si>
  <si>
    <t>Joseph Anang</t>
  </si>
  <si>
    <t>W W L L L</t>
  </si>
  <si>
    <t>Gbemi Arubi - 8</t>
  </si>
  <si>
    <t>Enda Minogue</t>
  </si>
  <si>
    <t>W D L D W</t>
  </si>
  <si>
    <t>Harry Wood - 10</t>
  </si>
  <si>
    <t>Wessel Speel</t>
  </si>
  <si>
    <t>W L D W L</t>
  </si>
  <si>
    <t>Michael Duffy - 6</t>
  </si>
  <si>
    <t>Eddie Beach</t>
  </si>
  <si>
    <t>L W L L W</t>
  </si>
  <si>
    <t>Kris Twardek - 6</t>
  </si>
  <si>
    <t>Evan Watts</t>
  </si>
  <si>
    <t>L D L L W</t>
  </si>
  <si>
    <t>Mark Doyle - 9</t>
  </si>
  <si>
    <t>Luke Dennison</t>
  </si>
  <si>
    <t>Tommy Lonergan - 12</t>
  </si>
  <si>
    <t>Stephen McMullan</t>
  </si>
  <si>
    <t>L L D L L</t>
  </si>
  <si>
    <t>William Fitzgerald - 5</t>
  </si>
  <si>
    <t>Sam Sargeant</t>
  </si>
  <si>
    <t>Leonardo - 21</t>
  </si>
  <si>
    <t>Tomoki Hayakawa</t>
  </si>
  <si>
    <t>Mao Hosoya - 11</t>
  </si>
  <si>
    <t>Ryosuke Kojima</t>
  </si>
  <si>
    <t>Rafael Elias - 18</t>
  </si>
  <si>
    <t>Gakuji Ota</t>
  </si>
  <si>
    <t>Sota Nakamura, Kosuke Kinoshita - 6</t>
  </si>
  <si>
    <t>Keisuke Ōsako</t>
  </si>
  <si>
    <t>Taisei Miyashiro - 11</t>
  </si>
  <si>
    <t>Daiya Maekawa</t>
  </si>
  <si>
    <t>Yuki Soma - 9</t>
  </si>
  <si>
    <t>Kosei Tani</t>
  </si>
  <si>
    <t>Ryoma Watanabe - 7</t>
  </si>
  <si>
    <t>Shusaku Nishikawa</t>
  </si>
  <si>
    <t>Tatsuya Ito - 13</t>
  </si>
  <si>
    <t>Louis Yamaguchi</t>
  </si>
  <si>
    <t>Takashi Usami - 8</t>
  </si>
  <si>
    <t>Jun Ichimori</t>
  </si>
  <si>
    <t>Rafael Ratão - 18</t>
  </si>
  <si>
    <t>Koki Fukui</t>
  </si>
  <si>
    <t>Marcelo Ryan - 8</t>
  </si>
  <si>
    <t>Taishi Nozawa</t>
  </si>
  <si>
    <t>Tomoya Miki - 6</t>
  </si>
  <si>
    <t>Yuma Obata</t>
  </si>
  <si>
    <t>Ataru Esaka, Ryūnosuke Satō - 6</t>
  </si>
  <si>
    <t>Svend Brodersen</t>
  </si>
  <si>
    <t>Koya Kitagawa - 10</t>
  </si>
  <si>
    <t>Yuya Oki</t>
  </si>
  <si>
    <t>Asahi Uenaka - 8</t>
  </si>
  <si>
    <t>Park Iru-gyu</t>
  </si>
  <si>
    <t>Sho Inagaki - 11</t>
  </si>
  <si>
    <t>Alexandre Pisano</t>
  </si>
  <si>
    <t>Itsuki Someno - 5</t>
  </si>
  <si>
    <t>Matheus Vidotto</t>
  </si>
  <si>
    <t>Soromon Sakuragawa - 4</t>
  </si>
  <si>
    <t>Akinori Ichikawa</t>
  </si>
  <si>
    <t>Relegated</t>
  </si>
  <si>
    <t>Akito Suzuki - 9</t>
  </si>
  <si>
    <t>Naoto Kamifukumoto</t>
  </si>
  <si>
    <t>Motoki Hasegawa - 7</t>
  </si>
  <si>
    <t>Kazuki Fujita</t>
  </si>
  <si>
    <t>Patryk Klimala - 5</t>
  </si>
  <si>
    <t>Gu Sung-yun</t>
  </si>
  <si>
    <t>Kim Daewon - 7</t>
  </si>
  <si>
    <t>Park Chung-hyo</t>
  </si>
  <si>
    <t>D W L W L</t>
  </si>
  <si>
    <t>Lee Seung-woo - 5</t>
  </si>
  <si>
    <t>Song Bum-keun</t>
  </si>
  <si>
    <t>W L D L D</t>
  </si>
  <si>
    <t>Yago Cariello - 8</t>
  </si>
  <si>
    <t>Jo Hyeon-woo</t>
  </si>
  <si>
    <t>W L W W L</t>
  </si>
  <si>
    <t>Lee Hojae - 8</t>
  </si>
  <si>
    <t>Hwang Injae</t>
  </si>
  <si>
    <t>Stefan Mugoša - 7</t>
  </si>
  <si>
    <t>Kim Dongheon</t>
  </si>
  <si>
    <t>D D W L W</t>
  </si>
  <si>
    <t>Matheus Oliveira Santos, Airton - 5</t>
  </si>
  <si>
    <t>Kim JeongHoon</t>
  </si>
  <si>
    <t>L L D D W</t>
  </si>
  <si>
    <t>Park Changjun, Emerson Negueba - 2</t>
  </si>
  <si>
    <t>Kim Dong-jun</t>
  </si>
  <si>
    <t>L L D D D</t>
  </si>
  <si>
    <t>Jeong Jae-hee, Seo Jinsu - 4</t>
  </si>
  <si>
    <t>Lee Chang-keun</t>
  </si>
  <si>
    <t>L D W D D</t>
  </si>
  <si>
    <t>Jefferson Galego - 4</t>
  </si>
  <si>
    <t>Kim Hyung-keun</t>
  </si>
  <si>
    <t>D L D D L</t>
  </si>
  <si>
    <t>Go Jaehyeon - 5</t>
  </si>
  <si>
    <t>Baek Jongbum</t>
  </si>
  <si>
    <t>Relegated 1</t>
  </si>
  <si>
    <t>D L L D L</t>
  </si>
  <si>
    <t>Sin Chang-moo, Moon Minseo - 3</t>
  </si>
  <si>
    <t>Kim Kyeong-min</t>
  </si>
  <si>
    <t>D W W W W</t>
  </si>
  <si>
    <t>Jaime Moreno Ciorciari - 9</t>
  </si>
  <si>
    <t>Johannes Kreidl</t>
  </si>
  <si>
    <t>D D D D W</t>
  </si>
  <si>
    <t>Alie Conteh - 7</t>
  </si>
  <si>
    <t>Eetu Huuhtanen</t>
  </si>
  <si>
    <t>W D W W L</t>
  </si>
  <si>
    <t>Luka Smyth - 7</t>
  </si>
  <si>
    <t>Mamadou Wurie Jalloh</t>
  </si>
  <si>
    <t>W L D L L</t>
  </si>
  <si>
    <t>Rasmus Karjalainen - 8</t>
  </si>
  <si>
    <t>Miguel Santos</t>
  </si>
  <si>
    <t>Mads Borchers - 7</t>
  </si>
  <si>
    <t>Matej Marković</t>
  </si>
  <si>
    <t>D D L W W</t>
  </si>
  <si>
    <t>Adeleke Akinyemi - 9</t>
  </si>
  <si>
    <t>Alex Craninx</t>
  </si>
  <si>
    <t>L D W L W</t>
  </si>
  <si>
    <t>Albijon Muzaci - 7</t>
  </si>
  <si>
    <t>Elmo Henriksson</t>
  </si>
  <si>
    <t>Otso Koskinen, Neemias Barbosa - 3</t>
  </si>
  <si>
    <t>Osku Maukonen</t>
  </si>
  <si>
    <t>W W L D L</t>
  </si>
  <si>
    <t>Jardell Kanga - 8</t>
  </si>
  <si>
    <t>Faris Krkalić</t>
  </si>
  <si>
    <t>D D W L L</t>
  </si>
  <si>
    <t>Kasper Paananen - 4</t>
  </si>
  <si>
    <t>Roope Paunio</t>
  </si>
  <si>
    <t>Herman Sjögrell - 6</t>
  </si>
  <si>
    <t>Senne Vits</t>
  </si>
  <si>
    <t>L L L L L</t>
  </si>
  <si>
    <t>Sebastian Dahlström - 2</t>
  </si>
  <si>
    <t>Matias Riikonen</t>
  </si>
  <si>
    <t>Diff. Reti</t>
  </si>
  <si>
    <t>12+under 4,5</t>
  </si>
  <si>
    <t>Multigol</t>
  </si>
  <si>
    <t>%</t>
  </si>
  <si>
    <t>Gol Casa</t>
  </si>
  <si>
    <t>Gol Ospite</t>
  </si>
  <si>
    <t>Totale</t>
  </si>
  <si>
    <t>Under 4,5</t>
  </si>
  <si>
    <t>0-2</t>
  </si>
  <si>
    <t>1-3</t>
  </si>
  <si>
    <t>2-5</t>
  </si>
  <si>
    <t>0-2 Casa</t>
  </si>
  <si>
    <t>1-3 Casa</t>
  </si>
  <si>
    <t>2-5 Casa</t>
  </si>
  <si>
    <t>0-2 Ospiti</t>
  </si>
  <si>
    <t>1-3 Ospiti</t>
  </si>
  <si>
    <t>2-5 Ospiti</t>
  </si>
  <si>
    <t>Over 1,5</t>
  </si>
  <si>
    <t>12+U 4,5</t>
  </si>
  <si>
    <t>Diff.</t>
  </si>
  <si>
    <t>Giornata</t>
  </si>
  <si>
    <t>Turno</t>
  </si>
  <si>
    <t>Squadra Casa</t>
  </si>
  <si>
    <t>Risultati</t>
  </si>
  <si>
    <t>Squadra Ospite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</si>
</sst>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11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27431236-A878-4976-9B1E-0A0EF9518701}" autoFormatId="16" applyNumberFormats="0" applyBorderFormats="0" applyFontFormats="0" applyPatternFormats="0" applyAlignmentFormats="0" applyWidthHeightFormats="0">
  <queryTableRefresh nextId="48" unboundColumnsRight="13">
    <queryTableFields count="25">
      <queryTableField id="1" name="Campionato" tableColumnId="1"/>
      <queryTableField id="28" name="Turno" tableColumnId="2"/>
      <queryTableField id="29" name="Sat" tableColumnId="3"/>
      <queryTableField id="30" name="Data" tableColumnId="4"/>
      <queryTableField id="31" name="Ora" tableColumnId="5"/>
      <queryTableField id="32" name="Squadra Casa" tableColumnId="6"/>
      <queryTableField id="33" name="Risultati" tableColumnId="7"/>
      <queryTableField id="34" name="Squadra Ospite" tableColumnId="8"/>
      <queryTableField id="35" name="4015" tableColumnId="9"/>
      <queryTableField id="36" name="Stora Valla" tableColumnId="10"/>
      <queryTableField id="37" name="Fredrik Klitte" tableColumnId="11"/>
      <queryTableField id="12" name="Match Report" tableColumnId="12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</queryTable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59D88EBE-CBA3-4AFD-A574-EA65CD54AF16}" autoFormatId="16" applyNumberFormats="0" applyBorderFormats="0" applyFontFormats="0" applyPatternFormats="0" applyAlignmentFormats="0" applyWidthHeightFormats="0">
  <queryTableRefresh nextId="18">
    <queryTableFields count="17">
      <queryTableField id="1" name="Campionato" tableColumnId="1"/>
      <queryTableField id="2" name="Rk" tableColumnId="2"/>
      <queryTableField id="3" name="Squad" tableColumnId="3"/>
      <queryTableField id="4" name="MP" tableColumnId="4"/>
      <queryTableField id="5" name="W" tableColumnId="5"/>
      <queryTableField id="6" name="D" tableColumnId="6"/>
      <queryTableField id="7" name="L" tableColumnId="7"/>
      <queryTableField id="8" name="GF" tableColumnId="8"/>
      <queryTableField id="9" name="GA" tableColumnId="9"/>
      <queryTableField id="10" name="GD" tableColumnId="10"/>
      <queryTableField id="11" name="Pts" tableColumnId="11"/>
      <queryTableField id="12" name="Pts/MP" tableColumnId="12"/>
      <queryTableField id="13" name="Last 5" tableColumnId="13"/>
      <queryTableField id="14" name="Attendance" tableColumnId="14"/>
      <queryTableField id="15" name="Top Team Scorer" tableColumnId="15"/>
      <queryTableField id="16" name="Goalkeeper" tableColumnId="16"/>
      <queryTableField id="17" name="Notes" tableColumnId="17"/>
    </queryTableFields>
  </queryTableRefresh>
  <extLst>
    <ext xmlns:x15="http://schemas.microsoft.com/office/spreadsheetml/2010/11/main" uri="{883FBD77-0823-4a55-B5E3-86C4891E6966}">
      <x15:queryTable sourceDataName="Query - Sheet1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07958-E97E-4453-BA24-6E9394BAAED7}" name="Sheet1" displayName="Sheet1" ref="B1:Z2321" tableType="queryTable" totalsRowShown="0">
  <autoFilter ref="B1:Z2321" xr:uid="{0F407958-E97E-4453-BA24-6E9394BAAED7}"/>
  <sortState xmlns:xlrd2="http://schemas.microsoft.com/office/spreadsheetml/2017/richdata2" ref="B2:Z2321">
    <sortCondition ref="E1:E2321"/>
  </sortState>
  <tableColumns count="25">
    <tableColumn id="1" xr3:uid="{B247B06D-7E7C-4765-9E0B-D19B528D744A}" uniqueName="1" name="Campionato" queryTableFieldId="1" dataDxfId="111"/>
    <tableColumn id="2" xr3:uid="{81285B77-9F93-46B4-A67D-9353ABA45805}" uniqueName="2" name="Turno" queryTableFieldId="28" dataDxfId="110"/>
    <tableColumn id="3" xr3:uid="{D3E715D3-0DAC-4D9D-AB7C-78F946D69771}" uniqueName="3" name="Sat" queryTableFieldId="29" dataDxfId="109"/>
    <tableColumn id="4" xr3:uid="{40AECE83-7411-41B9-B4D0-4AB50CD239A3}" uniqueName="4" name="Data" queryTableFieldId="30" dataDxfId="108"/>
    <tableColumn id="5" xr3:uid="{7E45A45E-E0D4-426F-8CC6-6B208B5B6F03}" uniqueName="5" name="Ora" queryTableFieldId="31" dataDxfId="107"/>
    <tableColumn id="6" xr3:uid="{02B6464A-7385-4C8E-9EC9-FAD5794393CE}" uniqueName="6" name="Squadra Casa" queryTableFieldId="32" dataDxfId="106"/>
    <tableColumn id="7" xr3:uid="{2D3D845B-3A3A-41FB-9DED-717A95C48A8C}" uniqueName="7" name="Risultati" queryTableFieldId="33" dataDxfId="105"/>
    <tableColumn id="8" xr3:uid="{994CF988-BB62-466B-8D7B-5E8BF89BB183}" uniqueName="8" name="Squadra Ospite" queryTableFieldId="34" dataDxfId="104"/>
    <tableColumn id="9" xr3:uid="{BFEAF351-FFBE-4341-8BBB-474DF54EC4B3}" uniqueName="9" name="4015" queryTableFieldId="35" dataDxfId="103"/>
    <tableColumn id="10" xr3:uid="{FB01D50E-9447-4746-876E-E53654A62EC2}" uniqueName="10" name="Stora Valla" queryTableFieldId="36" dataDxfId="102"/>
    <tableColumn id="11" xr3:uid="{500B8D88-9FC4-4FC4-8705-7D889D45B431}" uniqueName="11" name="Fredrik Klitte" queryTableFieldId="37" dataDxfId="101"/>
    <tableColumn id="12" xr3:uid="{CB850B05-7D51-471F-BE55-F3C4AAA0E245}" uniqueName="12" name="Match Report" queryTableFieldId="12" dataDxfId="100"/>
    <tableColumn id="15" xr3:uid="{EBBC7510-4F1B-4D2D-893F-04EAD0A581FD}" uniqueName="15" name="Gol Casa" queryTableFieldId="15" dataDxfId="99">
      <calculatedColumnFormula>VALUE(LEFT(H2,1))</calculatedColumnFormula>
    </tableColumn>
    <tableColumn id="16" xr3:uid="{637CB1E4-1F7E-4629-BE2D-C7C93B7D7CB4}" uniqueName="16" name="Gol Ospite" queryTableFieldId="16" dataDxfId="98">
      <calculatedColumnFormula>VALUE(RIGHT(H2,1))</calculatedColumnFormula>
    </tableColumn>
    <tableColumn id="17" xr3:uid="{58091397-5E72-4B26-BA90-F4F6B3EEBD64}" uniqueName="17" name="Totale" queryTableFieldId="17" dataDxfId="97">
      <calculatedColumnFormula>SUM(N2,O2)</calculatedColumnFormula>
    </tableColumn>
    <tableColumn id="18" xr3:uid="{47A4364D-EE24-4C4A-9A1E-F79518EB71D1}" uniqueName="18" name="12" queryTableFieldId="18" dataDxfId="96">
      <calculatedColumnFormula>IF(N2&lt;&gt;O2, 1, 0)</calculatedColumnFormula>
    </tableColumn>
    <tableColumn id="19" xr3:uid="{C4678115-AEAC-4EB8-8E45-74D4219EEC05}" uniqueName="19" name="Under 4,5" queryTableFieldId="19" dataDxfId="95">
      <calculatedColumnFormula>IF(P2&lt;=4,1,0)</calculatedColumnFormula>
    </tableColumn>
    <tableColumn id="20" xr3:uid="{71D84059-6590-4497-AD4E-DC64C6D2571C}" uniqueName="20" name="12+under 4,5" queryTableFieldId="20" dataDxfId="94">
      <calculatedColumnFormula>IF(AND(Q2=1,R2=1),1,0)</calculatedColumnFormula>
    </tableColumn>
    <tableColumn id="21" xr3:uid="{6A21EAFA-F3E8-4B0B-B9C8-2F77BE818A03}" uniqueName="21" name="0-2 Casa" queryTableFieldId="21" dataDxfId="6">
      <calculatedColumnFormula>IF(N2&lt;=2,1,0)</calculatedColumnFormula>
    </tableColumn>
    <tableColumn id="22" xr3:uid="{9792D2AB-68E8-48CC-9B24-1D262555577C}" uniqueName="22" name="1-3 Casa" queryTableFieldId="22" dataDxfId="5">
      <calculatedColumnFormula>IF(AND(N2&gt;=1,N2&lt;=3),1,0)</calculatedColumnFormula>
    </tableColumn>
    <tableColumn id="23" xr3:uid="{2AFBB669-6AE5-434B-947B-861F4C41705F}" uniqueName="23" name="2-5 Casa" queryTableFieldId="23" dataDxfId="4">
      <calculatedColumnFormula>IF(AND(N2&gt;=2,N2&lt;=5),1,0)</calculatedColumnFormula>
    </tableColumn>
    <tableColumn id="24" xr3:uid="{4F862A30-98EF-4A6E-888B-F43B68AFDA2B}" uniqueName="24" name="0-2 Ospiti" queryTableFieldId="24" dataDxfId="3">
      <calculatedColumnFormula>IF(O2&lt;=2,1,0)</calculatedColumnFormula>
    </tableColumn>
    <tableColumn id="25" xr3:uid="{03977A32-23D6-418A-B193-EEE5269B5743}" uniqueName="25" name="1-3 Ospiti" queryTableFieldId="25" dataDxfId="2">
      <calculatedColumnFormula>IF(AND(O2&gt;=1,O2&lt;=3),1,0)</calculatedColumnFormula>
    </tableColumn>
    <tableColumn id="26" xr3:uid="{32920C16-322A-4FF3-ADA7-9D23A13F65B0}" uniqueName="26" name="2-5 Ospiti" queryTableFieldId="26" dataDxfId="0">
      <calculatedColumnFormula>IF(AND(O2&gt;=2,O2&lt;=5),1,0)</calculatedColumnFormula>
    </tableColumn>
    <tableColumn id="27" xr3:uid="{6BDF1BC0-3568-4F5E-A134-C5CB5C103B2B}" uniqueName="27" name="Over 1,5" queryTableFieldId="27" dataDxfId="1">
      <calculatedColumnFormula>IF(P2&gt;=2,1,0)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A8841A-43AD-4EC5-99E9-B47BF3FE4FEB}" name="Sheet1__2" displayName="Sheet1__2" ref="A1:Q131" tableType="queryTable" totalsRowShown="0">
  <autoFilter ref="A1:Q131" xr:uid="{23A8841A-43AD-4EC5-99E9-B47BF3FE4FEB}"/>
  <tableColumns count="17">
    <tableColumn id="1" xr3:uid="{72936EAC-D275-4427-AEE4-74FCDB97D487}" uniqueName="1" name="Campionato" queryTableFieldId="1" dataDxfId="93"/>
    <tableColumn id="2" xr3:uid="{AC1B0496-A148-4D27-9893-DF9171B1B910}" uniqueName="2" name="Rk" queryTableFieldId="2"/>
    <tableColumn id="3" xr3:uid="{052E6251-ED02-4D45-A8FC-2585254FD53A}" uniqueName="3" name="Squad" queryTableFieldId="3" dataDxfId="92"/>
    <tableColumn id="4" xr3:uid="{4EFC1002-11FB-446E-ACF5-C3F0F15FF339}" uniqueName="4" name="MP" queryTableFieldId="4"/>
    <tableColumn id="5" xr3:uid="{AC3C2F35-6A27-4C1D-A539-FB8675F41638}" uniqueName="5" name="W" queryTableFieldId="5"/>
    <tableColumn id="6" xr3:uid="{39EAECBA-2A69-4F95-BAF5-6CA0979DEBB2}" uniqueName="6" name="D" queryTableFieldId="6"/>
    <tableColumn id="7" xr3:uid="{E31C9B4A-CC4C-4DFA-B1F0-60E507E18A97}" uniqueName="7" name="L" queryTableFieldId="7"/>
    <tableColumn id="8" xr3:uid="{D752C7DB-762E-4863-AFC7-8DFD7B810830}" uniqueName="8" name="GF" queryTableFieldId="8"/>
    <tableColumn id="9" xr3:uid="{7C14DD0F-7521-4B7E-8A1F-FC4C655DA769}" uniqueName="9" name="GA" queryTableFieldId="9"/>
    <tableColumn id="10" xr3:uid="{5F012834-DB51-458C-80DC-580FEFDDEAFD}" uniqueName="10" name="GD" queryTableFieldId="10"/>
    <tableColumn id="11" xr3:uid="{07AB42FF-7379-4541-83B5-3DE0B3973CDA}" uniqueName="11" name="Pts" queryTableFieldId="11"/>
    <tableColumn id="12" xr3:uid="{A2EE793E-3C14-4673-A2ED-842A68F34C84}" uniqueName="12" name="Pts/MP" queryTableFieldId="12"/>
    <tableColumn id="13" xr3:uid="{31AF01DB-943F-4923-8DCE-13F7DAFA016F}" uniqueName="13" name="Last 5" queryTableFieldId="13" dataDxfId="91"/>
    <tableColumn id="14" xr3:uid="{4B98DFA3-6847-446B-B573-20D64769604D}" uniqueName="14" name="Attendance" queryTableFieldId="14"/>
    <tableColumn id="15" xr3:uid="{34DFB49A-B022-4EF9-9DDD-82DF5E621A91}" uniqueName="15" name="Top Team Scorer" queryTableFieldId="15" dataDxfId="90"/>
    <tableColumn id="16" xr3:uid="{AC72019F-FCD6-4887-AC05-A4B77B7F29E4}" uniqueName="16" name="Goalkeeper" queryTableFieldId="16" dataDxfId="89"/>
    <tableColumn id="17" xr3:uid="{46DEAAA2-9EE6-4871-A1A3-F1893188925D}" uniqueName="17" name="Notes" queryTableFieldId="17" dataDxfId="8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7BE272-BD67-4D6E-8F2E-A0DC9A1ECA1E}" name="Tabella3" displayName="Tabella3" ref="R1:R131" totalsRowShown="0">
  <autoFilter ref="R1:R131" xr:uid="{607BE272-BD67-4D6E-8F2E-A0DC9A1ECA1E}"/>
  <tableColumns count="1">
    <tableColumn id="1" xr3:uid="{64447121-9CEA-465B-B3DE-A5EA685ECF53}" name="R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A212-EFA5-402F-9D3D-CB4128C73BD2}">
  <dimension ref="B1:AS66"/>
  <sheetViews>
    <sheetView showGridLines="0" tabSelected="1" zoomScale="80" zoomScaleNormal="80" workbookViewId="0">
      <selection activeCell="C2" sqref="C2"/>
    </sheetView>
  </sheetViews>
  <sheetFormatPr defaultRowHeight="14.4" x14ac:dyDescent="0.55000000000000004"/>
  <cols>
    <col min="1" max="1" width="8.83984375" style="1"/>
    <col min="2" max="2" width="9.9453125" style="1" bestFit="1" customWidth="1"/>
    <col min="3" max="3" width="19.1015625" style="1" bestFit="1" customWidth="1"/>
    <col min="4" max="4" width="7.41796875" style="1" bestFit="1" customWidth="1"/>
    <col min="5" max="6" width="11.26171875" style="1" bestFit="1" customWidth="1"/>
    <col min="7" max="7" width="20.578125" style="1" customWidth="1"/>
    <col min="8" max="20" width="6.578125" style="1" customWidth="1"/>
    <col min="21" max="22" width="5.578125" style="1" customWidth="1"/>
    <col min="23" max="23" width="7.578125" style="1" customWidth="1"/>
    <col min="24" max="24" width="10.578125" style="1" customWidth="1"/>
    <col min="25" max="25" width="7.578125" style="1" customWidth="1"/>
    <col min="26" max="26" width="10.578125" style="1" customWidth="1"/>
    <col min="27" max="27" width="7.578125" style="1" customWidth="1"/>
    <col min="28" max="28" width="10.578125" style="1" customWidth="1"/>
    <col min="29" max="29" width="9.83984375" style="7" bestFit="1" customWidth="1"/>
    <col min="30" max="31" width="8.83984375" style="7"/>
    <col min="32" max="32" width="8.83984375" style="27"/>
    <col min="33" max="45" width="8.83984375" style="23"/>
    <col min="46" max="16384" width="8.83984375" style="1"/>
  </cols>
  <sheetData>
    <row r="1" spans="2:35" ht="14.7" thickBot="1" x14ac:dyDescent="0.6"/>
    <row r="2" spans="2:35" ht="15" thickTop="1" thickBot="1" x14ac:dyDescent="0.6">
      <c r="B2" s="7">
        <f ca="1">MATCH($F$2,Partite!E:E,0)-1</f>
        <v>1121</v>
      </c>
      <c r="C2" s="6" t="s">
        <v>0</v>
      </c>
      <c r="D2" s="13">
        <f ca="1">TODAY()</f>
        <v>46225</v>
      </c>
      <c r="E2" s="14"/>
      <c r="F2" s="7" t="str">
        <f ca="1">TEXT(D2, "aaaa-mm-gg")</f>
        <v>2026-07-22</v>
      </c>
      <c r="AB2" s="7"/>
    </row>
    <row r="3" spans="2:35" ht="15" thickTop="1" thickBot="1" x14ac:dyDescent="0.6"/>
    <row r="4" spans="2:35" ht="15" thickTop="1" thickBot="1" x14ac:dyDescent="0.6">
      <c r="C4" s="5" t="s">
        <v>17</v>
      </c>
      <c r="D4" s="5" t="s">
        <v>2474</v>
      </c>
      <c r="E4" s="5" t="s">
        <v>0</v>
      </c>
      <c r="F4" s="5" t="s">
        <v>4</v>
      </c>
      <c r="G4" s="5" t="s">
        <v>5</v>
      </c>
      <c r="H4" s="5" t="s">
        <v>6</v>
      </c>
      <c r="I4" s="5" t="s">
        <v>3</v>
      </c>
      <c r="J4" s="5" t="s">
        <v>7</v>
      </c>
      <c r="K4" s="5" t="s">
        <v>8</v>
      </c>
      <c r="L4" s="5" t="s">
        <v>9</v>
      </c>
      <c r="M4" s="5" t="s">
        <v>2454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  <c r="S4" s="5" t="s">
        <v>15</v>
      </c>
      <c r="T4" s="5" t="s">
        <v>16</v>
      </c>
      <c r="U4" s="5" t="s">
        <v>2457</v>
      </c>
      <c r="V4" s="5" t="s">
        <v>2473</v>
      </c>
      <c r="W4" s="5" t="s">
        <v>2472</v>
      </c>
      <c r="X4" s="5" t="s">
        <v>2457</v>
      </c>
      <c r="Y4" s="5" t="s">
        <v>2456</v>
      </c>
      <c r="Z4" s="5" t="s">
        <v>2457</v>
      </c>
      <c r="AA4" s="5" t="s">
        <v>2471</v>
      </c>
      <c r="AB4" s="5" t="s">
        <v>2457</v>
      </c>
      <c r="AC4" s="7" t="s">
        <v>0</v>
      </c>
      <c r="AD4" s="7" t="s">
        <v>2462</v>
      </c>
      <c r="AE4" s="8" t="s">
        <v>2463</v>
      </c>
      <c r="AF4" s="27" t="s">
        <v>2464</v>
      </c>
    </row>
    <row r="5" spans="2:35" ht="15" thickTop="1" thickBot="1" x14ac:dyDescent="0.6"/>
    <row r="6" spans="2:35" ht="15" thickTop="1" thickBot="1" x14ac:dyDescent="0.6">
      <c r="B6" s="15">
        <v>1</v>
      </c>
      <c r="C6" s="16" t="str">
        <f ca="1">VLOOKUP($B$2+B6,Partite!$A$1:$Z$2322,2,FALSE)</f>
        <v>Champions League</v>
      </c>
      <c r="D6" s="11">
        <f ca="1">VLOOKUP($B$2+B6,Partite!$A$1:$Z$2322,3,FALSE)</f>
        <v>0</v>
      </c>
      <c r="E6" s="18">
        <f ca="1">VALUE(TEXT(AC6, "GG/MM/AAAA"))</f>
        <v>46225</v>
      </c>
      <c r="F6" s="20" t="str">
        <f ca="1">VLOOKUP($B$2+B6,Partite!$A$1:$Z$2322,6,FALSE)</f>
        <v>20:00 (19:00)</v>
      </c>
      <c r="G6" s="3" t="str">
        <f ca="1">VLOOKUP($B$2+B6,Partite!$A$1:$Z$2322,7,FALSE)</f>
        <v>AC Omonia cy</v>
      </c>
      <c r="H6" s="3" t="str">
        <f ca="1">IFERROR(VLOOKUP(G6,Classifica!$C$2:$R$131,3,FALSE),"")</f>
        <v/>
      </c>
      <c r="I6" s="3" t="str">
        <f ca="1">IFERROR(VLOOKUP(G6,Classifica!$C$2:$R$131,4,FALSE),"")</f>
        <v/>
      </c>
      <c r="J6" s="3" t="str">
        <f ca="1">IFERROR(VLOOKUP(G6,Classifica!$C$2:$R$131,5,FALSE),"")</f>
        <v/>
      </c>
      <c r="K6" s="3" t="str">
        <f ca="1">IFERROR(VLOOKUP(G6,Classifica!$C$2:$R$131,6,FALSE),"")</f>
        <v/>
      </c>
      <c r="L6" s="3" t="str">
        <f ca="1">IFERROR(VLOOKUP(G6,Classifica!$C$2:$R$131,7,FALSE),"")</f>
        <v/>
      </c>
      <c r="M6" s="3" t="str">
        <f ca="1">IFERROR(VLOOKUP(G6,Classifica!$C$2:$R$131,8,FALSE),"")</f>
        <v/>
      </c>
      <c r="N6" s="3" t="str">
        <f ca="1">IFERROR(VLOOKUP(G6,Classifica!$C$2:$R$131,9,FALSE),"")</f>
        <v/>
      </c>
      <c r="O6" s="3" t="str">
        <f ca="1">IFERROR(VLOOKUP(G6,Classifica!$C$2:$R$131,16,FALSE),"")</f>
        <v/>
      </c>
      <c r="P6" s="3" t="str">
        <f ca="1">IFERROR(MID(INDEX(Classifica!M:M, MATCH(G6, Classifica!C:C, 0)), 1, 1), "")</f>
        <v/>
      </c>
      <c r="Q6" s="3" t="str">
        <f ca="1">IFERROR(MID(INDEX(Classifica!M:M, MATCH(G6, Classifica!C:C, 0)), 3, 1), "")</f>
        <v/>
      </c>
      <c r="R6" s="3" t="str">
        <f ca="1">IFERROR(MID(INDEX(Classifica!M:M, MATCH(G6, Classifica!C:C, 0)), 5, 1), "")</f>
        <v/>
      </c>
      <c r="S6" s="3" t="str">
        <f ca="1">IFERROR(MID(INDEX(Classifica!M:M, MATCH(G6, Classifica!C:C, 0)), 7, 1), "")</f>
        <v/>
      </c>
      <c r="T6" s="3" t="str">
        <f ca="1">IFERROR(MID(INDEX(Classifica!M:M, MATCH(G6, Classifica!C:C, 0)), 9, 1), "")</f>
        <v/>
      </c>
      <c r="U6" s="3" t="str">
        <f ca="1">IFERROR(IF(P6="","",COUNTIF(P6:T6,"W")*20+COUNTIF(P6:T6,"D")*7),"")</f>
        <v/>
      </c>
      <c r="V6" s="11" t="str">
        <f ca="1">IFERROR(ABS(U6-U7),"")</f>
        <v/>
      </c>
      <c r="W6" s="3">
        <f ca="1">COUNTIFS(Partite!AE:AE,1,Partite!Q:Q,Palinsesto!G6)+COUNTIFS(Partite!AE:AE,1,Partite!S:S,Palinsesto!G6)</f>
        <v>0</v>
      </c>
      <c r="X6" s="11" t="str">
        <f ca="1">IFERROR(AVERAGE(IFERROR(INT(W6/(SUM(H6:J6))*100),""),IFERROR(INT(W7/(SUM(H7:J7))*100),"")),"")</f>
        <v/>
      </c>
      <c r="Y6" s="3" t="str">
        <f ca="1">INDEX(AD$4:AF$4, MATCH(MAX(AD6:AF6), AD6:AF6, 0))</f>
        <v>0-2</v>
      </c>
      <c r="Z6" s="3" t="str">
        <f ca="1">IFERROR(INT((LARGE(AD6:AF6,1)/SUM(H6:J6))*100),"")</f>
        <v/>
      </c>
      <c r="AA6" s="3">
        <f ca="1">COUNTIFS(Partite!AL:AL,1,Partite!Q:Q,Palinsesto!G6)+COUNTIFS(Partite!AL:AL,1,Partite!S:S,Palinsesto!G6)</f>
        <v>0</v>
      </c>
      <c r="AB6" s="21" t="str">
        <f ca="1">IFERROR(INT(AVERAGE(AA6/(SUM(H6:J6))*100,(AA7/(SUM(H7:J7))*100))),"")</f>
        <v/>
      </c>
      <c r="AC6" s="9" t="str">
        <f ca="1">VLOOKUP($B$2+B6,Partite!$A$1:$E$2322,5,FALSE)</f>
        <v>2026-07-22</v>
      </c>
      <c r="AD6" s="7">
        <f ca="1">COUNTIFS(Partite!T:T,1,Partite!G:G,Palinsesto!G6)+COUNTIFS(Partite!W:W,1,Partite!I:I,Palinsesto!G6)</f>
        <v>0</v>
      </c>
      <c r="AE6" s="8">
        <f ca="1">COUNTIFS(Partite!U:U,1,Partite!H:H,G6)+COUNTIFS(Partite!X:X,1,Partite!J:J,G6)</f>
        <v>0</v>
      </c>
      <c r="AF6" s="27">
        <f ca="1">COUNTIFS(Partite!V:V,1,Partite!I:I,G6)+COUNTIFS(Partite!Y:Y,1,Partite!K:K,G6)</f>
        <v>0</v>
      </c>
    </row>
    <row r="7" spans="2:35" ht="15" thickTop="1" thickBot="1" x14ac:dyDescent="0.6">
      <c r="B7" s="15"/>
      <c r="C7" s="17"/>
      <c r="D7" s="12"/>
      <c r="E7" s="19"/>
      <c r="F7" s="19"/>
      <c r="G7" s="4" t="str">
        <f ca="1">VLOOKUP($B$2+B6,Partite!$A$1:$Z$2322,9,FALSE)</f>
        <v>kz FC Kairat</v>
      </c>
      <c r="H7" s="4" t="str">
        <f ca="1">IFERROR(VLOOKUP(G7,Classifica!$C$2:$R$131,3,FALSE),"")</f>
        <v/>
      </c>
      <c r="I7" s="4" t="str">
        <f ca="1">IFERROR(VLOOKUP(G7,Classifica!$C$2:$R$131,4,FALSE),"")</f>
        <v/>
      </c>
      <c r="J7" s="4" t="str">
        <f ca="1">IFERROR(VLOOKUP(G7,Classifica!$C$2:$R$131,5,FALSE),"")</f>
        <v/>
      </c>
      <c r="K7" s="4" t="str">
        <f ca="1">IFERROR(VLOOKUP(G7,Classifica!$C$2:$R$131,6,FALSE),"")</f>
        <v/>
      </c>
      <c r="L7" s="4" t="str">
        <f ca="1">IFERROR(VLOOKUP(G7,Classifica!$C$2:$R$131,7,FALSE),"")</f>
        <v/>
      </c>
      <c r="M7" s="4" t="str">
        <f ca="1">IFERROR(VLOOKUP(G7,Classifica!$C$2:$R$131,8,FALSE),"")</f>
        <v/>
      </c>
      <c r="N7" s="4" t="str">
        <f ca="1">IFERROR(VLOOKUP(G7,Classifica!$C$2:$R$131,9,FALSE),"")</f>
        <v/>
      </c>
      <c r="O7" s="4" t="str">
        <f ca="1">IFERROR(VLOOKUP(G7,Classifica!$C$2:$R$131,16,FALSE),"")</f>
        <v/>
      </c>
      <c r="P7" s="4" t="str">
        <f ca="1">IFERROR(MID(INDEX(Classifica!M:M, MATCH(G7, Classifica!C:C, 0)), 1, 1), "")</f>
        <v/>
      </c>
      <c r="Q7" s="4" t="str">
        <f ca="1">IFERROR(MID(INDEX(Classifica!M:M, MATCH(G7, Classifica!C:C, 0)), 3, 1), "")</f>
        <v/>
      </c>
      <c r="R7" s="4" t="str">
        <f ca="1">IFERROR(MID(INDEX(Classifica!M:M, MATCH(G7, Classifica!C:C, 0)), 5, 1), "")</f>
        <v/>
      </c>
      <c r="S7" s="4" t="str">
        <f ca="1">IFERROR(MID(INDEX(Classifica!M:M, MATCH(G7, Classifica!C:C, 0)), 7, 1), "")</f>
        <v/>
      </c>
      <c r="T7" s="4" t="str">
        <f ca="1">IFERROR(MID(INDEX(Classifica!M:M, MATCH(G7, Classifica!C:C, 0)), 9, 1), "")</f>
        <v/>
      </c>
      <c r="U7" s="4" t="str">
        <f ca="1">IFERROR(IF(P7="","",COUNTIF(P7:T7,"W")*20+COUNTIF(P7:T7,"D")*7),"")</f>
        <v/>
      </c>
      <c r="V7" s="12"/>
      <c r="W7" s="4">
        <f ca="1">COUNTIFS(Partite!AE:AE,1,Partite!Q:Q,Palinsesto!G7)+COUNTIFS(Partite!AE:AE,1,Partite!S:S,Palinsesto!G7)</f>
        <v>0</v>
      </c>
      <c r="X7" s="12"/>
      <c r="Y7" s="4" t="str">
        <f ca="1">INDEX(AD$4:AF$4, MATCH(MAX(AD7:AF7), AD7:AF7, 0))</f>
        <v>0-2</v>
      </c>
      <c r="Z7" s="4" t="str">
        <f ca="1">IFERROR(INT((LARGE(AD7:AF7,1)/SUM(H7:J7))*100),"")</f>
        <v/>
      </c>
      <c r="AA7" s="4">
        <f ca="1">COUNTIFS(Partite!AL:AL,1,Partite!Q:Q,Palinsesto!G7)+COUNTIFS(Partite!AL:AL,1,Partite!S:S,Palinsesto!G7)</f>
        <v>0</v>
      </c>
      <c r="AB7" s="22"/>
      <c r="AD7" s="7">
        <f ca="1">COUNTIFS(Partite!T:T,1,Partite!G:G,Palinsesto!G7)+COUNTIFS(Partite!W:W,1,Partite!I:I,Palinsesto!G7)</f>
        <v>1</v>
      </c>
      <c r="AE7" s="8">
        <f ca="1">COUNTIFS(Partite!U:U,1,Partite!H:H,G7)+COUNTIFS(Partite!X:X,1,Partite!J:J,G7)</f>
        <v>0</v>
      </c>
      <c r="AF7" s="27">
        <f ca="1">COUNTIFS(Partite!V:V,1,Partite!I:I,G7)+COUNTIFS(Partite!Y:Y,1,Partite!K:K,G7)</f>
        <v>0</v>
      </c>
      <c r="AH7" s="24"/>
      <c r="AI7" s="24"/>
    </row>
    <row r="8" spans="2:35" ht="15" thickTop="1" thickBot="1" x14ac:dyDescent="0.6">
      <c r="B8" s="15"/>
    </row>
    <row r="9" spans="2:35" ht="15" thickTop="1" thickBot="1" x14ac:dyDescent="0.6">
      <c r="B9" s="15">
        <f>B6+1</f>
        <v>2</v>
      </c>
      <c r="C9" s="16" t="str">
        <f ca="1">VLOOKUP($B$2+B9,Partite!$A$1:$Z$2322,2,FALSE)</f>
        <v>Champions League</v>
      </c>
      <c r="D9" s="11">
        <f ca="1">VLOOKUP($B$2+B9,Partite!$A$1:$Z$2322,3,FALSE)</f>
        <v>0</v>
      </c>
      <c r="E9" s="18">
        <f ca="1">VALUE(TEXT(AC9, "GG/MM/AAAA"))</f>
        <v>46225</v>
      </c>
      <c r="F9" s="20" t="str">
        <f ca="1">VLOOKUP($B$2+B9,Partite!$A$1:$Z$2322,6,FALSE)</f>
        <v>20:30 (19:30)</v>
      </c>
      <c r="G9" s="3" t="str">
        <f ca="1">VLOOKUP($B$2+B9,Partite!$A$1:$Z$2322,7,FALSE)</f>
        <v>Levski Sofia bg</v>
      </c>
      <c r="H9" s="3" t="str">
        <f ca="1">IFERROR(VLOOKUP(G9,Classifica!$C$2:$R$131,3,FALSE),"")</f>
        <v/>
      </c>
      <c r="I9" s="3" t="str">
        <f ca="1">IFERROR(VLOOKUP(G9,Classifica!$C$2:$R$131,4,FALSE),"")</f>
        <v/>
      </c>
      <c r="J9" s="3" t="str">
        <f ca="1">IFERROR(VLOOKUP(G9,Classifica!$C$2:$R$131,5,FALSE),"")</f>
        <v/>
      </c>
      <c r="K9" s="3" t="str">
        <f ca="1">IFERROR(VLOOKUP(G9,Classifica!$C$2:$R$131,6,FALSE),"")</f>
        <v/>
      </c>
      <c r="L9" s="3" t="str">
        <f ca="1">IFERROR(VLOOKUP(G9,Classifica!$C$2:$R$131,7,FALSE),"")</f>
        <v/>
      </c>
      <c r="M9" s="3" t="str">
        <f ca="1">IFERROR(VLOOKUP(G9,Classifica!$C$2:$R$131,8,FALSE),"")</f>
        <v/>
      </c>
      <c r="N9" s="3" t="str">
        <f ca="1">IFERROR(VLOOKUP(G9,Classifica!$C$2:$R$131,9,FALSE),"")</f>
        <v/>
      </c>
      <c r="O9" s="3" t="str">
        <f ca="1">IFERROR(VLOOKUP(G9,Classifica!$C$2:$R$131,16,FALSE),"")</f>
        <v/>
      </c>
      <c r="P9" s="3" t="str">
        <f ca="1">IFERROR(MID(INDEX(Classifica!M:M, MATCH(G9, Classifica!C:C, 0)), 1, 1), "")</f>
        <v/>
      </c>
      <c r="Q9" s="3" t="str">
        <f ca="1">IFERROR(MID(INDEX(Classifica!M:M, MATCH(G9, Classifica!C:C, 0)), 3, 1), "")</f>
        <v/>
      </c>
      <c r="R9" s="3" t="str">
        <f ca="1">IFERROR(MID(INDEX(Classifica!M:M, MATCH(G9, Classifica!C:C, 0)), 5, 1), "")</f>
        <v/>
      </c>
      <c r="S9" s="3" t="str">
        <f ca="1">IFERROR(MID(INDEX(Classifica!M:M, MATCH(G9, Classifica!C:C, 0)), 7, 1), "")</f>
        <v/>
      </c>
      <c r="T9" s="3" t="str">
        <f ca="1">IFERROR(MID(INDEX(Classifica!M:M, MATCH(G9, Classifica!C:C, 0)), 9, 1), "")</f>
        <v/>
      </c>
      <c r="U9" s="3" t="str">
        <f ca="1">IFERROR(IF(P9="","",COUNTIF(P9:T9,"W")*20+COUNTIF(P9:T9,"D")*7),"")</f>
        <v/>
      </c>
      <c r="V9" s="11" t="str">
        <f ca="1">IFERROR(ABS(U9-U10),"")</f>
        <v/>
      </c>
      <c r="W9" s="3">
        <f ca="1">COUNTIFS(Partite!AE:AE,1,Partite!Q:Q,Palinsesto!G9)+COUNTIFS(Partite!AE:AE,1,Partite!S:S,Palinsesto!G9)</f>
        <v>0</v>
      </c>
      <c r="X9" s="11" t="str">
        <f ca="1">IFERROR(AVERAGE(IFERROR(INT(W9/(SUM(H9:J9))*100),""),IFERROR(INT(W10/(SUM(H10:J10))*100),"")),"")</f>
        <v/>
      </c>
      <c r="Y9" s="3" t="str">
        <f ca="1">INDEX(AD$4:AF$4, MATCH(MAX(AD9:AF9), AD9:AF9, 0))</f>
        <v>0-2</v>
      </c>
      <c r="Z9" s="3" t="str">
        <f ca="1">IFERROR(INT((LARGE(AD9:AF9,1)/SUM(H9:J9))*100),"")</f>
        <v/>
      </c>
      <c r="AA9" s="3">
        <f ca="1">COUNTIFS(Partite!AL:AL,1,Partite!Q:Q,Palinsesto!G9)+COUNTIFS(Partite!AL:AL,1,Partite!S:S,Palinsesto!G9)</f>
        <v>0</v>
      </c>
      <c r="AB9" s="21" t="str">
        <f ca="1">IFERROR(INT(AVERAGE(AA9/(SUM(H9:J9))*100,(AA10/(SUM(H10:J10))*100))),"")</f>
        <v/>
      </c>
      <c r="AC9" s="9" t="str">
        <f ca="1">VLOOKUP($B$2+B9,Partite!$A$1:$E$2322,5,FALSE)</f>
        <v>2026-07-22</v>
      </c>
      <c r="AD9" s="7">
        <f ca="1">COUNTIFS(Partite!T:T,1,Partite!G:G,Palinsesto!G9)+COUNTIFS(Partite!W:W,1,Partite!I:I,Palinsesto!G9)</f>
        <v>0</v>
      </c>
      <c r="AE9" s="8">
        <f ca="1">COUNTIFS(Partite!U:U,1,Partite!H:H,G9)+COUNTIFS(Partite!X:X,1,Partite!J:J,G9)</f>
        <v>0</v>
      </c>
      <c r="AF9" s="27">
        <f ca="1">COUNTIFS(Partite!V:V,1,Partite!I:I,G9)+COUNTIFS(Partite!Y:Y,1,Partite!K:K,G9)</f>
        <v>0</v>
      </c>
    </row>
    <row r="10" spans="2:35" ht="15" thickTop="1" thickBot="1" x14ac:dyDescent="0.6">
      <c r="B10" s="15"/>
      <c r="C10" s="17"/>
      <c r="D10" s="12"/>
      <c r="E10" s="19"/>
      <c r="F10" s="19"/>
      <c r="G10" s="4" t="str">
        <f ca="1">VLOOKUP($B$2+B9,Partite!$A$1:$Z$2322,9,FALSE)</f>
        <v>ro CS U Craiova</v>
      </c>
      <c r="H10" s="4" t="str">
        <f ca="1">IFERROR(VLOOKUP(G10,Classifica!$C$2:$R$131,3,FALSE),"")</f>
        <v/>
      </c>
      <c r="I10" s="4" t="str">
        <f ca="1">IFERROR(VLOOKUP(G10,Classifica!$C$2:$R$131,4,FALSE),"")</f>
        <v/>
      </c>
      <c r="J10" s="4" t="str">
        <f ca="1">IFERROR(VLOOKUP(G10,Classifica!$C$2:$R$131,5,FALSE),"")</f>
        <v/>
      </c>
      <c r="K10" s="4" t="str">
        <f ca="1">IFERROR(VLOOKUP(G10,Classifica!$C$2:$R$131,6,FALSE),"")</f>
        <v/>
      </c>
      <c r="L10" s="4" t="str">
        <f ca="1">IFERROR(VLOOKUP(G10,Classifica!$C$2:$R$131,7,FALSE),"")</f>
        <v/>
      </c>
      <c r="M10" s="4" t="str">
        <f ca="1">IFERROR(VLOOKUP(G10,Classifica!$C$2:$R$131,8,FALSE),"")</f>
        <v/>
      </c>
      <c r="N10" s="4" t="str">
        <f ca="1">IFERROR(VLOOKUP(G10,Classifica!$C$2:$R$131,9,FALSE),"")</f>
        <v/>
      </c>
      <c r="O10" s="4" t="str">
        <f ca="1">IFERROR(VLOOKUP(G10,Classifica!$C$2:$R$131,16,FALSE),"")</f>
        <v/>
      </c>
      <c r="P10" s="4" t="str">
        <f ca="1">IFERROR(MID(INDEX(Classifica!M:M, MATCH(G10, Classifica!C:C, 0)), 1, 1), "")</f>
        <v/>
      </c>
      <c r="Q10" s="4" t="str">
        <f ca="1">IFERROR(MID(INDEX(Classifica!M:M, MATCH(G10, Classifica!C:C, 0)), 3, 1), "")</f>
        <v/>
      </c>
      <c r="R10" s="4" t="str">
        <f ca="1">IFERROR(MID(INDEX(Classifica!M:M, MATCH(G10, Classifica!C:C, 0)), 5, 1), "")</f>
        <v/>
      </c>
      <c r="S10" s="4" t="str">
        <f ca="1">IFERROR(MID(INDEX(Classifica!M:M, MATCH(G10, Classifica!C:C, 0)), 7, 1), "")</f>
        <v/>
      </c>
      <c r="T10" s="4" t="str">
        <f ca="1">IFERROR(MID(INDEX(Classifica!M:M, MATCH(G10, Classifica!C:C, 0)), 9, 1), "")</f>
        <v/>
      </c>
      <c r="U10" s="4" t="str">
        <f ca="1">IFERROR(IF(P10="","",COUNTIF(P10:T10,"W")*20+COUNTIF(P10:T10,"D")*7),"")</f>
        <v/>
      </c>
      <c r="V10" s="12"/>
      <c r="W10" s="4">
        <f ca="1">COUNTIFS(Partite!AE:AE,1,Partite!Q:Q,Palinsesto!G10)+COUNTIFS(Partite!AE:AE,1,Partite!S:S,Palinsesto!G10)</f>
        <v>0</v>
      </c>
      <c r="X10" s="12"/>
      <c r="Y10" s="4" t="str">
        <f ca="1">INDEX(AD$4:AF$4, MATCH(MAX(AD10:AF10), AD10:AF10, 0))</f>
        <v>0-2</v>
      </c>
      <c r="Z10" s="4" t="str">
        <f ca="1">IFERROR(INT((LARGE(AD10:AF10,1)/SUM(H10:J10))*100),"")</f>
        <v/>
      </c>
      <c r="AA10" s="4">
        <f ca="1">COUNTIFS(Partite!AL:AL,1,Partite!Q:Q,Palinsesto!G10)+COUNTIFS(Partite!AL:AL,1,Partite!S:S,Palinsesto!G10)</f>
        <v>0</v>
      </c>
      <c r="AB10" s="22"/>
      <c r="AD10" s="7">
        <f ca="1">COUNTIFS(Partite!T:T,1,Partite!G:G,Palinsesto!G10)+COUNTIFS(Partite!W:W,1,Partite!I:I,Palinsesto!G10)</f>
        <v>0</v>
      </c>
      <c r="AE10" s="8">
        <f ca="1">COUNTIFS(Partite!U:U,1,Partite!H:H,G10)+COUNTIFS(Partite!X:X,1,Partite!J:J,G10)</f>
        <v>0</v>
      </c>
      <c r="AF10" s="27">
        <f ca="1">COUNTIFS(Partite!V:V,1,Partite!I:I,G10)+COUNTIFS(Partite!Y:Y,1,Partite!K:K,G10)</f>
        <v>0</v>
      </c>
    </row>
    <row r="11" spans="2:35" ht="15" thickTop="1" thickBot="1" x14ac:dyDescent="0.6">
      <c r="B11" s="15"/>
    </row>
    <row r="12" spans="2:35" ht="15" thickTop="1" thickBot="1" x14ac:dyDescent="0.6">
      <c r="B12" s="15">
        <f t="shared" ref="B12" si="0">B9+1</f>
        <v>3</v>
      </c>
      <c r="C12" s="16" t="str">
        <f ca="1">VLOOKUP($B$2+B12,Partite!$A$1:$Z$2322,2,FALSE)</f>
        <v>Champions League</v>
      </c>
      <c r="D12" s="11">
        <f ca="1">VLOOKUP($B$2+B12,Partite!$A$1:$Z$2322,3,FALSE)</f>
        <v>0</v>
      </c>
      <c r="E12" s="18">
        <f ca="1">VALUE(TEXT(AC12, "GG/MM/AAAA"))</f>
        <v>46225</v>
      </c>
      <c r="F12" s="20" t="str">
        <f ca="1">VLOOKUP($B$2+B12,Partite!$A$1:$Z$2322,6,FALSE)</f>
        <v>21:00</v>
      </c>
      <c r="G12" s="3" t="str">
        <f ca="1">VLOOKUP($B$2+B12,Partite!$A$1:$Z$2322,7,FALSE)</f>
        <v>FK Egnatia al</v>
      </c>
      <c r="H12" s="3" t="str">
        <f ca="1">IFERROR(VLOOKUP(G12,Classifica!$C$2:$R$131,3,FALSE),"")</f>
        <v/>
      </c>
      <c r="I12" s="3" t="str">
        <f ca="1">IFERROR(VLOOKUP(G12,Classifica!$C$2:$R$131,4,FALSE),"")</f>
        <v/>
      </c>
      <c r="J12" s="3" t="str">
        <f ca="1">IFERROR(VLOOKUP(G12,Classifica!$C$2:$R$131,5,FALSE),"")</f>
        <v/>
      </c>
      <c r="K12" s="3" t="str">
        <f ca="1">IFERROR(VLOOKUP(G12,Classifica!$C$2:$R$131,6,FALSE),"")</f>
        <v/>
      </c>
      <c r="L12" s="3" t="str">
        <f ca="1">IFERROR(VLOOKUP(G12,Classifica!$C$2:$R$131,7,FALSE),"")</f>
        <v/>
      </c>
      <c r="M12" s="3" t="str">
        <f ca="1">IFERROR(VLOOKUP(G12,Classifica!$C$2:$R$131,8,FALSE),"")</f>
        <v/>
      </c>
      <c r="N12" s="3" t="str">
        <f ca="1">IFERROR(VLOOKUP(G12,Classifica!$C$2:$R$131,9,FALSE),"")</f>
        <v/>
      </c>
      <c r="O12" s="3" t="str">
        <f ca="1">IFERROR(VLOOKUP(G12,Classifica!$C$2:$R$131,16,FALSE),"")</f>
        <v/>
      </c>
      <c r="P12" s="3" t="str">
        <f ca="1">IFERROR(MID(INDEX(Classifica!M:M, MATCH(G12, Classifica!C:C, 0)), 1, 1), "")</f>
        <v/>
      </c>
      <c r="Q12" s="3" t="str">
        <f ca="1">IFERROR(MID(INDEX(Classifica!M:M, MATCH(G12, Classifica!C:C, 0)), 3, 1), "")</f>
        <v/>
      </c>
      <c r="R12" s="3" t="str">
        <f ca="1">IFERROR(MID(INDEX(Classifica!M:M, MATCH(G12, Classifica!C:C, 0)), 5, 1), "")</f>
        <v/>
      </c>
      <c r="S12" s="3" t="str">
        <f ca="1">IFERROR(MID(INDEX(Classifica!M:M, MATCH(G12, Classifica!C:C, 0)), 7, 1), "")</f>
        <v/>
      </c>
      <c r="T12" s="3" t="str">
        <f ca="1">IFERROR(MID(INDEX(Classifica!M:M, MATCH(G12, Classifica!C:C, 0)), 9, 1), "")</f>
        <v/>
      </c>
      <c r="U12" s="3" t="str">
        <f ca="1">IFERROR(IF(P12="","",COUNTIF(P12:T12,"W")*20+COUNTIF(P12:T12,"D")*7),"")</f>
        <v/>
      </c>
      <c r="V12" s="11" t="str">
        <f ca="1">IFERROR(ABS(U12-U13),"")</f>
        <v/>
      </c>
      <c r="W12" s="3">
        <f ca="1">COUNTIFS(Partite!AE:AE,1,Partite!Q:Q,Palinsesto!G12)+COUNTIFS(Partite!AE:AE,1,Partite!S:S,Palinsesto!G12)</f>
        <v>0</v>
      </c>
      <c r="X12" s="11" t="str">
        <f ca="1">IFERROR(AVERAGE(IFERROR(INT(W12/(SUM(H12:J12))*100),""),IFERROR(INT(W13/(SUM(H13:J13))*100),"")),"")</f>
        <v/>
      </c>
      <c r="Y12" s="3" t="str">
        <f ca="1">INDEX(AD$4:AF$4, MATCH(MAX(AD12:AF12), AD12:AF12, 0))</f>
        <v>0-2</v>
      </c>
      <c r="Z12" s="3" t="str">
        <f ca="1">IFERROR(INT((LARGE(AD12:AF12,1)/SUM(H12:J12))*100),"")</f>
        <v/>
      </c>
      <c r="AA12" s="3">
        <f ca="1">COUNTIFS(Partite!AL:AL,1,Partite!Q:Q,Palinsesto!G12)+COUNTIFS(Partite!AL:AL,1,Partite!S:S,Palinsesto!G12)</f>
        <v>0</v>
      </c>
      <c r="AB12" s="21" t="str">
        <f ca="1">IFERROR(INT(AVERAGE(AA12/(SUM(H12:J12))*100,(AA13/(SUM(H13:J13))*100))),"")</f>
        <v/>
      </c>
      <c r="AC12" s="9" t="str">
        <f ca="1">VLOOKUP($B$2+B12,Partite!$A$1:$E$2322,5,FALSE)</f>
        <v>2026-07-22</v>
      </c>
      <c r="AD12" s="7">
        <f ca="1">COUNTIFS(Partite!T:T,1,Partite!G:G,Palinsesto!G12)+COUNTIFS(Partite!W:W,1,Partite!I:I,Palinsesto!G12)</f>
        <v>0</v>
      </c>
      <c r="AE12" s="8">
        <f ca="1">COUNTIFS(Partite!U:U,1,Partite!H:H,G12)+COUNTIFS(Partite!X:X,1,Partite!J:J,G12)</f>
        <v>0</v>
      </c>
      <c r="AF12" s="27">
        <f ca="1">COUNTIFS(Partite!V:V,1,Partite!I:I,G12)+COUNTIFS(Partite!Y:Y,1,Partite!K:K,G12)</f>
        <v>0</v>
      </c>
    </row>
    <row r="13" spans="2:35" ht="15" thickTop="1" thickBot="1" x14ac:dyDescent="0.6">
      <c r="B13" s="15"/>
      <c r="C13" s="17"/>
      <c r="D13" s="12"/>
      <c r="E13" s="19"/>
      <c r="F13" s="19"/>
      <c r="G13" s="4" t="str">
        <f ca="1">VLOOKUP($B$2+B12,Partite!$A$1:$Z$2322,9,FALSE)</f>
        <v>si NK Celje</v>
      </c>
      <c r="H13" s="4" t="str">
        <f ca="1">IFERROR(VLOOKUP(G13,Classifica!$C$2:$R$131,3,FALSE),"")</f>
        <v/>
      </c>
      <c r="I13" s="4" t="str">
        <f ca="1">IFERROR(VLOOKUP(G13,Classifica!$C$2:$R$131,4,FALSE),"")</f>
        <v/>
      </c>
      <c r="J13" s="4" t="str">
        <f ca="1">IFERROR(VLOOKUP(G13,Classifica!$C$2:$R$131,5,FALSE),"")</f>
        <v/>
      </c>
      <c r="K13" s="4" t="str">
        <f ca="1">IFERROR(VLOOKUP(G13,Classifica!$C$2:$R$131,6,FALSE),"")</f>
        <v/>
      </c>
      <c r="L13" s="4" t="str">
        <f ca="1">IFERROR(VLOOKUP(G13,Classifica!$C$2:$R$131,7,FALSE),"")</f>
        <v/>
      </c>
      <c r="M13" s="4" t="str">
        <f ca="1">IFERROR(VLOOKUP(G13,Classifica!$C$2:$R$131,8,FALSE),"")</f>
        <v/>
      </c>
      <c r="N13" s="4" t="str">
        <f ca="1">IFERROR(VLOOKUP(G13,Classifica!$C$2:$R$131,9,FALSE),"")</f>
        <v/>
      </c>
      <c r="O13" s="4" t="str">
        <f ca="1">IFERROR(VLOOKUP(G13,Classifica!$C$2:$R$131,16,FALSE),"")</f>
        <v/>
      </c>
      <c r="P13" s="4" t="str">
        <f ca="1">IFERROR(MID(INDEX(Classifica!M:M, MATCH(G13, Classifica!C:C, 0)), 1, 1), "")</f>
        <v/>
      </c>
      <c r="Q13" s="4" t="str">
        <f ca="1">IFERROR(MID(INDEX(Classifica!M:M, MATCH(G13, Classifica!C:C, 0)), 3, 1), "")</f>
        <v/>
      </c>
      <c r="R13" s="4" t="str">
        <f ca="1">IFERROR(MID(INDEX(Classifica!M:M, MATCH(G13, Classifica!C:C, 0)), 5, 1), "")</f>
        <v/>
      </c>
      <c r="S13" s="4" t="str">
        <f ca="1">IFERROR(MID(INDEX(Classifica!M:M, MATCH(G13, Classifica!C:C, 0)), 7, 1), "")</f>
        <v/>
      </c>
      <c r="T13" s="4" t="str">
        <f ca="1">IFERROR(MID(INDEX(Classifica!M:M, MATCH(G13, Classifica!C:C, 0)), 9, 1), "")</f>
        <v/>
      </c>
      <c r="U13" s="4" t="str">
        <f ca="1">IFERROR(IF(P13="","",COUNTIF(P13:T13,"W")*20+COUNTIF(P13:T13,"D")*7),"")</f>
        <v/>
      </c>
      <c r="V13" s="12"/>
      <c r="W13" s="4">
        <f ca="1">COUNTIFS(Partite!AE:AE,1,Partite!Q:Q,Palinsesto!G13)+COUNTIFS(Partite!AE:AE,1,Partite!S:S,Palinsesto!G13)</f>
        <v>0</v>
      </c>
      <c r="X13" s="12"/>
      <c r="Y13" s="4" t="str">
        <f ca="1">INDEX(AD$4:AF$4, MATCH(MAX(AD13:AF13), AD13:AF13, 0))</f>
        <v>0-2</v>
      </c>
      <c r="Z13" s="4" t="str">
        <f ca="1">IFERROR(INT((LARGE(AD13:AF13,1)/SUM(H13:J13))*100),"")</f>
        <v/>
      </c>
      <c r="AA13" s="4">
        <f ca="1">COUNTIFS(Partite!AL:AL,1,Partite!Q:Q,Palinsesto!G13)+COUNTIFS(Partite!AL:AL,1,Partite!S:S,Palinsesto!G13)</f>
        <v>0</v>
      </c>
      <c r="AB13" s="22"/>
      <c r="AD13" s="7">
        <f ca="1">COUNTIFS(Partite!T:T,1,Partite!G:G,Palinsesto!G13)+COUNTIFS(Partite!W:W,1,Partite!I:I,Palinsesto!G13)</f>
        <v>0</v>
      </c>
      <c r="AE13" s="8">
        <f ca="1">COUNTIFS(Partite!U:U,1,Partite!H:H,G13)+COUNTIFS(Partite!X:X,1,Partite!J:J,G13)</f>
        <v>0</v>
      </c>
      <c r="AF13" s="27">
        <f ca="1">COUNTIFS(Partite!V:V,1,Partite!I:I,G13)+COUNTIFS(Partite!Y:Y,1,Partite!K:K,G13)</f>
        <v>0</v>
      </c>
    </row>
    <row r="14" spans="2:35" ht="15" thickTop="1" thickBot="1" x14ac:dyDescent="0.6">
      <c r="B14" s="15"/>
    </row>
    <row r="15" spans="2:35" ht="15" thickTop="1" thickBot="1" x14ac:dyDescent="0.6">
      <c r="B15" s="15">
        <f t="shared" ref="B15" si="1">B12+1</f>
        <v>4</v>
      </c>
      <c r="C15" s="16" t="str">
        <f ca="1">VLOOKUP($B$2+B15,Partite!$A$1:$Z$2322,2,FALSE)</f>
        <v>Eliteserien</v>
      </c>
      <c r="D15" s="11" t="str">
        <f ca="1">VLOOKUP($B$2+B15,Partite!$A$1:$Z$2322,3,FALSE)</f>
        <v>2</v>
      </c>
      <c r="E15" s="18">
        <f ca="1">VALUE(TEXT(AC15, "GG/MM/AAAA"))</f>
        <v>46225</v>
      </c>
      <c r="F15" s="20" t="str">
        <f ca="1">VLOOKUP($B$2+B15,Partite!$A$1:$Z$2322,6,FALSE)</f>
        <v>19:00</v>
      </c>
      <c r="G15" s="3" t="str">
        <f ca="1">VLOOKUP($B$2+B15,Partite!$A$1:$Z$2322,7,FALSE)</f>
        <v>Bodø/Glimt</v>
      </c>
      <c r="H15" s="3">
        <f ca="1">IFERROR(VLOOKUP(G15,Classifica!$C$2:$R$131,3,FALSE),"")</f>
        <v>9</v>
      </c>
      <c r="I15" s="3">
        <f ca="1">IFERROR(VLOOKUP(G15,Classifica!$C$2:$R$131,4,FALSE),"")</f>
        <v>2</v>
      </c>
      <c r="J15" s="3">
        <f ca="1">IFERROR(VLOOKUP(G15,Classifica!$C$2:$R$131,5,FALSE),"")</f>
        <v>2</v>
      </c>
      <c r="K15" s="3">
        <f ca="1">IFERROR(VLOOKUP(G15,Classifica!$C$2:$R$131,6,FALSE),"")</f>
        <v>31</v>
      </c>
      <c r="L15" s="3">
        <f ca="1">IFERROR(VLOOKUP(G15,Classifica!$C$2:$R$131,7,FALSE),"")</f>
        <v>11</v>
      </c>
      <c r="M15" s="3">
        <f ca="1">IFERROR(VLOOKUP(G15,Classifica!$C$2:$R$131,8,FALSE),"")</f>
        <v>20</v>
      </c>
      <c r="N15" s="3">
        <f ca="1">IFERROR(VLOOKUP(G15,Classifica!$C$2:$R$131,9,FALSE),"")</f>
        <v>29</v>
      </c>
      <c r="O15" s="3">
        <f ca="1">IFERROR(VLOOKUP(G15,Classifica!$C$2:$R$131,16,FALSE),"")</f>
        <v>3</v>
      </c>
      <c r="P15" s="3" t="str">
        <f ca="1">IFERROR(MID(INDEX(Classifica!M:M, MATCH(G15, Classifica!C:C, 0)), 1, 1), "")</f>
        <v>W</v>
      </c>
      <c r="Q15" s="3" t="str">
        <f ca="1">IFERROR(MID(INDEX(Classifica!M:M, MATCH(G15, Classifica!C:C, 0)), 3, 1), "")</f>
        <v>W</v>
      </c>
      <c r="R15" s="3" t="str">
        <f ca="1">IFERROR(MID(INDEX(Classifica!M:M, MATCH(G15, Classifica!C:C, 0)), 5, 1), "")</f>
        <v>D</v>
      </c>
      <c r="S15" s="3" t="str">
        <f ca="1">IFERROR(MID(INDEX(Classifica!M:M, MATCH(G15, Classifica!C:C, 0)), 7, 1), "")</f>
        <v>W</v>
      </c>
      <c r="T15" s="3" t="str">
        <f ca="1">IFERROR(MID(INDEX(Classifica!M:M, MATCH(G15, Classifica!C:C, 0)), 9, 1), "")</f>
        <v>W</v>
      </c>
      <c r="U15" s="3">
        <f ca="1">IFERROR(IF(P15="","",COUNTIF(P15:T15,"W")*20+COUNTIF(P15:T15,"D")*7),"")</f>
        <v>87</v>
      </c>
      <c r="V15" s="11">
        <f ca="1">IFERROR(ABS(U15-U16),"")</f>
        <v>53</v>
      </c>
      <c r="W15" s="3">
        <f ca="1">COUNTIFS(Partite!AE:AE,1,Partite!Q:Q,Palinsesto!G15)+COUNTIFS(Partite!AE:AE,1,Partite!S:S,Palinsesto!G15)</f>
        <v>0</v>
      </c>
      <c r="X15" s="11">
        <f ca="1">IFERROR(AVERAGE(IFERROR(INT(W15/(SUM(H15:J15))*100),""),IFERROR(INT(W16/(SUM(H16:J16))*100),"")),"")</f>
        <v>0</v>
      </c>
      <c r="Y15" s="3" t="str">
        <f ca="1">INDEX(AD$4:AF$4, MATCH(MAX(AD15:AF15), AD15:AF15, 0))</f>
        <v>0-2</v>
      </c>
      <c r="Z15" s="3">
        <f ca="1">IFERROR(INT((LARGE(AD15:AF15,1)/SUM(H15:J15))*100),"")</f>
        <v>53</v>
      </c>
      <c r="AA15" s="3">
        <f ca="1">COUNTIFS(Partite!AL:AL,1,Partite!Q:Q,Palinsesto!G15)+COUNTIFS(Partite!AL:AL,1,Partite!S:S,Palinsesto!G15)</f>
        <v>0</v>
      </c>
      <c r="AB15" s="21">
        <f ca="1">IFERROR(INT(AVERAGE(AA15/(SUM(H15:J15))*100,(AA16/(SUM(H16:J16))*100))),"")</f>
        <v>0</v>
      </c>
      <c r="AC15" s="9" t="str">
        <f ca="1">VLOOKUP($B$2+B15,Partite!$A$1:$E$2322,5,FALSE)</f>
        <v>2026-07-22</v>
      </c>
      <c r="AD15" s="7">
        <f ca="1">COUNTIFS(Partite!T:T,1,Partite!G:G,Palinsesto!G15)+COUNTIFS(Partite!W:W,1,Partite!I:I,Palinsesto!G15)</f>
        <v>7</v>
      </c>
      <c r="AE15" s="8">
        <f ca="1">COUNTIFS(Partite!U:U,1,Partite!H:H,G15)+COUNTIFS(Partite!X:X,1,Partite!J:J,G15)</f>
        <v>0</v>
      </c>
      <c r="AF15" s="27">
        <f ca="1">COUNTIFS(Partite!V:V,1,Partite!I:I,G15)+COUNTIFS(Partite!Y:Y,1,Partite!K:K,G15)</f>
        <v>2</v>
      </c>
    </row>
    <row r="16" spans="2:35" ht="15" thickTop="1" thickBot="1" x14ac:dyDescent="0.6">
      <c r="B16" s="15"/>
      <c r="C16" s="17"/>
      <c r="D16" s="12"/>
      <c r="E16" s="19"/>
      <c r="F16" s="19"/>
      <c r="G16" s="4" t="str">
        <f ca="1">VLOOKUP($B$2+B15,Partite!$A$1:$Z$2322,9,FALSE)</f>
        <v>HamKam</v>
      </c>
      <c r="H16" s="4">
        <f ca="1">IFERROR(VLOOKUP(G16,Classifica!$C$2:$R$131,3,FALSE),"")</f>
        <v>5</v>
      </c>
      <c r="I16" s="4">
        <f ca="1">IFERROR(VLOOKUP(G16,Classifica!$C$2:$R$131,4,FALSE),"")</f>
        <v>3</v>
      </c>
      <c r="J16" s="4">
        <f ca="1">IFERROR(VLOOKUP(G16,Classifica!$C$2:$R$131,5,FALSE),"")</f>
        <v>4</v>
      </c>
      <c r="K16" s="4">
        <f ca="1">IFERROR(VLOOKUP(G16,Classifica!$C$2:$R$131,6,FALSE),"")</f>
        <v>20</v>
      </c>
      <c r="L16" s="4">
        <f ca="1">IFERROR(VLOOKUP(G16,Classifica!$C$2:$R$131,7,FALSE),"")</f>
        <v>22</v>
      </c>
      <c r="M16" s="4">
        <f ca="1">IFERROR(VLOOKUP(G16,Classifica!$C$2:$R$131,8,FALSE),"")</f>
        <v>-2</v>
      </c>
      <c r="N16" s="4">
        <f ca="1">IFERROR(VLOOKUP(G16,Classifica!$C$2:$R$131,9,FALSE),"")</f>
        <v>18</v>
      </c>
      <c r="O16" s="4">
        <f ca="1">IFERROR(VLOOKUP(G16,Classifica!$C$2:$R$131,16,FALSE),"")</f>
        <v>7</v>
      </c>
      <c r="P16" s="4" t="str">
        <f ca="1">IFERROR(MID(INDEX(Classifica!M:M, MATCH(G16, Classifica!C:C, 0)), 1, 1), "")</f>
        <v>L</v>
      </c>
      <c r="Q16" s="4" t="str">
        <f ca="1">IFERROR(MID(INDEX(Classifica!M:M, MATCH(G16, Classifica!C:C, 0)), 3, 1), "")</f>
        <v>W</v>
      </c>
      <c r="R16" s="4" t="str">
        <f ca="1">IFERROR(MID(INDEX(Classifica!M:M, MATCH(G16, Classifica!C:C, 0)), 5, 1), "")</f>
        <v>D</v>
      </c>
      <c r="S16" s="4" t="str">
        <f ca="1">IFERROR(MID(INDEX(Classifica!M:M, MATCH(G16, Classifica!C:C, 0)), 7, 1), "")</f>
        <v>D</v>
      </c>
      <c r="T16" s="4" t="str">
        <f ca="1">IFERROR(MID(INDEX(Classifica!M:M, MATCH(G16, Classifica!C:C, 0)), 9, 1), "")</f>
        <v>L</v>
      </c>
      <c r="U16" s="4">
        <f ca="1">IFERROR(IF(P16="","",COUNTIF(P16:T16,"W")*20+COUNTIF(P16:T16,"D")*7),"")</f>
        <v>34</v>
      </c>
      <c r="V16" s="12"/>
      <c r="W16" s="4">
        <f ca="1">COUNTIFS(Partite!AE:AE,1,Partite!Q:Q,Palinsesto!G16)+COUNTIFS(Partite!AE:AE,1,Partite!S:S,Palinsesto!G16)</f>
        <v>0</v>
      </c>
      <c r="X16" s="12"/>
      <c r="Y16" s="4" t="str">
        <f ca="1">INDEX(AD$4:AF$4, MATCH(MAX(AD16:AF16), AD16:AF16, 0))</f>
        <v>0-2</v>
      </c>
      <c r="Z16" s="4">
        <f ca="1">IFERROR(INT((LARGE(AD16:AF16,1)/SUM(H16:J16))*100),"")</f>
        <v>91</v>
      </c>
      <c r="AA16" s="4">
        <f ca="1">COUNTIFS(Partite!AL:AL,1,Partite!Q:Q,Palinsesto!G16)+COUNTIFS(Partite!AL:AL,1,Partite!S:S,Palinsesto!G16)</f>
        <v>0</v>
      </c>
      <c r="AB16" s="22"/>
      <c r="AD16" s="7">
        <f ca="1">COUNTIFS(Partite!T:T,1,Partite!G:G,Palinsesto!G16)+COUNTIFS(Partite!W:W,1,Partite!I:I,Palinsesto!G16)</f>
        <v>11</v>
      </c>
      <c r="AE16" s="8">
        <f ca="1">COUNTIFS(Partite!U:U,1,Partite!H:H,G16)+COUNTIFS(Partite!X:X,1,Partite!J:J,G16)</f>
        <v>0</v>
      </c>
      <c r="AF16" s="27">
        <f ca="1">COUNTIFS(Partite!V:V,1,Partite!I:I,G16)+COUNTIFS(Partite!Y:Y,1,Partite!K:K,G16)</f>
        <v>4</v>
      </c>
    </row>
    <row r="17" spans="2:32" ht="15" thickTop="1" thickBot="1" x14ac:dyDescent="0.6">
      <c r="B17" s="15"/>
    </row>
    <row r="18" spans="2:32" ht="15" thickTop="1" thickBot="1" x14ac:dyDescent="0.6">
      <c r="B18" s="15">
        <f t="shared" ref="B18" si="2">B15+1</f>
        <v>5</v>
      </c>
      <c r="C18" s="16" t="str">
        <f ca="1">VLOOKUP($B$2+B18,Partite!$A$1:$Z$2322,2,FALSE)</f>
        <v>Eliteserien</v>
      </c>
      <c r="D18" s="11" t="str">
        <f ca="1">VLOOKUP($B$2+B18,Partite!$A$1:$Z$2322,3,FALSE)</f>
        <v>11</v>
      </c>
      <c r="E18" s="18">
        <f ca="1">VALUE(TEXT(AC18, "GG/MM/AAAA"))</f>
        <v>46225</v>
      </c>
      <c r="F18" s="20" t="str">
        <f ca="1">VLOOKUP($B$2+B18,Partite!$A$1:$Z$2322,6,FALSE)</f>
        <v>19:00</v>
      </c>
      <c r="G18" s="3" t="str">
        <f ca="1">VLOOKUP($B$2+B18,Partite!$A$1:$Z$2322,7,FALSE)</f>
        <v>Lillestrøm</v>
      </c>
      <c r="H18" s="3">
        <f ca="1">IFERROR(VLOOKUP(G18,Classifica!$C$2:$R$131,3,FALSE),"")</f>
        <v>8</v>
      </c>
      <c r="I18" s="3">
        <f ca="1">IFERROR(VLOOKUP(G18,Classifica!$C$2:$R$131,4,FALSE),"")</f>
        <v>1</v>
      </c>
      <c r="J18" s="3">
        <f ca="1">IFERROR(VLOOKUP(G18,Classifica!$C$2:$R$131,5,FALSE),"")</f>
        <v>4</v>
      </c>
      <c r="K18" s="3">
        <f ca="1">IFERROR(VLOOKUP(G18,Classifica!$C$2:$R$131,6,FALSE),"")</f>
        <v>21</v>
      </c>
      <c r="L18" s="3">
        <f ca="1">IFERROR(VLOOKUP(G18,Classifica!$C$2:$R$131,7,FALSE),"")</f>
        <v>12</v>
      </c>
      <c r="M18" s="3">
        <f ca="1">IFERROR(VLOOKUP(G18,Classifica!$C$2:$R$131,8,FALSE),"")</f>
        <v>9</v>
      </c>
      <c r="N18" s="3">
        <f ca="1">IFERROR(VLOOKUP(G18,Classifica!$C$2:$R$131,9,FALSE),"")</f>
        <v>25</v>
      </c>
      <c r="O18" s="3">
        <f ca="1">IFERROR(VLOOKUP(G18,Classifica!$C$2:$R$131,16,FALSE),"")</f>
        <v>4</v>
      </c>
      <c r="P18" s="3" t="str">
        <f ca="1">IFERROR(MID(INDEX(Classifica!M:M, MATCH(G18, Classifica!C:C, 0)), 1, 1), "")</f>
        <v>W</v>
      </c>
      <c r="Q18" s="3" t="str">
        <f ca="1">IFERROR(MID(INDEX(Classifica!M:M, MATCH(G18, Classifica!C:C, 0)), 3, 1), "")</f>
        <v>L</v>
      </c>
      <c r="R18" s="3" t="str">
        <f ca="1">IFERROR(MID(INDEX(Classifica!M:M, MATCH(G18, Classifica!C:C, 0)), 5, 1), "")</f>
        <v>L</v>
      </c>
      <c r="S18" s="3" t="str">
        <f ca="1">IFERROR(MID(INDEX(Classifica!M:M, MATCH(G18, Classifica!C:C, 0)), 7, 1), "")</f>
        <v>W</v>
      </c>
      <c r="T18" s="3" t="str">
        <f ca="1">IFERROR(MID(INDEX(Classifica!M:M, MATCH(G18, Classifica!C:C, 0)), 9, 1), "")</f>
        <v>W</v>
      </c>
      <c r="U18" s="3">
        <f ca="1">IFERROR(IF(P18="","",COUNTIF(P18:T18,"W")*20+COUNTIF(P18:T18,"D")*7),"")</f>
        <v>60</v>
      </c>
      <c r="V18" s="11">
        <f ca="1">IFERROR(ABS(U18-U19),"")</f>
        <v>20</v>
      </c>
      <c r="W18" s="3">
        <f ca="1">COUNTIFS(Partite!AE:AE,1,Partite!Q:Q,Palinsesto!G18)+COUNTIFS(Partite!AE:AE,1,Partite!S:S,Palinsesto!G18)</f>
        <v>0</v>
      </c>
      <c r="X18" s="11">
        <f ca="1">IFERROR(AVERAGE(IFERROR(INT(W18/(SUM(H18:J18))*100),""),IFERROR(INT(W19/(SUM(H19:J19))*100),"")),"")</f>
        <v>0</v>
      </c>
      <c r="Y18" s="3" t="str">
        <f ca="1">INDEX(AD$4:AF$4, MATCH(MAX(AD18:AF18), AD18:AF18, 0))</f>
        <v>0-2</v>
      </c>
      <c r="Z18" s="3">
        <f ca="1">IFERROR(INT((LARGE(AD18:AF18,1)/SUM(H18:J18))*100),"")</f>
        <v>69</v>
      </c>
      <c r="AA18" s="3">
        <f ca="1">COUNTIFS(Partite!AL:AL,1,Partite!Q:Q,Palinsesto!G18)+COUNTIFS(Partite!AL:AL,1,Partite!S:S,Palinsesto!G18)</f>
        <v>0</v>
      </c>
      <c r="AB18" s="21">
        <f ca="1">IFERROR(INT(AVERAGE(AA18/(SUM(H18:J18))*100,(AA19/(SUM(H19:J19))*100))),"")</f>
        <v>0</v>
      </c>
      <c r="AC18" s="9" t="str">
        <f ca="1">VLOOKUP($B$2+B18,Partite!$A$1:$E$2322,5,FALSE)</f>
        <v>2026-07-22</v>
      </c>
      <c r="AD18" s="7">
        <f ca="1">COUNTIFS(Partite!T:T,1,Partite!G:G,Palinsesto!G18)+COUNTIFS(Partite!W:W,1,Partite!I:I,Palinsesto!G18)</f>
        <v>9</v>
      </c>
      <c r="AE18" s="8">
        <f ca="1">COUNTIFS(Partite!U:U,1,Partite!H:H,G18)+COUNTIFS(Partite!X:X,1,Partite!J:J,G18)</f>
        <v>0</v>
      </c>
      <c r="AF18" s="27">
        <f ca="1">COUNTIFS(Partite!V:V,1,Partite!I:I,G18)+COUNTIFS(Partite!Y:Y,1,Partite!K:K,G18)</f>
        <v>2</v>
      </c>
    </row>
    <row r="19" spans="2:32" ht="15" thickTop="1" thickBot="1" x14ac:dyDescent="0.6">
      <c r="B19" s="15"/>
      <c r="C19" s="17"/>
      <c r="D19" s="12"/>
      <c r="E19" s="19"/>
      <c r="F19" s="19"/>
      <c r="G19" s="4" t="str">
        <f ca="1">VLOOKUP($B$2+B18,Partite!$A$1:$Z$2322,9,FALSE)</f>
        <v>Viking</v>
      </c>
      <c r="H19" s="4">
        <f ca="1">IFERROR(VLOOKUP(G19,Classifica!$C$2:$R$131,3,FALSE),"")</f>
        <v>10</v>
      </c>
      <c r="I19" s="4">
        <f ca="1">IFERROR(VLOOKUP(G19,Classifica!$C$2:$R$131,4,FALSE),"")</f>
        <v>0</v>
      </c>
      <c r="J19" s="4">
        <f ca="1">IFERROR(VLOOKUP(G19,Classifica!$C$2:$R$131,5,FALSE),"")</f>
        <v>2</v>
      </c>
      <c r="K19" s="4">
        <f ca="1">IFERROR(VLOOKUP(G19,Classifica!$C$2:$R$131,6,FALSE),"")</f>
        <v>31</v>
      </c>
      <c r="L19" s="4">
        <f ca="1">IFERROR(VLOOKUP(G19,Classifica!$C$2:$R$131,7,FALSE),"")</f>
        <v>12</v>
      </c>
      <c r="M19" s="4">
        <f ca="1">IFERROR(VLOOKUP(G19,Classifica!$C$2:$R$131,8,FALSE),"")</f>
        <v>19</v>
      </c>
      <c r="N19" s="4">
        <f ca="1">IFERROR(VLOOKUP(G19,Classifica!$C$2:$R$131,9,FALSE),"")</f>
        <v>30</v>
      </c>
      <c r="O19" s="4">
        <f ca="1">IFERROR(VLOOKUP(G19,Classifica!$C$2:$R$131,16,FALSE),"")</f>
        <v>2</v>
      </c>
      <c r="P19" s="4" t="str">
        <f ca="1">IFERROR(MID(INDEX(Classifica!M:M, MATCH(G19, Classifica!C:C, 0)), 1, 1), "")</f>
        <v>W</v>
      </c>
      <c r="Q19" s="4" t="str">
        <f ca="1">IFERROR(MID(INDEX(Classifica!M:M, MATCH(G19, Classifica!C:C, 0)), 3, 1), "")</f>
        <v>W</v>
      </c>
      <c r="R19" s="4" t="str">
        <f ca="1">IFERROR(MID(INDEX(Classifica!M:M, MATCH(G19, Classifica!C:C, 0)), 5, 1), "")</f>
        <v>W</v>
      </c>
      <c r="S19" s="4" t="str">
        <f ca="1">IFERROR(MID(INDEX(Classifica!M:M, MATCH(G19, Classifica!C:C, 0)), 7, 1), "")</f>
        <v>L</v>
      </c>
      <c r="T19" s="4" t="str">
        <f ca="1">IFERROR(MID(INDEX(Classifica!M:M, MATCH(G19, Classifica!C:C, 0)), 9, 1), "")</f>
        <v>W</v>
      </c>
      <c r="U19" s="4">
        <f ca="1">IFERROR(IF(P19="","",COUNTIF(P19:T19,"W")*20+COUNTIF(P19:T19,"D")*7),"")</f>
        <v>80</v>
      </c>
      <c r="V19" s="12"/>
      <c r="W19" s="4">
        <f ca="1">COUNTIFS(Partite!AE:AE,1,Partite!Q:Q,Palinsesto!G19)+COUNTIFS(Partite!AE:AE,1,Partite!S:S,Palinsesto!G19)</f>
        <v>0</v>
      </c>
      <c r="X19" s="12"/>
      <c r="Y19" s="4" t="str">
        <f ca="1">INDEX(AD$4:AF$4, MATCH(MAX(AD19:AF19), AD19:AF19, 0))</f>
        <v>0-2</v>
      </c>
      <c r="Z19" s="4">
        <f ca="1">IFERROR(INT((LARGE(AD19:AF19,1)/SUM(H19:J19))*100),"")</f>
        <v>58</v>
      </c>
      <c r="AA19" s="4">
        <f ca="1">COUNTIFS(Partite!AL:AL,1,Partite!Q:Q,Palinsesto!G19)+COUNTIFS(Partite!AL:AL,1,Partite!S:S,Palinsesto!G19)</f>
        <v>0</v>
      </c>
      <c r="AB19" s="22"/>
      <c r="AD19" s="7">
        <f ca="1">COUNTIFS(Partite!T:T,1,Partite!G:G,Palinsesto!G19)+COUNTIFS(Partite!W:W,1,Partite!I:I,Palinsesto!G19)</f>
        <v>7</v>
      </c>
      <c r="AE19" s="8">
        <f ca="1">COUNTIFS(Partite!U:U,1,Partite!H:H,G19)+COUNTIFS(Partite!X:X,1,Partite!J:J,G19)</f>
        <v>0</v>
      </c>
      <c r="AF19" s="27">
        <f ca="1">COUNTIFS(Partite!V:V,1,Partite!I:I,G19)+COUNTIFS(Partite!Y:Y,1,Partite!K:K,G19)</f>
        <v>1</v>
      </c>
    </row>
    <row r="20" spans="2:32" ht="15" thickTop="1" thickBot="1" x14ac:dyDescent="0.6">
      <c r="B20" s="15"/>
    </row>
    <row r="21" spans="2:32" ht="15" thickTop="1" thickBot="1" x14ac:dyDescent="0.6">
      <c r="B21" s="15">
        <f t="shared" ref="B21" si="3">B18+1</f>
        <v>6</v>
      </c>
      <c r="C21" s="16" t="str">
        <f ca="1">VLOOKUP($B$2+B21,Partite!$A$1:$Z$2322,2,FALSE)</f>
        <v>K League 1</v>
      </c>
      <c r="D21" s="11" t="str">
        <f ca="1">VLOOKUP($B$2+B21,Partite!$A$1:$Z$2322,3,FALSE)</f>
        <v>19</v>
      </c>
      <c r="E21" s="18">
        <f ca="1">VALUE(TEXT(AC21, "GG/MM/AAAA"))</f>
        <v>46225</v>
      </c>
      <c r="F21" s="20" t="str">
        <f ca="1">VLOOKUP($B$2+B21,Partite!$A$1:$Z$2322,6,FALSE)</f>
        <v>19:30 (12:30)</v>
      </c>
      <c r="G21" s="3" t="str">
        <f ca="1">VLOOKUP($B$2+B21,Partite!$A$1:$Z$2322,7,FALSE)</f>
        <v>FC Seoul</v>
      </c>
      <c r="H21" s="3">
        <f ca="1">IFERROR(VLOOKUP(G21,Classifica!$C$2:$R$131,3,FALSE),"")</f>
        <v>11</v>
      </c>
      <c r="I21" s="3">
        <f ca="1">IFERROR(VLOOKUP(G21,Classifica!$C$2:$R$131,4,FALSE),"")</f>
        <v>3</v>
      </c>
      <c r="J21" s="3">
        <f ca="1">IFERROR(VLOOKUP(G21,Classifica!$C$2:$R$131,5,FALSE),"")</f>
        <v>3</v>
      </c>
      <c r="K21" s="3">
        <f ca="1">IFERROR(VLOOKUP(G21,Classifica!$C$2:$R$131,6,FALSE),"")</f>
        <v>28</v>
      </c>
      <c r="L21" s="3">
        <f ca="1">IFERROR(VLOOKUP(G21,Classifica!$C$2:$R$131,7,FALSE),"")</f>
        <v>12</v>
      </c>
      <c r="M21" s="3">
        <f ca="1">IFERROR(VLOOKUP(G21,Classifica!$C$2:$R$131,8,FALSE),"")</f>
        <v>16</v>
      </c>
      <c r="N21" s="3">
        <f ca="1">IFERROR(VLOOKUP(G21,Classifica!$C$2:$R$131,9,FALSE),"")</f>
        <v>36</v>
      </c>
      <c r="O21" s="3">
        <f ca="1">IFERROR(VLOOKUP(G21,Classifica!$C$2:$R$131,16,FALSE),"")</f>
        <v>1</v>
      </c>
      <c r="P21" s="3" t="str">
        <f ca="1">IFERROR(MID(INDEX(Classifica!M:M, MATCH(G21, Classifica!C:C, 0)), 1, 1), "")</f>
        <v>L</v>
      </c>
      <c r="Q21" s="3" t="str">
        <f ca="1">IFERROR(MID(INDEX(Classifica!M:M, MATCH(G21, Classifica!C:C, 0)), 3, 1), "")</f>
        <v>W</v>
      </c>
      <c r="R21" s="3" t="str">
        <f ca="1">IFERROR(MID(INDEX(Classifica!M:M, MATCH(G21, Classifica!C:C, 0)), 5, 1), "")</f>
        <v>W</v>
      </c>
      <c r="S21" s="3" t="str">
        <f ca="1">IFERROR(MID(INDEX(Classifica!M:M, MATCH(G21, Classifica!C:C, 0)), 7, 1), "")</f>
        <v>W</v>
      </c>
      <c r="T21" s="3" t="str">
        <f ca="1">IFERROR(MID(INDEX(Classifica!M:M, MATCH(G21, Classifica!C:C, 0)), 9, 1), "")</f>
        <v>D</v>
      </c>
      <c r="U21" s="3">
        <f ca="1">IFERROR(IF(P21="","",COUNTIF(P21:T21,"W")*20+COUNTIF(P21:T21,"D")*7),"")</f>
        <v>67</v>
      </c>
      <c r="V21" s="11">
        <f ca="1">IFERROR(ABS(U21-U22),"")</f>
        <v>7</v>
      </c>
      <c r="W21" s="3">
        <f ca="1">COUNTIFS(Partite!AE:AE,1,Partite!Q:Q,Palinsesto!G21)+COUNTIFS(Partite!AE:AE,1,Partite!S:S,Palinsesto!G21)</f>
        <v>0</v>
      </c>
      <c r="X21" s="11">
        <f ca="1">IFERROR(AVERAGE(IFERROR(INT(W21/(SUM(H21:J21))*100),""),IFERROR(INT(W22/(SUM(H22:J22))*100),"")),"")</f>
        <v>0</v>
      </c>
      <c r="Y21" s="3" t="str">
        <f ca="1">INDEX(AD$4:AF$4, MATCH(MAX(AD21:AF21), AD21:AF21, 0))</f>
        <v>0-2</v>
      </c>
      <c r="Z21" s="3">
        <f ca="1">IFERROR(INT((LARGE(AD21:AF21,1)/SUM(H21:J21))*100),"")</f>
        <v>82</v>
      </c>
      <c r="AA21" s="3">
        <f ca="1">COUNTIFS(Partite!AL:AL,1,Partite!Q:Q,Palinsesto!G21)+COUNTIFS(Partite!AL:AL,1,Partite!S:S,Palinsesto!G21)</f>
        <v>0</v>
      </c>
      <c r="AB21" s="21">
        <f ca="1">IFERROR(INT(AVERAGE(AA21/(SUM(H21:J21))*100,(AA22/(SUM(H22:J22))*100))),"")</f>
        <v>0</v>
      </c>
      <c r="AC21" s="9" t="str">
        <f ca="1">VLOOKUP($B$2+B21,Partite!$A$1:$E$2322,5,FALSE)</f>
        <v>2026-07-22</v>
      </c>
      <c r="AD21" s="7">
        <f ca="1">COUNTIFS(Partite!T:T,1,Partite!G:G,Palinsesto!G21)+COUNTIFS(Partite!W:W,1,Partite!I:I,Palinsesto!G21)</f>
        <v>14</v>
      </c>
      <c r="AE21" s="8">
        <f ca="1">COUNTIFS(Partite!U:U,1,Partite!H:H,G21)+COUNTIFS(Partite!X:X,1,Partite!J:J,G21)</f>
        <v>0</v>
      </c>
      <c r="AF21" s="27">
        <f ca="1">COUNTIFS(Partite!V:V,1,Partite!I:I,G21)+COUNTIFS(Partite!Y:Y,1,Partite!K:K,G21)</f>
        <v>1</v>
      </c>
    </row>
    <row r="22" spans="2:32" ht="15" thickTop="1" thickBot="1" x14ac:dyDescent="0.6">
      <c r="B22" s="15"/>
      <c r="C22" s="17"/>
      <c r="D22" s="12"/>
      <c r="E22" s="19"/>
      <c r="F22" s="19"/>
      <c r="G22" s="4" t="str">
        <f ca="1">VLOOKUP($B$2+B21,Partite!$A$1:$Z$2322,9,FALSE)</f>
        <v>Pohang Steelers</v>
      </c>
      <c r="H22" s="4">
        <f ca="1">IFERROR(VLOOKUP(G22,Classifica!$C$2:$R$131,3,FALSE),"")</f>
        <v>8</v>
      </c>
      <c r="I22" s="4">
        <f ca="1">IFERROR(VLOOKUP(G22,Classifica!$C$2:$R$131,4,FALSE),"")</f>
        <v>4</v>
      </c>
      <c r="J22" s="4">
        <f ca="1">IFERROR(VLOOKUP(G22,Classifica!$C$2:$R$131,5,FALSE),"")</f>
        <v>6</v>
      </c>
      <c r="K22" s="4">
        <f ca="1">IFERROR(VLOOKUP(G22,Classifica!$C$2:$R$131,6,FALSE),"")</f>
        <v>19</v>
      </c>
      <c r="L22" s="4">
        <f ca="1">IFERROR(VLOOKUP(G22,Classifica!$C$2:$R$131,7,FALSE),"")</f>
        <v>16</v>
      </c>
      <c r="M22" s="4">
        <f ca="1">IFERROR(VLOOKUP(G22,Classifica!$C$2:$R$131,8,FALSE),"")</f>
        <v>3</v>
      </c>
      <c r="N22" s="4">
        <f ca="1">IFERROR(VLOOKUP(G22,Classifica!$C$2:$R$131,9,FALSE),"")</f>
        <v>28</v>
      </c>
      <c r="O22" s="4">
        <f ca="1">IFERROR(VLOOKUP(G22,Classifica!$C$2:$R$131,16,FALSE),"")</f>
        <v>5</v>
      </c>
      <c r="P22" s="4" t="str">
        <f ca="1">IFERROR(MID(INDEX(Classifica!M:M, MATCH(G22, Classifica!C:C, 0)), 1, 1), "")</f>
        <v>W</v>
      </c>
      <c r="Q22" s="4" t="str">
        <f ca="1">IFERROR(MID(INDEX(Classifica!M:M, MATCH(G22, Classifica!C:C, 0)), 3, 1), "")</f>
        <v>L</v>
      </c>
      <c r="R22" s="4" t="str">
        <f ca="1">IFERROR(MID(INDEX(Classifica!M:M, MATCH(G22, Classifica!C:C, 0)), 5, 1), "")</f>
        <v>W</v>
      </c>
      <c r="S22" s="4" t="str">
        <f ca="1">IFERROR(MID(INDEX(Classifica!M:M, MATCH(G22, Classifica!C:C, 0)), 7, 1), "")</f>
        <v>W</v>
      </c>
      <c r="T22" s="4" t="str">
        <f ca="1">IFERROR(MID(INDEX(Classifica!M:M, MATCH(G22, Classifica!C:C, 0)), 9, 1), "")</f>
        <v>L</v>
      </c>
      <c r="U22" s="4">
        <f ca="1">IFERROR(IF(P22="","",COUNTIF(P22:T22,"W")*20+COUNTIF(P22:T22,"D")*7),"")</f>
        <v>60</v>
      </c>
      <c r="V22" s="12"/>
      <c r="W22" s="4">
        <f ca="1">COUNTIFS(Partite!AE:AE,1,Partite!Q:Q,Palinsesto!G22)+COUNTIFS(Partite!AE:AE,1,Partite!S:S,Palinsesto!G22)</f>
        <v>0</v>
      </c>
      <c r="X22" s="12"/>
      <c r="Y22" s="4" t="str">
        <f ca="1">INDEX(AD$4:AF$4, MATCH(MAX(AD22:AF22), AD22:AF22, 0))</f>
        <v>0-2</v>
      </c>
      <c r="Z22" s="4">
        <f ca="1">IFERROR(INT((LARGE(AD22:AF22,1)/SUM(H22:J22))*100),"")</f>
        <v>88</v>
      </c>
      <c r="AA22" s="4">
        <f ca="1">COUNTIFS(Partite!AL:AL,1,Partite!Q:Q,Palinsesto!G22)+COUNTIFS(Partite!AL:AL,1,Partite!S:S,Palinsesto!G22)</f>
        <v>0</v>
      </c>
      <c r="AB22" s="22"/>
      <c r="AD22" s="7">
        <f ca="1">COUNTIFS(Partite!T:T,1,Partite!G:G,Palinsesto!G22)+COUNTIFS(Partite!W:W,1,Partite!I:I,Palinsesto!G22)</f>
        <v>16</v>
      </c>
      <c r="AE22" s="8">
        <f ca="1">COUNTIFS(Partite!U:U,1,Partite!H:H,G22)+COUNTIFS(Partite!X:X,1,Partite!J:J,G22)</f>
        <v>0</v>
      </c>
      <c r="AF22" s="27">
        <f ca="1">COUNTIFS(Partite!V:V,1,Partite!I:I,G22)+COUNTIFS(Partite!Y:Y,1,Partite!K:K,G22)</f>
        <v>4</v>
      </c>
    </row>
    <row r="23" spans="2:32" ht="15" thickTop="1" thickBot="1" x14ac:dyDescent="0.6">
      <c r="B23" s="15"/>
    </row>
    <row r="24" spans="2:32" ht="15" thickTop="1" thickBot="1" x14ac:dyDescent="0.6">
      <c r="B24" s="15">
        <f t="shared" ref="B24" si="4">B21+1</f>
        <v>7</v>
      </c>
      <c r="C24" s="16" t="str">
        <f ca="1">VLOOKUP($B$2+B24,Partite!$A$1:$Z$2322,2,FALSE)</f>
        <v>K League 1</v>
      </c>
      <c r="D24" s="11" t="str">
        <f ca="1">VLOOKUP($B$2+B24,Partite!$A$1:$Z$2322,3,FALSE)</f>
        <v>19</v>
      </c>
      <c r="E24" s="18">
        <f ca="1">VALUE(TEXT(AC24, "GG/MM/AAAA"))</f>
        <v>46225</v>
      </c>
      <c r="F24" s="20" t="str">
        <f ca="1">VLOOKUP($B$2+B24,Partite!$A$1:$Z$2322,6,FALSE)</f>
        <v>19:30 (12:30)</v>
      </c>
      <c r="G24" s="3" t="str">
        <f ca="1">VLOOKUP($B$2+B24,Partite!$A$1:$Z$2322,7,FALSE)</f>
        <v>Gwangju FC</v>
      </c>
      <c r="H24" s="3">
        <f ca="1">IFERROR(VLOOKUP(G24,Classifica!$C$2:$R$131,3,FALSE),"")</f>
        <v>1</v>
      </c>
      <c r="I24" s="3">
        <f ca="1">IFERROR(VLOOKUP(G24,Classifica!$C$2:$R$131,4,FALSE),"")</f>
        <v>5</v>
      </c>
      <c r="J24" s="3">
        <f ca="1">IFERROR(VLOOKUP(G24,Classifica!$C$2:$R$131,5,FALSE),"")</f>
        <v>11</v>
      </c>
      <c r="K24" s="3">
        <f ca="1">IFERROR(VLOOKUP(G24,Classifica!$C$2:$R$131,6,FALSE),"")</f>
        <v>8</v>
      </c>
      <c r="L24" s="3">
        <f ca="1">IFERROR(VLOOKUP(G24,Classifica!$C$2:$R$131,7,FALSE),"")</f>
        <v>41</v>
      </c>
      <c r="M24" s="3">
        <f ca="1">IFERROR(VLOOKUP(G24,Classifica!$C$2:$R$131,8,FALSE),"")</f>
        <v>-33</v>
      </c>
      <c r="N24" s="3">
        <f ca="1">IFERROR(VLOOKUP(G24,Classifica!$C$2:$R$131,9,FALSE),"")</f>
        <v>8</v>
      </c>
      <c r="O24" s="3">
        <f ca="1">IFERROR(VLOOKUP(G24,Classifica!$C$2:$R$131,16,FALSE),"")</f>
        <v>12</v>
      </c>
      <c r="P24" s="3" t="str">
        <f ca="1">IFERROR(MID(INDEX(Classifica!M:M, MATCH(G24, Classifica!C:C, 0)), 1, 1), "")</f>
        <v>D</v>
      </c>
      <c r="Q24" s="3" t="str">
        <f ca="1">IFERROR(MID(INDEX(Classifica!M:M, MATCH(G24, Classifica!C:C, 0)), 3, 1), "")</f>
        <v>L</v>
      </c>
      <c r="R24" s="3" t="str">
        <f ca="1">IFERROR(MID(INDEX(Classifica!M:M, MATCH(G24, Classifica!C:C, 0)), 5, 1), "")</f>
        <v>L</v>
      </c>
      <c r="S24" s="3" t="str">
        <f ca="1">IFERROR(MID(INDEX(Classifica!M:M, MATCH(G24, Classifica!C:C, 0)), 7, 1), "")</f>
        <v>D</v>
      </c>
      <c r="T24" s="3" t="str">
        <f ca="1">IFERROR(MID(INDEX(Classifica!M:M, MATCH(G24, Classifica!C:C, 0)), 9, 1), "")</f>
        <v>L</v>
      </c>
      <c r="U24" s="3">
        <f ca="1">IFERROR(IF(P24="","",COUNTIF(P24:T24,"W")*20+COUNTIF(P24:T24,"D")*7),"")</f>
        <v>14</v>
      </c>
      <c r="V24" s="11">
        <f ca="1">IFERROR(ABS(U24-U25),"")</f>
        <v>7</v>
      </c>
      <c r="W24" s="3">
        <f ca="1">COUNTIFS(Partite!AE:AE,1,Partite!Q:Q,Palinsesto!G24)+COUNTIFS(Partite!AE:AE,1,Partite!S:S,Palinsesto!G24)</f>
        <v>0</v>
      </c>
      <c r="X24" s="11">
        <f ca="1">IFERROR(AVERAGE(IFERROR(INT(W24/(SUM(H24:J24))*100),""),IFERROR(INT(W25/(SUM(H25:J25))*100),"")),"")</f>
        <v>0</v>
      </c>
      <c r="Y24" s="3" t="str">
        <f ca="1">INDEX(AD$4:AF$4, MATCH(MAX(AD24:AF24), AD24:AF24, 0))</f>
        <v>0-2</v>
      </c>
      <c r="Z24" s="3">
        <f ca="1">IFERROR(INT((LARGE(AD24:AF24,1)/SUM(H24:J24))*100),"")</f>
        <v>94</v>
      </c>
      <c r="AA24" s="3">
        <f ca="1">COUNTIFS(Partite!AL:AL,1,Partite!Q:Q,Palinsesto!G24)+COUNTIFS(Partite!AL:AL,1,Partite!S:S,Palinsesto!G24)</f>
        <v>0</v>
      </c>
      <c r="AB24" s="21">
        <f ca="1">IFERROR(INT(AVERAGE(AA24/(SUM(H24:J24))*100,(AA25/(SUM(H25:J25))*100))),"")</f>
        <v>0</v>
      </c>
      <c r="AC24" s="9" t="str">
        <f ca="1">VLOOKUP($B$2+B24,Partite!$A$1:$E$2322,5,FALSE)</f>
        <v>2026-07-22</v>
      </c>
      <c r="AD24" s="7">
        <f ca="1">COUNTIFS(Partite!T:T,1,Partite!G:G,Palinsesto!G24)+COUNTIFS(Partite!W:W,1,Partite!I:I,Palinsesto!G24)</f>
        <v>16</v>
      </c>
      <c r="AE24" s="8">
        <f ca="1">COUNTIFS(Partite!U:U,1,Partite!H:H,G24)+COUNTIFS(Partite!X:X,1,Partite!J:J,G24)</f>
        <v>0</v>
      </c>
      <c r="AF24" s="27">
        <f ca="1">COUNTIFS(Partite!V:V,1,Partite!I:I,G24)+COUNTIFS(Partite!Y:Y,1,Partite!K:K,G24)</f>
        <v>5</v>
      </c>
    </row>
    <row r="25" spans="2:32" ht="15" thickTop="1" thickBot="1" x14ac:dyDescent="0.6">
      <c r="B25" s="15"/>
      <c r="C25" s="17"/>
      <c r="D25" s="12"/>
      <c r="E25" s="19"/>
      <c r="F25" s="19"/>
      <c r="G25" s="4" t="str">
        <f ca="1">VLOOKUP($B$2+B24,Partite!$A$1:$Z$2322,9,FALSE)</f>
        <v>Sangmu</v>
      </c>
      <c r="H25" s="4">
        <f ca="1">IFERROR(VLOOKUP(G25,Classifica!$C$2:$R$131,3,FALSE),"")</f>
        <v>2</v>
      </c>
      <c r="I25" s="4">
        <f ca="1">IFERROR(VLOOKUP(G25,Classifica!$C$2:$R$131,4,FALSE),"")</f>
        <v>10</v>
      </c>
      <c r="J25" s="4">
        <f ca="1">IFERROR(VLOOKUP(G25,Classifica!$C$2:$R$131,5,FALSE),"")</f>
        <v>6</v>
      </c>
      <c r="K25" s="4">
        <f ca="1">IFERROR(VLOOKUP(G25,Classifica!$C$2:$R$131,6,FALSE),"")</f>
        <v>17</v>
      </c>
      <c r="L25" s="4">
        <f ca="1">IFERROR(VLOOKUP(G25,Classifica!$C$2:$R$131,7,FALSE),"")</f>
        <v>25</v>
      </c>
      <c r="M25" s="4">
        <f ca="1">IFERROR(VLOOKUP(G25,Classifica!$C$2:$R$131,8,FALSE),"")</f>
        <v>-8</v>
      </c>
      <c r="N25" s="4">
        <f ca="1">IFERROR(VLOOKUP(G25,Classifica!$C$2:$R$131,9,FALSE),"")</f>
        <v>16</v>
      </c>
      <c r="O25" s="4">
        <f ca="1">IFERROR(VLOOKUP(G25,Classifica!$C$2:$R$131,16,FALSE),"")</f>
        <v>11</v>
      </c>
      <c r="P25" s="4" t="str">
        <f ca="1">IFERROR(MID(INDEX(Classifica!M:M, MATCH(G25, Classifica!C:C, 0)), 1, 1), "")</f>
        <v>D</v>
      </c>
      <c r="Q25" s="4" t="str">
        <f ca="1">IFERROR(MID(INDEX(Classifica!M:M, MATCH(G25, Classifica!C:C, 0)), 3, 1), "")</f>
        <v>L</v>
      </c>
      <c r="R25" s="4" t="str">
        <f ca="1">IFERROR(MID(INDEX(Classifica!M:M, MATCH(G25, Classifica!C:C, 0)), 5, 1), "")</f>
        <v>D</v>
      </c>
      <c r="S25" s="4" t="str">
        <f ca="1">IFERROR(MID(INDEX(Classifica!M:M, MATCH(G25, Classifica!C:C, 0)), 7, 1), "")</f>
        <v>D</v>
      </c>
      <c r="T25" s="4" t="str">
        <f ca="1">IFERROR(MID(INDEX(Classifica!M:M, MATCH(G25, Classifica!C:C, 0)), 9, 1), "")</f>
        <v>L</v>
      </c>
      <c r="U25" s="4">
        <f ca="1">IFERROR(IF(P25="","",COUNTIF(P25:T25,"W")*20+COUNTIF(P25:T25,"D")*7),"")</f>
        <v>21</v>
      </c>
      <c r="V25" s="12"/>
      <c r="W25" s="4">
        <f ca="1">COUNTIFS(Partite!AE:AE,1,Partite!Q:Q,Palinsesto!G25)+COUNTIFS(Partite!AE:AE,1,Partite!S:S,Palinsesto!G25)</f>
        <v>0</v>
      </c>
      <c r="X25" s="12"/>
      <c r="Y25" s="4" t="str">
        <f ca="1">INDEX(AD$4:AF$4, MATCH(MAX(AD25:AF25), AD25:AF25, 0))</f>
        <v>0-2</v>
      </c>
      <c r="Z25" s="4">
        <f ca="1">IFERROR(INT((LARGE(AD25:AF25,1)/SUM(H25:J25))*100),"")</f>
        <v>94</v>
      </c>
      <c r="AA25" s="4">
        <f ca="1">COUNTIFS(Partite!AL:AL,1,Partite!Q:Q,Palinsesto!G25)+COUNTIFS(Partite!AL:AL,1,Partite!S:S,Palinsesto!G25)</f>
        <v>0</v>
      </c>
      <c r="AB25" s="22"/>
      <c r="AD25" s="7">
        <f ca="1">COUNTIFS(Partite!T:T,1,Partite!G:G,Palinsesto!G25)+COUNTIFS(Partite!W:W,1,Partite!I:I,Palinsesto!G25)</f>
        <v>17</v>
      </c>
      <c r="AE25" s="8">
        <f ca="1">COUNTIFS(Partite!U:U,1,Partite!H:H,G25)+COUNTIFS(Partite!X:X,1,Partite!J:J,G25)</f>
        <v>0</v>
      </c>
      <c r="AF25" s="27">
        <f ca="1">COUNTIFS(Partite!V:V,1,Partite!I:I,G25)+COUNTIFS(Partite!Y:Y,1,Partite!K:K,G25)</f>
        <v>4</v>
      </c>
    </row>
    <row r="26" spans="2:32" ht="15" thickTop="1" thickBot="1" x14ac:dyDescent="0.6">
      <c r="B26" s="15"/>
    </row>
    <row r="27" spans="2:32" ht="15" thickTop="1" thickBot="1" x14ac:dyDescent="0.6">
      <c r="B27" s="15">
        <f t="shared" ref="B27" si="5">B24+1</f>
        <v>8</v>
      </c>
      <c r="C27" s="16" t="str">
        <f ca="1">VLOOKUP($B$2+B27,Partite!$A$1:$Z$2322,2,FALSE)</f>
        <v>K League 1</v>
      </c>
      <c r="D27" s="11" t="str">
        <f ca="1">VLOOKUP($B$2+B27,Partite!$A$1:$Z$2322,3,FALSE)</f>
        <v>19</v>
      </c>
      <c r="E27" s="18">
        <f ca="1">VALUE(TEXT(AC27, "GG/MM/AAAA"))</f>
        <v>46225</v>
      </c>
      <c r="F27" s="20" t="str">
        <f ca="1">VLOOKUP($B$2+B27,Partite!$A$1:$Z$2322,6,FALSE)</f>
        <v>19:30 (12:30)</v>
      </c>
      <c r="G27" s="3" t="str">
        <f ca="1">VLOOKUP($B$2+B27,Partite!$A$1:$Z$2322,7,FALSE)</f>
        <v>Bucheon FC</v>
      </c>
      <c r="H27" s="3">
        <f ca="1">IFERROR(VLOOKUP(G27,Classifica!$C$2:$R$131,3,FALSE),"")</f>
        <v>4</v>
      </c>
      <c r="I27" s="3">
        <f ca="1">IFERROR(VLOOKUP(G27,Classifica!$C$2:$R$131,4,FALSE),"")</f>
        <v>7</v>
      </c>
      <c r="J27" s="3">
        <f ca="1">IFERROR(VLOOKUP(G27,Classifica!$C$2:$R$131,5,FALSE),"")</f>
        <v>6</v>
      </c>
      <c r="K27" s="3">
        <f ca="1">IFERROR(VLOOKUP(G27,Classifica!$C$2:$R$131,6,FALSE),"")</f>
        <v>14</v>
      </c>
      <c r="L27" s="3">
        <f ca="1">IFERROR(VLOOKUP(G27,Classifica!$C$2:$R$131,7,FALSE),"")</f>
        <v>18</v>
      </c>
      <c r="M27" s="3">
        <f ca="1">IFERROR(VLOOKUP(G27,Classifica!$C$2:$R$131,8,FALSE),"")</f>
        <v>-4</v>
      </c>
      <c r="N27" s="3">
        <f ca="1">IFERROR(VLOOKUP(G27,Classifica!$C$2:$R$131,9,FALSE),"")</f>
        <v>19</v>
      </c>
      <c r="O27" s="3">
        <f ca="1">IFERROR(VLOOKUP(G27,Classifica!$C$2:$R$131,16,FALSE),"")</f>
        <v>10</v>
      </c>
      <c r="P27" s="3" t="str">
        <f ca="1">IFERROR(MID(INDEX(Classifica!M:M, MATCH(G27, Classifica!C:C, 0)), 1, 1), "")</f>
        <v>L</v>
      </c>
      <c r="Q27" s="3" t="str">
        <f ca="1">IFERROR(MID(INDEX(Classifica!M:M, MATCH(G27, Classifica!C:C, 0)), 3, 1), "")</f>
        <v>D</v>
      </c>
      <c r="R27" s="3" t="str">
        <f ca="1">IFERROR(MID(INDEX(Classifica!M:M, MATCH(G27, Classifica!C:C, 0)), 5, 1), "")</f>
        <v>W</v>
      </c>
      <c r="S27" s="3" t="str">
        <f ca="1">IFERROR(MID(INDEX(Classifica!M:M, MATCH(G27, Classifica!C:C, 0)), 7, 1), "")</f>
        <v>D</v>
      </c>
      <c r="T27" s="3" t="str">
        <f ca="1">IFERROR(MID(INDEX(Classifica!M:M, MATCH(G27, Classifica!C:C, 0)), 9, 1), "")</f>
        <v>D</v>
      </c>
      <c r="U27" s="3">
        <f ca="1">IFERROR(IF(P27="","",COUNTIF(P27:T27,"W")*20+COUNTIF(P27:T27,"D")*7),"")</f>
        <v>41</v>
      </c>
      <c r="V27" s="11">
        <f ca="1">IFERROR(ABS(U27-U28),"")</f>
        <v>13</v>
      </c>
      <c r="W27" s="3">
        <f ca="1">COUNTIFS(Partite!AE:AE,1,Partite!Q:Q,Palinsesto!G27)+COUNTIFS(Partite!AE:AE,1,Partite!S:S,Palinsesto!G27)</f>
        <v>0</v>
      </c>
      <c r="X27" s="11">
        <f ca="1">IFERROR(AVERAGE(IFERROR(INT(W27/(SUM(H27:J27))*100),""),IFERROR(INT(W28/(SUM(H28:J28))*100),"")),"")</f>
        <v>0</v>
      </c>
      <c r="Y27" s="3" t="str">
        <f ca="1">INDEX(AD$4:AF$4, MATCH(MAX(AD27:AF27), AD27:AF27, 0))</f>
        <v>0-2</v>
      </c>
      <c r="Z27" s="3">
        <f ca="1">IFERROR(INT((LARGE(AD27:AF27,1)/SUM(H27:J27))*100),"")</f>
        <v>94</v>
      </c>
      <c r="AA27" s="3">
        <f ca="1">COUNTIFS(Partite!AL:AL,1,Partite!Q:Q,Palinsesto!G27)+COUNTIFS(Partite!AL:AL,1,Partite!S:S,Palinsesto!G27)</f>
        <v>0</v>
      </c>
      <c r="AB27" s="21">
        <f ca="1">IFERROR(INT(AVERAGE(AA27/(SUM(H27:J27))*100,(AA28/(SUM(H28:J28))*100))),"")</f>
        <v>0</v>
      </c>
      <c r="AC27" s="9" t="str">
        <f ca="1">VLOOKUP($B$2+B27,Partite!$A$1:$E$2322,5,FALSE)</f>
        <v>2026-07-22</v>
      </c>
      <c r="AD27" s="7">
        <f ca="1">COUNTIFS(Partite!T:T,1,Partite!G:G,Palinsesto!G27)+COUNTIFS(Partite!W:W,1,Partite!I:I,Palinsesto!G27)</f>
        <v>16</v>
      </c>
      <c r="AE27" s="8">
        <f ca="1">COUNTIFS(Partite!U:U,1,Partite!H:H,G27)+COUNTIFS(Partite!X:X,1,Partite!J:J,G27)</f>
        <v>0</v>
      </c>
      <c r="AF27" s="27">
        <f ca="1">COUNTIFS(Partite!V:V,1,Partite!I:I,G27)+COUNTIFS(Partite!Y:Y,1,Partite!K:K,G27)</f>
        <v>3</v>
      </c>
    </row>
    <row r="28" spans="2:32" ht="15" thickTop="1" thickBot="1" x14ac:dyDescent="0.6">
      <c r="B28" s="15"/>
      <c r="C28" s="17"/>
      <c r="D28" s="12"/>
      <c r="E28" s="19"/>
      <c r="F28" s="19"/>
      <c r="G28" s="4" t="str">
        <f ca="1">VLOOKUP($B$2+B27,Partite!$A$1:$Z$2322,9,FALSE)</f>
        <v>FC Anyang</v>
      </c>
      <c r="H28" s="4">
        <f ca="1">IFERROR(VLOOKUP(G28,Classifica!$C$2:$R$131,3,FALSE),"")</f>
        <v>5</v>
      </c>
      <c r="I28" s="4">
        <f ca="1">IFERROR(VLOOKUP(G28,Classifica!$C$2:$R$131,4,FALSE),"")</f>
        <v>8</v>
      </c>
      <c r="J28" s="4">
        <f ca="1">IFERROR(VLOOKUP(G28,Classifica!$C$2:$R$131,5,FALSE),"")</f>
        <v>4</v>
      </c>
      <c r="K28" s="4">
        <f ca="1">IFERROR(VLOOKUP(G28,Classifica!$C$2:$R$131,6,FALSE),"")</f>
        <v>22</v>
      </c>
      <c r="L28" s="4">
        <f ca="1">IFERROR(VLOOKUP(G28,Classifica!$C$2:$R$131,7,FALSE),"")</f>
        <v>19</v>
      </c>
      <c r="M28" s="4">
        <f ca="1">IFERROR(VLOOKUP(G28,Classifica!$C$2:$R$131,8,FALSE),"")</f>
        <v>3</v>
      </c>
      <c r="N28" s="4">
        <f ca="1">IFERROR(VLOOKUP(G28,Classifica!$C$2:$R$131,9,FALSE),"")</f>
        <v>23</v>
      </c>
      <c r="O28" s="4">
        <f ca="1">IFERROR(VLOOKUP(G28,Classifica!$C$2:$R$131,16,FALSE),"")</f>
        <v>7</v>
      </c>
      <c r="P28" s="4" t="str">
        <f ca="1">IFERROR(MID(INDEX(Classifica!M:M, MATCH(G28, Classifica!C:C, 0)), 1, 1), "")</f>
        <v>D</v>
      </c>
      <c r="Q28" s="4" t="str">
        <f ca="1">IFERROR(MID(INDEX(Classifica!M:M, MATCH(G28, Classifica!C:C, 0)), 3, 1), "")</f>
        <v>D</v>
      </c>
      <c r="R28" s="4" t="str">
        <f ca="1">IFERROR(MID(INDEX(Classifica!M:M, MATCH(G28, Classifica!C:C, 0)), 5, 1), "")</f>
        <v>W</v>
      </c>
      <c r="S28" s="4" t="str">
        <f ca="1">IFERROR(MID(INDEX(Classifica!M:M, MATCH(G28, Classifica!C:C, 0)), 7, 1), "")</f>
        <v>L</v>
      </c>
      <c r="T28" s="4" t="str">
        <f ca="1">IFERROR(MID(INDEX(Classifica!M:M, MATCH(G28, Classifica!C:C, 0)), 9, 1), "")</f>
        <v>W</v>
      </c>
      <c r="U28" s="4">
        <f ca="1">IFERROR(IF(P28="","",COUNTIF(P28:T28,"W")*20+COUNTIF(P28:T28,"D")*7),"")</f>
        <v>54</v>
      </c>
      <c r="V28" s="12"/>
      <c r="W28" s="4">
        <f ca="1">COUNTIFS(Partite!AE:AE,1,Partite!Q:Q,Palinsesto!G28)+COUNTIFS(Partite!AE:AE,1,Partite!S:S,Palinsesto!G28)</f>
        <v>0</v>
      </c>
      <c r="X28" s="12"/>
      <c r="Y28" s="4" t="str">
        <f ca="1">INDEX(AD$4:AF$4, MATCH(MAX(AD28:AF28), AD28:AF28, 0))</f>
        <v>0-2</v>
      </c>
      <c r="Z28" s="4">
        <f ca="1">IFERROR(INT((LARGE(AD28:AF28,1)/SUM(H28:J28))*100),"")</f>
        <v>94</v>
      </c>
      <c r="AA28" s="4">
        <f ca="1">COUNTIFS(Partite!AL:AL,1,Partite!Q:Q,Palinsesto!G28)+COUNTIFS(Partite!AL:AL,1,Partite!S:S,Palinsesto!G28)</f>
        <v>0</v>
      </c>
      <c r="AB28" s="22"/>
      <c r="AD28" s="7">
        <f ca="1">COUNTIFS(Partite!T:T,1,Partite!G:G,Palinsesto!G28)+COUNTIFS(Partite!W:W,1,Partite!I:I,Palinsesto!G28)</f>
        <v>16</v>
      </c>
      <c r="AE28" s="8">
        <f ca="1">COUNTIFS(Partite!U:U,1,Partite!H:H,G28)+COUNTIFS(Partite!X:X,1,Partite!J:J,G28)</f>
        <v>0</v>
      </c>
      <c r="AF28" s="27">
        <f ca="1">COUNTIFS(Partite!V:V,1,Partite!I:I,G28)+COUNTIFS(Partite!Y:Y,1,Partite!K:K,G28)</f>
        <v>2</v>
      </c>
    </row>
    <row r="29" spans="2:32" ht="15" thickTop="1" thickBot="1" x14ac:dyDescent="0.6">
      <c r="B29" s="15"/>
    </row>
    <row r="30" spans="2:32" ht="15" thickTop="1" thickBot="1" x14ac:dyDescent="0.6">
      <c r="B30" s="15">
        <f t="shared" ref="B30" si="6">B27+1</f>
        <v>9</v>
      </c>
      <c r="C30" s="16" t="str">
        <f ca="1">VLOOKUP($B$2+B30,Partite!$A$1:$Z$2322,2,FALSE)</f>
        <v>Europa League</v>
      </c>
      <c r="D30" s="11">
        <f ca="1">VLOOKUP($B$2+B30,Partite!$A$1:$Z$2322,3,FALSE)</f>
        <v>0</v>
      </c>
      <c r="E30" s="18">
        <f ca="1">VALUE(TEXT(AC30, "GG/MM/AAAA"))</f>
        <v>46226</v>
      </c>
      <c r="F30" s="20" t="str">
        <f ca="1">VLOOKUP($B$2+B30,Partite!$A$1:$Z$2322,6,FALSE)</f>
        <v>19:00</v>
      </c>
      <c r="G30" s="3" t="str">
        <f ca="1">VLOOKUP($B$2+B30,Partite!$A$1:$Z$2322,7,FALSE)</f>
        <v>Tromsø no</v>
      </c>
      <c r="H30" s="3" t="str">
        <f ca="1">IFERROR(VLOOKUP(G30,Classifica!$C$2:$R$131,3,FALSE),"")</f>
        <v/>
      </c>
      <c r="I30" s="3" t="str">
        <f ca="1">IFERROR(VLOOKUP(G30,Classifica!$C$2:$R$131,4,FALSE),"")</f>
        <v/>
      </c>
      <c r="J30" s="3" t="str">
        <f ca="1">IFERROR(VLOOKUP(G30,Classifica!$C$2:$R$131,5,FALSE),"")</f>
        <v/>
      </c>
      <c r="K30" s="3" t="str">
        <f ca="1">IFERROR(VLOOKUP(G30,Classifica!$C$2:$R$131,6,FALSE),"")</f>
        <v/>
      </c>
      <c r="L30" s="3" t="str">
        <f ca="1">IFERROR(VLOOKUP(G30,Classifica!$C$2:$R$131,7,FALSE),"")</f>
        <v/>
      </c>
      <c r="M30" s="3" t="str">
        <f ca="1">IFERROR(VLOOKUP(G30,Classifica!$C$2:$R$131,8,FALSE),"")</f>
        <v/>
      </c>
      <c r="N30" s="3" t="str">
        <f ca="1">IFERROR(VLOOKUP(G30,Classifica!$C$2:$R$131,9,FALSE),"")</f>
        <v/>
      </c>
      <c r="O30" s="3" t="str">
        <f ca="1">IFERROR(VLOOKUP(G30,Classifica!$C$2:$R$131,16,FALSE),"")</f>
        <v/>
      </c>
      <c r="P30" s="3" t="str">
        <f ca="1">IFERROR(MID(INDEX(Classifica!M:M, MATCH(G30, Classifica!C:C, 0)), 1, 1), "")</f>
        <v/>
      </c>
      <c r="Q30" s="3" t="str">
        <f ca="1">IFERROR(MID(INDEX(Classifica!M:M, MATCH(G30, Classifica!C:C, 0)), 3, 1), "")</f>
        <v/>
      </c>
      <c r="R30" s="3" t="str">
        <f ca="1">IFERROR(MID(INDEX(Classifica!M:M, MATCH(G30, Classifica!C:C, 0)), 5, 1), "")</f>
        <v/>
      </c>
      <c r="S30" s="3" t="str">
        <f ca="1">IFERROR(MID(INDEX(Classifica!M:M, MATCH(G30, Classifica!C:C, 0)), 7, 1), "")</f>
        <v/>
      </c>
      <c r="T30" s="3" t="str">
        <f ca="1">IFERROR(MID(INDEX(Classifica!M:M, MATCH(G30, Classifica!C:C, 0)), 9, 1), "")</f>
        <v/>
      </c>
      <c r="U30" s="3" t="str">
        <f ca="1">IFERROR(IF(P30="","",COUNTIF(P30:T30,"W")*20+COUNTIF(P30:T30,"D")*7),"")</f>
        <v/>
      </c>
      <c r="V30" s="11" t="str">
        <f ca="1">IFERROR(ABS(U30-U31),"")</f>
        <v/>
      </c>
      <c r="W30" s="3">
        <f ca="1">COUNTIFS(Partite!AE:AE,1,Partite!Q:Q,Palinsesto!G30)+COUNTIFS(Partite!AE:AE,1,Partite!S:S,Palinsesto!G30)</f>
        <v>0</v>
      </c>
      <c r="X30" s="11" t="str">
        <f ca="1">IFERROR(AVERAGE(IFERROR(INT(W30/(SUM(H30:J30))*100),""),IFERROR(INT(W31/(SUM(H31:J31))*100),"")),"")</f>
        <v/>
      </c>
      <c r="Y30" s="3" t="str">
        <f ca="1">INDEX(AD$4:AF$4, MATCH(MAX(AD30:AF30), AD30:AF30, 0))</f>
        <v>0-2</v>
      </c>
      <c r="Z30" s="3" t="str">
        <f ca="1">IFERROR(INT((LARGE(AD30:AF30,1)/SUM(H30:J30))*100),"")</f>
        <v/>
      </c>
      <c r="AA30" s="3">
        <f ca="1">COUNTIFS(Partite!AL:AL,1,Partite!Q:Q,Palinsesto!G30)+COUNTIFS(Partite!AL:AL,1,Partite!S:S,Palinsesto!G30)</f>
        <v>0</v>
      </c>
      <c r="AB30" s="21" t="str">
        <f ca="1">IFERROR(INT(AVERAGE(AA30/(SUM(H30:J30))*100,(AA31/(SUM(H31:J31))*100))),"")</f>
        <v/>
      </c>
      <c r="AC30" s="9" t="str">
        <f ca="1">VLOOKUP($B$2+B30,Partite!$A$1:$E$2322,5,FALSE)</f>
        <v>2026-07-23</v>
      </c>
      <c r="AD30" s="7">
        <f ca="1">COUNTIFS(Partite!T:T,1,Partite!G:G,Palinsesto!G30)+COUNTIFS(Partite!W:W,1,Partite!I:I,Palinsesto!G30)</f>
        <v>0</v>
      </c>
      <c r="AE30" s="8">
        <f ca="1">COUNTIFS(Partite!U:U,1,Partite!H:H,G30)+COUNTIFS(Partite!X:X,1,Partite!J:J,G30)</f>
        <v>0</v>
      </c>
      <c r="AF30" s="27">
        <f ca="1">COUNTIFS(Partite!V:V,1,Partite!I:I,G30)+COUNTIFS(Partite!Y:Y,1,Partite!K:K,G30)</f>
        <v>0</v>
      </c>
    </row>
    <row r="31" spans="2:32" ht="15" thickTop="1" thickBot="1" x14ac:dyDescent="0.6">
      <c r="B31" s="15"/>
      <c r="C31" s="17"/>
      <c r="D31" s="12"/>
      <c r="E31" s="19"/>
      <c r="F31" s="19"/>
      <c r="G31" s="4" t="str">
        <f ca="1">VLOOKUP($B$2+B30,Partite!$A$1:$Z$2322,9,FALSE)</f>
        <v>cz Hradec Králové</v>
      </c>
      <c r="H31" s="4" t="str">
        <f ca="1">IFERROR(VLOOKUP(G31,Classifica!$C$2:$R$131,3,FALSE),"")</f>
        <v/>
      </c>
      <c r="I31" s="4" t="str">
        <f ca="1">IFERROR(VLOOKUP(G31,Classifica!$C$2:$R$131,4,FALSE),"")</f>
        <v/>
      </c>
      <c r="J31" s="4" t="str">
        <f ca="1">IFERROR(VLOOKUP(G31,Classifica!$C$2:$R$131,5,FALSE),"")</f>
        <v/>
      </c>
      <c r="K31" s="4" t="str">
        <f ca="1">IFERROR(VLOOKUP(G31,Classifica!$C$2:$R$131,6,FALSE),"")</f>
        <v/>
      </c>
      <c r="L31" s="4" t="str">
        <f ca="1">IFERROR(VLOOKUP(G31,Classifica!$C$2:$R$131,7,FALSE),"")</f>
        <v/>
      </c>
      <c r="M31" s="4" t="str">
        <f ca="1">IFERROR(VLOOKUP(G31,Classifica!$C$2:$R$131,8,FALSE),"")</f>
        <v/>
      </c>
      <c r="N31" s="4" t="str">
        <f ca="1">IFERROR(VLOOKUP(G31,Classifica!$C$2:$R$131,9,FALSE),"")</f>
        <v/>
      </c>
      <c r="O31" s="4" t="str">
        <f ca="1">IFERROR(VLOOKUP(G31,Classifica!$C$2:$R$131,16,FALSE),"")</f>
        <v/>
      </c>
      <c r="P31" s="4" t="str">
        <f ca="1">IFERROR(MID(INDEX(Classifica!M:M, MATCH(G31, Classifica!C:C, 0)), 1, 1), "")</f>
        <v/>
      </c>
      <c r="Q31" s="4" t="str">
        <f ca="1">IFERROR(MID(INDEX(Classifica!M:M, MATCH(G31, Classifica!C:C, 0)), 3, 1), "")</f>
        <v/>
      </c>
      <c r="R31" s="4" t="str">
        <f ca="1">IFERROR(MID(INDEX(Classifica!M:M, MATCH(G31, Classifica!C:C, 0)), 5, 1), "")</f>
        <v/>
      </c>
      <c r="S31" s="4" t="str">
        <f ca="1">IFERROR(MID(INDEX(Classifica!M:M, MATCH(G31, Classifica!C:C, 0)), 7, 1), "")</f>
        <v/>
      </c>
      <c r="T31" s="4" t="str">
        <f ca="1">IFERROR(MID(INDEX(Classifica!M:M, MATCH(G31, Classifica!C:C, 0)), 9, 1), "")</f>
        <v/>
      </c>
      <c r="U31" s="4" t="str">
        <f ca="1">IFERROR(IF(P31="","",COUNTIF(P31:T31,"W")*20+COUNTIF(P31:T31,"D")*7),"")</f>
        <v/>
      </c>
      <c r="V31" s="12"/>
      <c r="W31" s="4">
        <f ca="1">COUNTIFS(Partite!AE:AE,1,Partite!Q:Q,Palinsesto!G31)+COUNTIFS(Partite!AE:AE,1,Partite!S:S,Palinsesto!G31)</f>
        <v>0</v>
      </c>
      <c r="X31" s="12"/>
      <c r="Y31" s="4" t="str">
        <f ca="1">INDEX(AD$4:AF$4, MATCH(MAX(AD31:AF31), AD31:AF31, 0))</f>
        <v>0-2</v>
      </c>
      <c r="Z31" s="4" t="str">
        <f ca="1">IFERROR(INT((LARGE(AD31:AF31,1)/SUM(H31:J31))*100),"")</f>
        <v/>
      </c>
      <c r="AA31" s="4">
        <f ca="1">COUNTIFS(Partite!AL:AL,1,Partite!Q:Q,Palinsesto!G31)+COUNTIFS(Partite!AL:AL,1,Partite!S:S,Palinsesto!G31)</f>
        <v>0</v>
      </c>
      <c r="AB31" s="22"/>
      <c r="AD31" s="7">
        <f ca="1">COUNTIFS(Partite!T:T,1,Partite!G:G,Palinsesto!G31)+COUNTIFS(Partite!W:W,1,Partite!I:I,Palinsesto!G31)</f>
        <v>0</v>
      </c>
      <c r="AE31" s="8">
        <f ca="1">COUNTIFS(Partite!U:U,1,Partite!H:H,G31)+COUNTIFS(Partite!X:X,1,Partite!J:J,G31)</f>
        <v>0</v>
      </c>
      <c r="AF31" s="27">
        <f ca="1">COUNTIFS(Partite!V:V,1,Partite!I:I,G31)+COUNTIFS(Partite!Y:Y,1,Partite!K:K,G31)</f>
        <v>0</v>
      </c>
    </row>
    <row r="32" spans="2:32" ht="15" thickTop="1" thickBot="1" x14ac:dyDescent="0.6">
      <c r="B32" s="15"/>
    </row>
    <row r="33" spans="2:32" ht="15" thickTop="1" thickBot="1" x14ac:dyDescent="0.6">
      <c r="B33" s="15">
        <f t="shared" ref="B33" si="7">B30+1</f>
        <v>10</v>
      </c>
      <c r="C33" s="16" t="str">
        <f ca="1">VLOOKUP($B$2+B33,Partite!$A$1:$Z$2322,2,FALSE)</f>
        <v>Europa League</v>
      </c>
      <c r="D33" s="11">
        <f ca="1">VLOOKUP($B$2+B33,Partite!$A$1:$Z$2322,3,FALSE)</f>
        <v>0</v>
      </c>
      <c r="E33" s="18">
        <f ca="1">VALUE(TEXT(AC33, "GG/MM/AAAA"))</f>
        <v>46226</v>
      </c>
      <c r="F33" s="20" t="str">
        <f ca="1">VLOOKUP($B$2+B33,Partite!$A$1:$Z$2322,6,FALSE)</f>
        <v>19:00</v>
      </c>
      <c r="G33" s="3" t="str">
        <f ca="1">VLOOKUP($B$2+B33,Partite!$A$1:$Z$2322,7,FALSE)</f>
        <v>Dynamo Kyiv ua</v>
      </c>
      <c r="H33" s="3" t="str">
        <f ca="1">IFERROR(VLOOKUP(G33,Classifica!$C$2:$R$131,3,FALSE),"")</f>
        <v/>
      </c>
      <c r="I33" s="3" t="str">
        <f ca="1">IFERROR(VLOOKUP(G33,Classifica!$C$2:$R$131,4,FALSE),"")</f>
        <v/>
      </c>
      <c r="J33" s="3" t="str">
        <f ca="1">IFERROR(VLOOKUP(G33,Classifica!$C$2:$R$131,5,FALSE),"")</f>
        <v/>
      </c>
      <c r="K33" s="3" t="str">
        <f ca="1">IFERROR(VLOOKUP(G33,Classifica!$C$2:$R$131,6,FALSE),"")</f>
        <v/>
      </c>
      <c r="L33" s="3" t="str">
        <f ca="1">IFERROR(VLOOKUP(G33,Classifica!$C$2:$R$131,7,FALSE),"")</f>
        <v/>
      </c>
      <c r="M33" s="3" t="str">
        <f ca="1">IFERROR(VLOOKUP(G33,Classifica!$C$2:$R$131,8,FALSE),"")</f>
        <v/>
      </c>
      <c r="N33" s="3" t="str">
        <f ca="1">IFERROR(VLOOKUP(G33,Classifica!$C$2:$R$131,9,FALSE),"")</f>
        <v/>
      </c>
      <c r="O33" s="3" t="str">
        <f ca="1">IFERROR(VLOOKUP(G33,Classifica!$C$2:$R$131,16,FALSE),"")</f>
        <v/>
      </c>
      <c r="P33" s="3" t="str">
        <f ca="1">IFERROR(MID(INDEX(Classifica!M:M, MATCH(G33, Classifica!C:C, 0)), 1, 1), "")</f>
        <v/>
      </c>
      <c r="Q33" s="3" t="str">
        <f ca="1">IFERROR(MID(INDEX(Classifica!M:M, MATCH(G33, Classifica!C:C, 0)), 3, 1), "")</f>
        <v/>
      </c>
      <c r="R33" s="3" t="str">
        <f ca="1">IFERROR(MID(INDEX(Classifica!M:M, MATCH(G33, Classifica!C:C, 0)), 5, 1), "")</f>
        <v/>
      </c>
      <c r="S33" s="3" t="str">
        <f ca="1">IFERROR(MID(INDEX(Classifica!M:M, MATCH(G33, Classifica!C:C, 0)), 7, 1), "")</f>
        <v/>
      </c>
      <c r="T33" s="3" t="str">
        <f ca="1">IFERROR(MID(INDEX(Classifica!M:M, MATCH(G33, Classifica!C:C, 0)), 9, 1), "")</f>
        <v/>
      </c>
      <c r="U33" s="3" t="str">
        <f ca="1">IFERROR(IF(P33="","",COUNTIF(P33:T33,"W")*20+COUNTIF(P33:T33,"D")*7),"")</f>
        <v/>
      </c>
      <c r="V33" s="11" t="str">
        <f ca="1">IFERROR(ABS(U33-U34),"")</f>
        <v/>
      </c>
      <c r="W33" s="3">
        <f ca="1">COUNTIFS(Partite!AE:AE,1,Partite!Q:Q,Palinsesto!G33)+COUNTIFS(Partite!AE:AE,1,Partite!S:S,Palinsesto!G33)</f>
        <v>0</v>
      </c>
      <c r="X33" s="11" t="str">
        <f ca="1">IFERROR(AVERAGE(IFERROR(INT(W33/(SUM(H33:J33))*100),""),IFERROR(INT(W34/(SUM(H34:J34))*100),"")),"")</f>
        <v/>
      </c>
      <c r="Y33" s="3" t="str">
        <f ca="1">INDEX(AD$4:AF$4, MATCH(MAX(AD33:AF33), AD33:AF33, 0))</f>
        <v>0-2</v>
      </c>
      <c r="Z33" s="3" t="str">
        <f ca="1">IFERROR(INT((LARGE(AD33:AF33,1)/SUM(H33:J33))*100),"")</f>
        <v/>
      </c>
      <c r="AA33" s="3">
        <f ca="1">COUNTIFS(Partite!AL:AL,1,Partite!Q:Q,Palinsesto!G33)+COUNTIFS(Partite!AL:AL,1,Partite!S:S,Palinsesto!G33)</f>
        <v>0</v>
      </c>
      <c r="AB33" s="21" t="str">
        <f ca="1">IFERROR(INT(AVERAGE(AA33/(SUM(H33:J33))*100,(AA34/(SUM(H34:J34))*100))),"")</f>
        <v/>
      </c>
      <c r="AC33" s="9" t="str">
        <f ca="1">VLOOKUP($B$2+B33,Partite!$A$1:$E$2322,5,FALSE)</f>
        <v>2026-07-23</v>
      </c>
      <c r="AD33" s="7">
        <f ca="1">COUNTIFS(Partite!T:T,1,Partite!G:G,Palinsesto!G33)+COUNTIFS(Partite!W:W,1,Partite!I:I,Palinsesto!G33)</f>
        <v>1</v>
      </c>
      <c r="AE33" s="8">
        <f ca="1">COUNTIFS(Partite!U:U,1,Partite!H:H,G33)+COUNTIFS(Partite!X:X,1,Partite!J:J,G33)</f>
        <v>0</v>
      </c>
      <c r="AF33" s="27">
        <f ca="1">COUNTIFS(Partite!V:V,1,Partite!I:I,G33)+COUNTIFS(Partite!Y:Y,1,Partite!K:K,G33)</f>
        <v>0</v>
      </c>
    </row>
    <row r="34" spans="2:32" ht="15" thickTop="1" thickBot="1" x14ac:dyDescent="0.6">
      <c r="B34" s="15"/>
      <c r="C34" s="17"/>
      <c r="D34" s="12"/>
      <c r="E34" s="19"/>
      <c r="F34" s="19"/>
      <c r="G34" s="4" t="str">
        <f ca="1">VLOOKUP($B$2+B33,Partite!$A$1:$Z$2322,9,FALSE)</f>
        <v>gr PAOK</v>
      </c>
      <c r="H34" s="4" t="str">
        <f ca="1">IFERROR(VLOOKUP(G34,Classifica!$C$2:$R$131,3,FALSE),"")</f>
        <v/>
      </c>
      <c r="I34" s="4" t="str">
        <f ca="1">IFERROR(VLOOKUP(G34,Classifica!$C$2:$R$131,4,FALSE),"")</f>
        <v/>
      </c>
      <c r="J34" s="4" t="str">
        <f ca="1">IFERROR(VLOOKUP(G34,Classifica!$C$2:$R$131,5,FALSE),"")</f>
        <v/>
      </c>
      <c r="K34" s="4" t="str">
        <f ca="1">IFERROR(VLOOKUP(G34,Classifica!$C$2:$R$131,6,FALSE),"")</f>
        <v/>
      </c>
      <c r="L34" s="4" t="str">
        <f ca="1">IFERROR(VLOOKUP(G34,Classifica!$C$2:$R$131,7,FALSE),"")</f>
        <v/>
      </c>
      <c r="M34" s="4" t="str">
        <f ca="1">IFERROR(VLOOKUP(G34,Classifica!$C$2:$R$131,8,FALSE),"")</f>
        <v/>
      </c>
      <c r="N34" s="4" t="str">
        <f ca="1">IFERROR(VLOOKUP(G34,Classifica!$C$2:$R$131,9,FALSE),"")</f>
        <v/>
      </c>
      <c r="O34" s="4" t="str">
        <f ca="1">IFERROR(VLOOKUP(G34,Classifica!$C$2:$R$131,16,FALSE),"")</f>
        <v/>
      </c>
      <c r="P34" s="4" t="str">
        <f ca="1">IFERROR(MID(INDEX(Classifica!M:M, MATCH(G34, Classifica!C:C, 0)), 1, 1), "")</f>
        <v/>
      </c>
      <c r="Q34" s="4" t="str">
        <f ca="1">IFERROR(MID(INDEX(Classifica!M:M, MATCH(G34, Classifica!C:C, 0)), 3, 1), "")</f>
        <v/>
      </c>
      <c r="R34" s="4" t="str">
        <f ca="1">IFERROR(MID(INDEX(Classifica!M:M, MATCH(G34, Classifica!C:C, 0)), 5, 1), "")</f>
        <v/>
      </c>
      <c r="S34" s="4" t="str">
        <f ca="1">IFERROR(MID(INDEX(Classifica!M:M, MATCH(G34, Classifica!C:C, 0)), 7, 1), "")</f>
        <v/>
      </c>
      <c r="T34" s="4" t="str">
        <f ca="1">IFERROR(MID(INDEX(Classifica!M:M, MATCH(G34, Classifica!C:C, 0)), 9, 1), "")</f>
        <v/>
      </c>
      <c r="U34" s="4" t="str">
        <f ca="1">IFERROR(IF(P34="","",COUNTIF(P34:T34,"W")*20+COUNTIF(P34:T34,"D")*7),"")</f>
        <v/>
      </c>
      <c r="V34" s="12"/>
      <c r="W34" s="4">
        <f ca="1">COUNTIFS(Partite!AE:AE,1,Partite!Q:Q,Palinsesto!G34)+COUNTIFS(Partite!AE:AE,1,Partite!S:S,Palinsesto!G34)</f>
        <v>0</v>
      </c>
      <c r="X34" s="12"/>
      <c r="Y34" s="4" t="str">
        <f ca="1">INDEX(AD$4:AF$4, MATCH(MAX(AD34:AF34), AD34:AF34, 0))</f>
        <v>0-2</v>
      </c>
      <c r="Z34" s="4" t="str">
        <f ca="1">IFERROR(INT((LARGE(AD34:AF34,1)/SUM(H34:J34))*100),"")</f>
        <v/>
      </c>
      <c r="AA34" s="4">
        <f ca="1">COUNTIFS(Partite!AL:AL,1,Partite!Q:Q,Palinsesto!G34)+COUNTIFS(Partite!AL:AL,1,Partite!S:S,Palinsesto!G34)</f>
        <v>0</v>
      </c>
      <c r="AB34" s="22"/>
      <c r="AD34" s="7">
        <f ca="1">COUNTIFS(Partite!T:T,1,Partite!G:G,Palinsesto!G34)+COUNTIFS(Partite!W:W,1,Partite!I:I,Palinsesto!G34)</f>
        <v>0</v>
      </c>
      <c r="AE34" s="8">
        <f ca="1">COUNTIFS(Partite!U:U,1,Partite!H:H,G34)+COUNTIFS(Partite!X:X,1,Partite!J:J,G34)</f>
        <v>0</v>
      </c>
      <c r="AF34" s="27">
        <f ca="1">COUNTIFS(Partite!V:V,1,Partite!I:I,G34)+COUNTIFS(Partite!Y:Y,1,Partite!K:K,G34)</f>
        <v>0</v>
      </c>
    </row>
    <row r="35" spans="2:32" ht="15" thickTop="1" thickBot="1" x14ac:dyDescent="0.6">
      <c r="B35" s="15"/>
    </row>
    <row r="36" spans="2:32" ht="15" thickTop="1" thickBot="1" x14ac:dyDescent="0.6">
      <c r="B36" s="15">
        <f t="shared" ref="B36" si="8">B33+1</f>
        <v>11</v>
      </c>
      <c r="C36" s="16" t="str">
        <f ca="1">VLOOKUP($B$2+B36,Partite!$A$1:$Z$2322,2,FALSE)</f>
        <v>Europa League</v>
      </c>
      <c r="D36" s="11">
        <f ca="1">VLOOKUP($B$2+B36,Partite!$A$1:$Z$2322,3,FALSE)</f>
        <v>0</v>
      </c>
      <c r="E36" s="18">
        <f ca="1">VALUE(TEXT(AC36, "GG/MM/AAAA"))</f>
        <v>46226</v>
      </c>
      <c r="F36" s="20" t="str">
        <f ca="1">VLOOKUP($B$2+B36,Partite!$A$1:$Z$2322,6,FALSE)</f>
        <v>19:00</v>
      </c>
      <c r="G36" s="3" t="str">
        <f ca="1">VLOOKUP($B$2+B36,Partite!$A$1:$Z$2322,7,FALSE)</f>
        <v>Hammarby se</v>
      </c>
      <c r="H36" s="3" t="str">
        <f ca="1">IFERROR(VLOOKUP(G36,Classifica!$C$2:$R$131,3,FALSE),"")</f>
        <v/>
      </c>
      <c r="I36" s="3" t="str">
        <f ca="1">IFERROR(VLOOKUP(G36,Classifica!$C$2:$R$131,4,FALSE),"")</f>
        <v/>
      </c>
      <c r="J36" s="3" t="str">
        <f ca="1">IFERROR(VLOOKUP(G36,Classifica!$C$2:$R$131,5,FALSE),"")</f>
        <v/>
      </c>
      <c r="K36" s="3" t="str">
        <f ca="1">IFERROR(VLOOKUP(G36,Classifica!$C$2:$R$131,6,FALSE),"")</f>
        <v/>
      </c>
      <c r="L36" s="3" t="str">
        <f ca="1">IFERROR(VLOOKUP(G36,Classifica!$C$2:$R$131,7,FALSE),"")</f>
        <v/>
      </c>
      <c r="M36" s="3" t="str">
        <f ca="1">IFERROR(VLOOKUP(G36,Classifica!$C$2:$R$131,8,FALSE),"")</f>
        <v/>
      </c>
      <c r="N36" s="3" t="str">
        <f ca="1">IFERROR(VLOOKUP(G36,Classifica!$C$2:$R$131,9,FALSE),"")</f>
        <v/>
      </c>
      <c r="O36" s="3" t="str">
        <f ca="1">IFERROR(VLOOKUP(G36,Classifica!$C$2:$R$131,16,FALSE),"")</f>
        <v/>
      </c>
      <c r="P36" s="3" t="str">
        <f ca="1">IFERROR(MID(INDEX(Classifica!M:M, MATCH(G36, Classifica!C:C, 0)), 1, 1), "")</f>
        <v/>
      </c>
      <c r="Q36" s="3" t="str">
        <f ca="1">IFERROR(MID(INDEX(Classifica!M:M, MATCH(G36, Classifica!C:C, 0)), 3, 1), "")</f>
        <v/>
      </c>
      <c r="R36" s="3" t="str">
        <f ca="1">IFERROR(MID(INDEX(Classifica!M:M, MATCH(G36, Classifica!C:C, 0)), 5, 1), "")</f>
        <v/>
      </c>
      <c r="S36" s="3" t="str">
        <f ca="1">IFERROR(MID(INDEX(Classifica!M:M, MATCH(G36, Classifica!C:C, 0)), 7, 1), "")</f>
        <v/>
      </c>
      <c r="T36" s="3" t="str">
        <f ca="1">IFERROR(MID(INDEX(Classifica!M:M, MATCH(G36, Classifica!C:C, 0)), 9, 1), "")</f>
        <v/>
      </c>
      <c r="U36" s="3" t="str">
        <f ca="1">IFERROR(IF(P36="","",COUNTIF(P36:T36,"W")*20+COUNTIF(P36:T36,"D")*7),"")</f>
        <v/>
      </c>
      <c r="V36" s="11" t="str">
        <f ca="1">IFERROR(ABS(U36-U37),"")</f>
        <v/>
      </c>
      <c r="W36" s="3">
        <f ca="1">COUNTIFS(Partite!AE:AE,1,Partite!Q:Q,Palinsesto!G36)+COUNTIFS(Partite!AE:AE,1,Partite!S:S,Palinsesto!G36)</f>
        <v>0</v>
      </c>
      <c r="X36" s="11" t="str">
        <f ca="1">IFERROR(AVERAGE(IFERROR(INT(W36/(SUM(H36:J36))*100),""),IFERROR(INT(W37/(SUM(H37:J37))*100),"")),"")</f>
        <v/>
      </c>
      <c r="Y36" s="3" t="str">
        <f ca="1">INDEX(AD$4:AF$4, MATCH(MAX(AD36:AF36), AD36:AF36, 0))</f>
        <v>0-2</v>
      </c>
      <c r="Z36" s="3" t="str">
        <f ca="1">IFERROR(INT((LARGE(AD36:AF36,1)/SUM(H36:J36))*100),"")</f>
        <v/>
      </c>
      <c r="AA36" s="3">
        <f ca="1">COUNTIFS(Partite!AL:AL,1,Partite!Q:Q,Palinsesto!G36)+COUNTIFS(Partite!AL:AL,1,Partite!S:S,Palinsesto!G36)</f>
        <v>0</v>
      </c>
      <c r="AB36" s="21" t="str">
        <f ca="1">IFERROR(INT(AVERAGE(AA36/(SUM(H36:J36))*100,(AA37/(SUM(H37:J37))*100))),"")</f>
        <v/>
      </c>
      <c r="AC36" s="9" t="str">
        <f ca="1">VLOOKUP($B$2+B36,Partite!$A$1:$E$2322,5,FALSE)</f>
        <v>2026-07-23</v>
      </c>
      <c r="AD36" s="7">
        <f ca="1">COUNTIFS(Partite!T:T,1,Partite!G:G,Palinsesto!G36)+COUNTIFS(Partite!W:W,1,Partite!I:I,Palinsesto!G36)</f>
        <v>0</v>
      </c>
      <c r="AE36" s="8">
        <f ca="1">COUNTIFS(Partite!U:U,1,Partite!H:H,G36)+COUNTIFS(Partite!X:X,1,Partite!J:J,G36)</f>
        <v>0</v>
      </c>
      <c r="AF36" s="27">
        <f ca="1">COUNTIFS(Partite!V:V,1,Partite!I:I,G36)+COUNTIFS(Partite!Y:Y,1,Partite!K:K,G36)</f>
        <v>0</v>
      </c>
    </row>
    <row r="37" spans="2:32" ht="15" thickTop="1" thickBot="1" x14ac:dyDescent="0.6">
      <c r="B37" s="15"/>
      <c r="C37" s="17"/>
      <c r="D37" s="12"/>
      <c r="E37" s="19"/>
      <c r="F37" s="19"/>
      <c r="G37" s="4" t="str">
        <f ca="1">VLOOKUP($B$2+B36,Partite!$A$1:$Z$2322,9,FALSE)</f>
        <v>be Anderlecht</v>
      </c>
      <c r="H37" s="4" t="str">
        <f ca="1">IFERROR(VLOOKUP(G37,Classifica!$C$2:$R$131,3,FALSE),"")</f>
        <v/>
      </c>
      <c r="I37" s="4" t="str">
        <f ca="1">IFERROR(VLOOKUP(G37,Classifica!$C$2:$R$131,4,FALSE),"")</f>
        <v/>
      </c>
      <c r="J37" s="4" t="str">
        <f ca="1">IFERROR(VLOOKUP(G37,Classifica!$C$2:$R$131,5,FALSE),"")</f>
        <v/>
      </c>
      <c r="K37" s="4" t="str">
        <f ca="1">IFERROR(VLOOKUP(G37,Classifica!$C$2:$R$131,6,FALSE),"")</f>
        <v/>
      </c>
      <c r="L37" s="4" t="str">
        <f ca="1">IFERROR(VLOOKUP(G37,Classifica!$C$2:$R$131,7,FALSE),"")</f>
        <v/>
      </c>
      <c r="M37" s="4" t="str">
        <f ca="1">IFERROR(VLOOKUP(G37,Classifica!$C$2:$R$131,8,FALSE),"")</f>
        <v/>
      </c>
      <c r="N37" s="4" t="str">
        <f ca="1">IFERROR(VLOOKUP(G37,Classifica!$C$2:$R$131,9,FALSE),"")</f>
        <v/>
      </c>
      <c r="O37" s="4" t="str">
        <f ca="1">IFERROR(VLOOKUP(G37,Classifica!$C$2:$R$131,16,FALSE),"")</f>
        <v/>
      </c>
      <c r="P37" s="4" t="str">
        <f ca="1">IFERROR(MID(INDEX(Classifica!M:M, MATCH(G37, Classifica!C:C, 0)), 1, 1), "")</f>
        <v/>
      </c>
      <c r="Q37" s="4" t="str">
        <f ca="1">IFERROR(MID(INDEX(Classifica!M:M, MATCH(G37, Classifica!C:C, 0)), 3, 1), "")</f>
        <v/>
      </c>
      <c r="R37" s="4" t="str">
        <f ca="1">IFERROR(MID(INDEX(Classifica!M:M, MATCH(G37, Classifica!C:C, 0)), 5, 1), "")</f>
        <v/>
      </c>
      <c r="S37" s="4" t="str">
        <f ca="1">IFERROR(MID(INDEX(Classifica!M:M, MATCH(G37, Classifica!C:C, 0)), 7, 1), "")</f>
        <v/>
      </c>
      <c r="T37" s="4" t="str">
        <f ca="1">IFERROR(MID(INDEX(Classifica!M:M, MATCH(G37, Classifica!C:C, 0)), 9, 1), "")</f>
        <v/>
      </c>
      <c r="U37" s="4" t="str">
        <f ca="1">IFERROR(IF(P37="","",COUNTIF(P37:T37,"W")*20+COUNTIF(P37:T37,"D")*7),"")</f>
        <v/>
      </c>
      <c r="V37" s="12"/>
      <c r="W37" s="4">
        <f ca="1">COUNTIFS(Partite!AE:AE,1,Partite!Q:Q,Palinsesto!G37)+COUNTIFS(Partite!AE:AE,1,Partite!S:S,Palinsesto!G37)</f>
        <v>0</v>
      </c>
      <c r="X37" s="12"/>
      <c r="Y37" s="4" t="str">
        <f ca="1">INDEX(AD$4:AF$4, MATCH(MAX(AD37:AF37), AD37:AF37, 0))</f>
        <v>0-2</v>
      </c>
      <c r="Z37" s="4" t="str">
        <f ca="1">IFERROR(INT((LARGE(AD37:AF37,1)/SUM(H37:J37))*100),"")</f>
        <v/>
      </c>
      <c r="AA37" s="4">
        <f ca="1">COUNTIFS(Partite!AL:AL,1,Partite!Q:Q,Palinsesto!G37)+COUNTIFS(Partite!AL:AL,1,Partite!S:S,Palinsesto!G37)</f>
        <v>0</v>
      </c>
      <c r="AB37" s="22"/>
      <c r="AD37" s="7">
        <f ca="1">COUNTIFS(Partite!T:T,1,Partite!G:G,Palinsesto!G37)+COUNTIFS(Partite!W:W,1,Partite!I:I,Palinsesto!G37)</f>
        <v>0</v>
      </c>
      <c r="AE37" s="8">
        <f ca="1">COUNTIFS(Partite!U:U,1,Partite!H:H,G37)+COUNTIFS(Partite!X:X,1,Partite!J:J,G37)</f>
        <v>0</v>
      </c>
      <c r="AF37" s="27">
        <f ca="1">COUNTIFS(Partite!V:V,1,Partite!I:I,G37)+COUNTIFS(Partite!Y:Y,1,Partite!K:K,G37)</f>
        <v>0</v>
      </c>
    </row>
    <row r="38" spans="2:32" ht="15" thickTop="1" thickBot="1" x14ac:dyDescent="0.6">
      <c r="B38" s="15"/>
    </row>
    <row r="39" spans="2:32" ht="15" thickTop="1" thickBot="1" x14ac:dyDescent="0.6">
      <c r="B39" s="15">
        <f t="shared" ref="B39" si="9">B36+1</f>
        <v>12</v>
      </c>
      <c r="C39" s="16" t="str">
        <f ca="1">VLOOKUP($B$2+B39,Partite!$A$1:$Z$2322,2,FALSE)</f>
        <v>Europa League</v>
      </c>
      <c r="D39" s="11">
        <f ca="1">VLOOKUP($B$2+B39,Partite!$A$1:$Z$2322,3,FALSE)</f>
        <v>0</v>
      </c>
      <c r="E39" s="18">
        <f ca="1">VALUE(TEXT(AC39, "GG/MM/AAAA"))</f>
        <v>46226</v>
      </c>
      <c r="F39" s="20" t="str">
        <f ca="1">VLOOKUP($B$2+B39,Partite!$A$1:$Z$2322,6,FALSE)</f>
        <v>20:00 (18:00)</v>
      </c>
      <c r="G39" s="3" t="str">
        <f ca="1">VLOOKUP($B$2+B39,Partite!$A$1:$Z$2322,7,FALSE)</f>
        <v>Qarabağ az</v>
      </c>
      <c r="H39" s="3" t="str">
        <f ca="1">IFERROR(VLOOKUP(G39,Classifica!$C$2:$R$131,3,FALSE),"")</f>
        <v/>
      </c>
      <c r="I39" s="3" t="str">
        <f ca="1">IFERROR(VLOOKUP(G39,Classifica!$C$2:$R$131,4,FALSE),"")</f>
        <v/>
      </c>
      <c r="J39" s="3" t="str">
        <f ca="1">IFERROR(VLOOKUP(G39,Classifica!$C$2:$R$131,5,FALSE),"")</f>
        <v/>
      </c>
      <c r="K39" s="3" t="str">
        <f ca="1">IFERROR(VLOOKUP(G39,Classifica!$C$2:$R$131,6,FALSE),"")</f>
        <v/>
      </c>
      <c r="L39" s="3" t="str">
        <f ca="1">IFERROR(VLOOKUP(G39,Classifica!$C$2:$R$131,7,FALSE),"")</f>
        <v/>
      </c>
      <c r="M39" s="3" t="str">
        <f ca="1">IFERROR(VLOOKUP(G39,Classifica!$C$2:$R$131,8,FALSE),"")</f>
        <v/>
      </c>
      <c r="N39" s="3" t="str">
        <f ca="1">IFERROR(VLOOKUP(G39,Classifica!$C$2:$R$131,9,FALSE),"")</f>
        <v/>
      </c>
      <c r="O39" s="3" t="str">
        <f ca="1">IFERROR(VLOOKUP(G39,Classifica!$C$2:$R$131,16,FALSE),"")</f>
        <v/>
      </c>
      <c r="P39" s="3" t="str">
        <f ca="1">IFERROR(MID(INDEX(Classifica!M:M, MATCH(G39, Classifica!C:C, 0)), 1, 1), "")</f>
        <v/>
      </c>
      <c r="Q39" s="3" t="str">
        <f ca="1">IFERROR(MID(INDEX(Classifica!M:M, MATCH(G39, Classifica!C:C, 0)), 3, 1), "")</f>
        <v/>
      </c>
      <c r="R39" s="3" t="str">
        <f ca="1">IFERROR(MID(INDEX(Classifica!M:M, MATCH(G39, Classifica!C:C, 0)), 5, 1), "")</f>
        <v/>
      </c>
      <c r="S39" s="3" t="str">
        <f ca="1">IFERROR(MID(INDEX(Classifica!M:M, MATCH(G39, Classifica!C:C, 0)), 7, 1), "")</f>
        <v/>
      </c>
      <c r="T39" s="3" t="str">
        <f ca="1">IFERROR(MID(INDEX(Classifica!M:M, MATCH(G39, Classifica!C:C, 0)), 9, 1), "")</f>
        <v/>
      </c>
      <c r="U39" s="3" t="str">
        <f ca="1">IFERROR(IF(P39="","",COUNTIF(P39:T39,"W")*20+COUNTIF(P39:T39,"D")*7),"")</f>
        <v/>
      </c>
      <c r="V39" s="11" t="str">
        <f ca="1">IFERROR(ABS(U39-U40),"")</f>
        <v/>
      </c>
      <c r="W39" s="3">
        <f ca="1">COUNTIFS(Partite!AE:AE,1,Partite!Q:Q,Palinsesto!G39)+COUNTIFS(Partite!AE:AE,1,Partite!S:S,Palinsesto!G39)</f>
        <v>0</v>
      </c>
      <c r="X39" s="11" t="str">
        <f ca="1">IFERROR(AVERAGE(IFERROR(INT(W39/(SUM(H39:J39))*100),""),IFERROR(INT(W40/(SUM(H40:J40))*100),"")),"")</f>
        <v/>
      </c>
      <c r="Y39" s="3" t="str">
        <f ca="1">INDEX(AD$4:AF$4, MATCH(MAX(AD39:AF39), AD39:AF39, 0))</f>
        <v>0-2</v>
      </c>
      <c r="Z39" s="3" t="str">
        <f ca="1">IFERROR(INT((LARGE(AD39:AF39,1)/SUM(H39:J39))*100),"")</f>
        <v/>
      </c>
      <c r="AA39" s="3">
        <f ca="1">COUNTIFS(Partite!AL:AL,1,Partite!Q:Q,Palinsesto!G39)+COUNTIFS(Partite!AL:AL,1,Partite!S:S,Palinsesto!G39)</f>
        <v>0</v>
      </c>
      <c r="AB39" s="21" t="str">
        <f ca="1">IFERROR(INT(AVERAGE(AA39/(SUM(H39:J39))*100,(AA40/(SUM(H40:J40))*100))),"")</f>
        <v/>
      </c>
      <c r="AC39" s="9" t="str">
        <f ca="1">VLOOKUP($B$2+B39,Partite!$A$1:$E$2322,5,FALSE)</f>
        <v>2026-07-23</v>
      </c>
      <c r="AD39" s="7">
        <f ca="1">COUNTIFS(Partite!T:T,1,Partite!G:G,Palinsesto!G39)+COUNTIFS(Partite!W:W,1,Partite!I:I,Palinsesto!G39)</f>
        <v>0</v>
      </c>
      <c r="AE39" s="8">
        <f ca="1">COUNTIFS(Partite!U:U,1,Partite!H:H,G39)+COUNTIFS(Partite!X:X,1,Partite!J:J,G39)</f>
        <v>0</v>
      </c>
      <c r="AF39" s="27">
        <f ca="1">COUNTIFS(Partite!V:V,1,Partite!I:I,G39)+COUNTIFS(Partite!Y:Y,1,Partite!K:K,G39)</f>
        <v>0</v>
      </c>
    </row>
    <row r="40" spans="2:32" ht="15" thickTop="1" thickBot="1" x14ac:dyDescent="0.6">
      <c r="B40" s="15"/>
      <c r="C40" s="17"/>
      <c r="D40" s="12"/>
      <c r="E40" s="19"/>
      <c r="F40" s="19"/>
      <c r="G40" s="4" t="str">
        <f ca="1">VLOOKUP($B$2+B39,Partite!$A$1:$Z$2322,9,FALSE)</f>
        <v>bg CSKA Sofia</v>
      </c>
      <c r="H40" s="4" t="str">
        <f ca="1">IFERROR(VLOOKUP(G40,Classifica!$C$2:$R$131,3,FALSE),"")</f>
        <v/>
      </c>
      <c r="I40" s="4" t="str">
        <f ca="1">IFERROR(VLOOKUP(G40,Classifica!$C$2:$R$131,4,FALSE),"")</f>
        <v/>
      </c>
      <c r="J40" s="4" t="str">
        <f ca="1">IFERROR(VLOOKUP(G40,Classifica!$C$2:$R$131,5,FALSE),"")</f>
        <v/>
      </c>
      <c r="K40" s="4" t="str">
        <f ca="1">IFERROR(VLOOKUP(G40,Classifica!$C$2:$R$131,6,FALSE),"")</f>
        <v/>
      </c>
      <c r="L40" s="4" t="str">
        <f ca="1">IFERROR(VLOOKUP(G40,Classifica!$C$2:$R$131,7,FALSE),"")</f>
        <v/>
      </c>
      <c r="M40" s="4" t="str">
        <f ca="1">IFERROR(VLOOKUP(G40,Classifica!$C$2:$R$131,8,FALSE),"")</f>
        <v/>
      </c>
      <c r="N40" s="4" t="str">
        <f ca="1">IFERROR(VLOOKUP(G40,Classifica!$C$2:$R$131,9,FALSE),"")</f>
        <v/>
      </c>
      <c r="O40" s="4" t="str">
        <f ca="1">IFERROR(VLOOKUP(G40,Classifica!$C$2:$R$131,16,FALSE),"")</f>
        <v/>
      </c>
      <c r="P40" s="4" t="str">
        <f ca="1">IFERROR(MID(INDEX(Classifica!M:M, MATCH(G40, Classifica!C:C, 0)), 1, 1), "")</f>
        <v/>
      </c>
      <c r="Q40" s="4" t="str">
        <f ca="1">IFERROR(MID(INDEX(Classifica!M:M, MATCH(G40, Classifica!C:C, 0)), 3, 1), "")</f>
        <v/>
      </c>
      <c r="R40" s="4" t="str">
        <f ca="1">IFERROR(MID(INDEX(Classifica!M:M, MATCH(G40, Classifica!C:C, 0)), 5, 1), "")</f>
        <v/>
      </c>
      <c r="S40" s="4" t="str">
        <f ca="1">IFERROR(MID(INDEX(Classifica!M:M, MATCH(G40, Classifica!C:C, 0)), 7, 1), "")</f>
        <v/>
      </c>
      <c r="T40" s="4" t="str">
        <f ca="1">IFERROR(MID(INDEX(Classifica!M:M, MATCH(G40, Classifica!C:C, 0)), 9, 1), "")</f>
        <v/>
      </c>
      <c r="U40" s="4" t="str">
        <f ca="1">IFERROR(IF(P40="","",COUNTIF(P40:T40,"W")*20+COUNTIF(P40:T40,"D")*7),"")</f>
        <v/>
      </c>
      <c r="V40" s="12"/>
      <c r="W40" s="4">
        <f ca="1">COUNTIFS(Partite!AE:AE,1,Partite!Q:Q,Palinsesto!G40)+COUNTIFS(Partite!AE:AE,1,Partite!S:S,Palinsesto!G40)</f>
        <v>0</v>
      </c>
      <c r="X40" s="12"/>
      <c r="Y40" s="4" t="str">
        <f ca="1">INDEX(AD$4:AF$4, MATCH(MAX(AD40:AF40), AD40:AF40, 0))</f>
        <v>0-2</v>
      </c>
      <c r="Z40" s="4" t="str">
        <f ca="1">IFERROR(INT((LARGE(AD40:AF40,1)/SUM(H40:J40))*100),"")</f>
        <v/>
      </c>
      <c r="AA40" s="4">
        <f ca="1">COUNTIFS(Partite!AL:AL,1,Partite!Q:Q,Palinsesto!G40)+COUNTIFS(Partite!AL:AL,1,Partite!S:S,Palinsesto!G40)</f>
        <v>0</v>
      </c>
      <c r="AB40" s="22"/>
      <c r="AD40" s="7">
        <f ca="1">COUNTIFS(Partite!T:T,1,Partite!G:G,Palinsesto!G40)+COUNTIFS(Partite!W:W,1,Partite!I:I,Palinsesto!G40)</f>
        <v>1</v>
      </c>
      <c r="AE40" s="8">
        <f ca="1">COUNTIFS(Partite!U:U,1,Partite!H:H,G40)+COUNTIFS(Partite!X:X,1,Partite!J:J,G40)</f>
        <v>0</v>
      </c>
      <c r="AF40" s="27">
        <f ca="1">COUNTIFS(Partite!V:V,1,Partite!I:I,G40)+COUNTIFS(Partite!Y:Y,1,Partite!K:K,G40)</f>
        <v>0</v>
      </c>
    </row>
    <row r="41" spans="2:32" ht="15" thickTop="1" thickBot="1" x14ac:dyDescent="0.6">
      <c r="B41" s="15"/>
    </row>
    <row r="42" spans="2:32" ht="15" thickTop="1" thickBot="1" x14ac:dyDescent="0.6">
      <c r="B42" s="15">
        <f t="shared" ref="B42" si="10">B39+1</f>
        <v>13</v>
      </c>
      <c r="C42" s="16" t="str">
        <f ca="1">VLOOKUP($B$2+B42,Partite!$A$1:$Z$2322,2,FALSE)</f>
        <v>Europa League</v>
      </c>
      <c r="D42" s="11">
        <f ca="1">VLOOKUP($B$2+B42,Partite!$A$1:$Z$2322,3,FALSE)</f>
        <v>0</v>
      </c>
      <c r="E42" s="18">
        <f ca="1">VALUE(TEXT(AC42, "GG/MM/AAAA"))</f>
        <v>46226</v>
      </c>
      <c r="F42" s="20" t="str">
        <f ca="1">VLOOKUP($B$2+B42,Partite!$A$1:$Z$2322,6,FALSE)</f>
        <v>20:00</v>
      </c>
      <c r="G42" s="3" t="str">
        <f ca="1">VLOOKUP($B$2+B42,Partite!$A$1:$Z$2322,7,FALSE)</f>
        <v>St. Gallen ch</v>
      </c>
      <c r="H42" s="3" t="str">
        <f ca="1">IFERROR(VLOOKUP(G42,Classifica!$C$2:$R$131,3,FALSE),"")</f>
        <v/>
      </c>
      <c r="I42" s="3" t="str">
        <f ca="1">IFERROR(VLOOKUP(G42,Classifica!$C$2:$R$131,4,FALSE),"")</f>
        <v/>
      </c>
      <c r="J42" s="3" t="str">
        <f ca="1">IFERROR(VLOOKUP(G42,Classifica!$C$2:$R$131,5,FALSE),"")</f>
        <v/>
      </c>
      <c r="K42" s="3" t="str">
        <f ca="1">IFERROR(VLOOKUP(G42,Classifica!$C$2:$R$131,6,FALSE),"")</f>
        <v/>
      </c>
      <c r="L42" s="3" t="str">
        <f ca="1">IFERROR(VLOOKUP(G42,Classifica!$C$2:$R$131,7,FALSE),"")</f>
        <v/>
      </c>
      <c r="M42" s="3" t="str">
        <f ca="1">IFERROR(VLOOKUP(G42,Classifica!$C$2:$R$131,8,FALSE),"")</f>
        <v/>
      </c>
      <c r="N42" s="3" t="str">
        <f ca="1">IFERROR(VLOOKUP(G42,Classifica!$C$2:$R$131,9,FALSE),"")</f>
        <v/>
      </c>
      <c r="O42" s="3" t="str">
        <f ca="1">IFERROR(VLOOKUP(G42,Classifica!$C$2:$R$131,16,FALSE),"")</f>
        <v/>
      </c>
      <c r="P42" s="3" t="str">
        <f ca="1">IFERROR(MID(INDEX(Classifica!M:M, MATCH(G42, Classifica!C:C, 0)), 1, 1), "")</f>
        <v/>
      </c>
      <c r="Q42" s="3" t="str">
        <f ca="1">IFERROR(MID(INDEX(Classifica!M:M, MATCH(G42, Classifica!C:C, 0)), 3, 1), "")</f>
        <v/>
      </c>
      <c r="R42" s="3" t="str">
        <f ca="1">IFERROR(MID(INDEX(Classifica!M:M, MATCH(G42, Classifica!C:C, 0)), 5, 1), "")</f>
        <v/>
      </c>
      <c r="S42" s="3" t="str">
        <f ca="1">IFERROR(MID(INDEX(Classifica!M:M, MATCH(G42, Classifica!C:C, 0)), 7, 1), "")</f>
        <v/>
      </c>
      <c r="T42" s="3" t="str">
        <f ca="1">IFERROR(MID(INDEX(Classifica!M:M, MATCH(G42, Classifica!C:C, 0)), 9, 1), "")</f>
        <v/>
      </c>
      <c r="U42" s="3" t="str">
        <f ca="1">IFERROR(IF(P42="","",COUNTIF(P42:T42,"W")*20+COUNTIF(P42:T42,"D")*7),"")</f>
        <v/>
      </c>
      <c r="V42" s="11" t="str">
        <f ca="1">IFERROR(ABS(U42-U43),"")</f>
        <v/>
      </c>
      <c r="W42" s="3">
        <f ca="1">COUNTIFS(Partite!AE:AE,1,Partite!Q:Q,Palinsesto!G42)+COUNTIFS(Partite!AE:AE,1,Partite!S:S,Palinsesto!G42)</f>
        <v>0</v>
      </c>
      <c r="X42" s="11" t="str">
        <f ca="1">IFERROR(AVERAGE(IFERROR(INT(W42/(SUM(H42:J42))*100),""),IFERROR(INT(W43/(SUM(H43:J43))*100),"")),"")</f>
        <v/>
      </c>
      <c r="Y42" s="3" t="str">
        <f ca="1">INDEX(AD$4:AF$4, MATCH(MAX(AD42:AF42), AD42:AF42, 0))</f>
        <v>0-2</v>
      </c>
      <c r="Z42" s="3" t="str">
        <f ca="1">IFERROR(INT((LARGE(AD42:AF42,1)/SUM(H42:J42))*100),"")</f>
        <v/>
      </c>
      <c r="AA42" s="3">
        <f ca="1">COUNTIFS(Partite!AL:AL,1,Partite!Q:Q,Palinsesto!G42)+COUNTIFS(Partite!AL:AL,1,Partite!S:S,Palinsesto!G42)</f>
        <v>0</v>
      </c>
      <c r="AB42" s="21" t="str">
        <f ca="1">IFERROR(INT(AVERAGE(AA42/(SUM(H42:J42))*100,(AA43/(SUM(H43:J43))*100))),"")</f>
        <v/>
      </c>
      <c r="AC42" s="9" t="str">
        <f ca="1">VLOOKUP($B$2+B42,Partite!$A$1:$E$2322,5,FALSE)</f>
        <v>2026-07-23</v>
      </c>
      <c r="AD42" s="7">
        <f ca="1">COUNTIFS(Partite!T:T,1,Partite!G:G,Palinsesto!G42)+COUNTIFS(Partite!W:W,1,Partite!I:I,Palinsesto!G42)</f>
        <v>0</v>
      </c>
      <c r="AE42" s="8">
        <f ca="1">COUNTIFS(Partite!U:U,1,Partite!H:H,G42)+COUNTIFS(Partite!X:X,1,Partite!J:J,G42)</f>
        <v>0</v>
      </c>
      <c r="AF42" s="27">
        <f ca="1">COUNTIFS(Partite!V:V,1,Partite!I:I,G42)+COUNTIFS(Partite!Y:Y,1,Partite!K:K,G42)</f>
        <v>0</v>
      </c>
    </row>
    <row r="43" spans="2:32" ht="15" thickTop="1" thickBot="1" x14ac:dyDescent="0.6">
      <c r="B43" s="15"/>
      <c r="C43" s="17"/>
      <c r="D43" s="12"/>
      <c r="E43" s="19"/>
      <c r="F43" s="19"/>
      <c r="G43" s="4" t="str">
        <f ca="1">VLOOKUP($B$2+B42,Partite!$A$1:$Z$2322,9,FALSE)</f>
        <v>pt Benfica</v>
      </c>
      <c r="H43" s="4" t="str">
        <f ca="1">IFERROR(VLOOKUP(G43,Classifica!$C$2:$R$131,3,FALSE),"")</f>
        <v/>
      </c>
      <c r="I43" s="4" t="str">
        <f ca="1">IFERROR(VLOOKUP(G43,Classifica!$C$2:$R$131,4,FALSE),"")</f>
        <v/>
      </c>
      <c r="J43" s="4" t="str">
        <f ca="1">IFERROR(VLOOKUP(G43,Classifica!$C$2:$R$131,5,FALSE),"")</f>
        <v/>
      </c>
      <c r="K43" s="4" t="str">
        <f ca="1">IFERROR(VLOOKUP(G43,Classifica!$C$2:$R$131,6,FALSE),"")</f>
        <v/>
      </c>
      <c r="L43" s="4" t="str">
        <f ca="1">IFERROR(VLOOKUP(G43,Classifica!$C$2:$R$131,7,FALSE),"")</f>
        <v/>
      </c>
      <c r="M43" s="4" t="str">
        <f ca="1">IFERROR(VLOOKUP(G43,Classifica!$C$2:$R$131,8,FALSE),"")</f>
        <v/>
      </c>
      <c r="N43" s="4" t="str">
        <f ca="1">IFERROR(VLOOKUP(G43,Classifica!$C$2:$R$131,9,FALSE),"")</f>
        <v/>
      </c>
      <c r="O43" s="4" t="str">
        <f ca="1">IFERROR(VLOOKUP(G43,Classifica!$C$2:$R$131,16,FALSE),"")</f>
        <v/>
      </c>
      <c r="P43" s="4" t="str">
        <f ca="1">IFERROR(MID(INDEX(Classifica!M:M, MATCH(G43, Classifica!C:C, 0)), 1, 1), "")</f>
        <v/>
      </c>
      <c r="Q43" s="4" t="str">
        <f ca="1">IFERROR(MID(INDEX(Classifica!M:M, MATCH(G43, Classifica!C:C, 0)), 3, 1), "")</f>
        <v/>
      </c>
      <c r="R43" s="4" t="str">
        <f ca="1">IFERROR(MID(INDEX(Classifica!M:M, MATCH(G43, Classifica!C:C, 0)), 5, 1), "")</f>
        <v/>
      </c>
      <c r="S43" s="4" t="str">
        <f ca="1">IFERROR(MID(INDEX(Classifica!M:M, MATCH(G43, Classifica!C:C, 0)), 7, 1), "")</f>
        <v/>
      </c>
      <c r="T43" s="4" t="str">
        <f ca="1">IFERROR(MID(INDEX(Classifica!M:M, MATCH(G43, Classifica!C:C, 0)), 9, 1), "")</f>
        <v/>
      </c>
      <c r="U43" s="4" t="str">
        <f ca="1">IFERROR(IF(P43="","",COUNTIF(P43:T43,"W")*20+COUNTIF(P43:T43,"D")*7),"")</f>
        <v/>
      </c>
      <c r="V43" s="12"/>
      <c r="W43" s="4">
        <f ca="1">COUNTIFS(Partite!AE:AE,1,Partite!Q:Q,Palinsesto!G43)+COUNTIFS(Partite!AE:AE,1,Partite!S:S,Palinsesto!G43)</f>
        <v>0</v>
      </c>
      <c r="X43" s="12"/>
      <c r="Y43" s="4" t="str">
        <f ca="1">INDEX(AD$4:AF$4, MATCH(MAX(AD43:AF43), AD43:AF43, 0))</f>
        <v>0-2</v>
      </c>
      <c r="Z43" s="4" t="str">
        <f ca="1">IFERROR(INT((LARGE(AD43:AF43,1)/SUM(H43:J43))*100),"")</f>
        <v/>
      </c>
      <c r="AA43" s="4">
        <f ca="1">COUNTIFS(Partite!AL:AL,1,Partite!Q:Q,Palinsesto!G43)+COUNTIFS(Partite!AL:AL,1,Partite!S:S,Palinsesto!G43)</f>
        <v>0</v>
      </c>
      <c r="AB43" s="22"/>
      <c r="AD43" s="7">
        <f ca="1">COUNTIFS(Partite!T:T,1,Partite!G:G,Palinsesto!G43)+COUNTIFS(Partite!W:W,1,Partite!I:I,Palinsesto!G43)</f>
        <v>0</v>
      </c>
      <c r="AE43" s="8">
        <f ca="1">COUNTIFS(Partite!U:U,1,Partite!H:H,G43)+COUNTIFS(Partite!X:X,1,Partite!J:J,G43)</f>
        <v>0</v>
      </c>
      <c r="AF43" s="27">
        <f ca="1">COUNTIFS(Partite!V:V,1,Partite!I:I,G43)+COUNTIFS(Partite!Y:Y,1,Partite!K:K,G43)</f>
        <v>0</v>
      </c>
    </row>
    <row r="44" spans="2:32" ht="15" thickTop="1" thickBot="1" x14ac:dyDescent="0.6">
      <c r="B44" s="15"/>
    </row>
    <row r="45" spans="2:32" ht="15" thickTop="1" thickBot="1" x14ac:dyDescent="0.6">
      <c r="B45" s="15">
        <f t="shared" ref="B45" si="11">B42+1</f>
        <v>14</v>
      </c>
      <c r="C45" s="16" t="str">
        <f ca="1">VLOOKUP($B$2+B45,Partite!$A$1:$Z$2322,2,FALSE)</f>
        <v>Europa League</v>
      </c>
      <c r="D45" s="11">
        <f ca="1">VLOOKUP($B$2+B45,Partite!$A$1:$Z$2322,3,FALSE)</f>
        <v>0</v>
      </c>
      <c r="E45" s="18">
        <f ca="1">VALUE(TEXT(AC45, "GG/MM/AAAA"))</f>
        <v>46226</v>
      </c>
      <c r="F45" s="20" t="str">
        <f ca="1">VLOOKUP($B$2+B45,Partite!$A$1:$Z$2322,6,FALSE)</f>
        <v>20:00</v>
      </c>
      <c r="G45" s="3" t="str">
        <f ca="1">VLOOKUP($B$2+B45,Partite!$A$1:$Z$2322,7,FALSE)</f>
        <v>Twente nl</v>
      </c>
      <c r="H45" s="3" t="str">
        <f ca="1">IFERROR(VLOOKUP(G45,Classifica!$C$2:$R$131,3,FALSE),"")</f>
        <v/>
      </c>
      <c r="I45" s="3" t="str">
        <f ca="1">IFERROR(VLOOKUP(G45,Classifica!$C$2:$R$131,4,FALSE),"")</f>
        <v/>
      </c>
      <c r="J45" s="3" t="str">
        <f ca="1">IFERROR(VLOOKUP(G45,Classifica!$C$2:$R$131,5,FALSE),"")</f>
        <v/>
      </c>
      <c r="K45" s="3" t="str">
        <f ca="1">IFERROR(VLOOKUP(G45,Classifica!$C$2:$R$131,6,FALSE),"")</f>
        <v/>
      </c>
      <c r="L45" s="3" t="str">
        <f ca="1">IFERROR(VLOOKUP(G45,Classifica!$C$2:$R$131,7,FALSE),"")</f>
        <v/>
      </c>
      <c r="M45" s="3" t="str">
        <f ca="1">IFERROR(VLOOKUP(G45,Classifica!$C$2:$R$131,8,FALSE),"")</f>
        <v/>
      </c>
      <c r="N45" s="3" t="str">
        <f ca="1">IFERROR(VLOOKUP(G45,Classifica!$C$2:$R$131,9,FALSE),"")</f>
        <v/>
      </c>
      <c r="O45" s="3" t="str">
        <f ca="1">IFERROR(VLOOKUP(G45,Classifica!$C$2:$R$131,16,FALSE),"")</f>
        <v/>
      </c>
      <c r="P45" s="3" t="str">
        <f ca="1">IFERROR(MID(INDEX(Classifica!M:M, MATCH(G45, Classifica!C:C, 0)), 1, 1), "")</f>
        <v/>
      </c>
      <c r="Q45" s="3" t="str">
        <f ca="1">IFERROR(MID(INDEX(Classifica!M:M, MATCH(G45, Classifica!C:C, 0)), 3, 1), "")</f>
        <v/>
      </c>
      <c r="R45" s="3" t="str">
        <f ca="1">IFERROR(MID(INDEX(Classifica!M:M, MATCH(G45, Classifica!C:C, 0)), 5, 1), "")</f>
        <v/>
      </c>
      <c r="S45" s="3" t="str">
        <f ca="1">IFERROR(MID(INDEX(Classifica!M:M, MATCH(G45, Classifica!C:C, 0)), 7, 1), "")</f>
        <v/>
      </c>
      <c r="T45" s="3" t="str">
        <f ca="1">IFERROR(MID(INDEX(Classifica!M:M, MATCH(G45, Classifica!C:C, 0)), 9, 1), "")</f>
        <v/>
      </c>
      <c r="U45" s="3" t="str">
        <f ca="1">IFERROR(IF(P45="","",COUNTIF(P45:T45,"W")*20+COUNTIF(P45:T45,"D")*7),"")</f>
        <v/>
      </c>
      <c r="V45" s="11" t="str">
        <f ca="1">IFERROR(ABS(U45-U46),"")</f>
        <v/>
      </c>
      <c r="W45" s="3">
        <f ca="1">COUNTIFS(Partite!AE:AE,1,Partite!Q:Q,Palinsesto!G45)+COUNTIFS(Partite!AE:AE,1,Partite!S:S,Palinsesto!G45)</f>
        <v>0</v>
      </c>
      <c r="X45" s="11" t="str">
        <f ca="1">IFERROR(AVERAGE(IFERROR(INT(W45/(SUM(H45:J45))*100),""),IFERROR(INT(W46/(SUM(H46:J46))*100),"")),"")</f>
        <v/>
      </c>
      <c r="Y45" s="3" t="str">
        <f ca="1">INDEX(AD$4:AF$4, MATCH(MAX(AD45:AF45), AD45:AF45, 0))</f>
        <v>0-2</v>
      </c>
      <c r="Z45" s="3" t="str">
        <f ca="1">IFERROR(INT((LARGE(AD45:AF45,1)/SUM(H45:J45))*100),"")</f>
        <v/>
      </c>
      <c r="AA45" s="3">
        <f ca="1">COUNTIFS(Partite!AL:AL,1,Partite!Q:Q,Palinsesto!G45)+COUNTIFS(Partite!AL:AL,1,Partite!S:S,Palinsesto!G45)</f>
        <v>0</v>
      </c>
      <c r="AB45" s="21" t="str">
        <f ca="1">IFERROR(INT(AVERAGE(AA45/(SUM(H45:J45))*100,(AA46/(SUM(H46:J46))*100))),"")</f>
        <v/>
      </c>
      <c r="AC45" s="9" t="str">
        <f ca="1">VLOOKUP($B$2+B45,Partite!$A$1:$E$2322,5,FALSE)</f>
        <v>2026-07-23</v>
      </c>
      <c r="AD45" s="7">
        <f ca="1">COUNTIFS(Partite!T:T,1,Partite!G:G,Palinsesto!G45)+COUNTIFS(Partite!W:W,1,Partite!I:I,Palinsesto!G45)</f>
        <v>0</v>
      </c>
      <c r="AE45" s="8">
        <f ca="1">COUNTIFS(Partite!U:U,1,Partite!H:H,G45)+COUNTIFS(Partite!X:X,1,Partite!J:J,G45)</f>
        <v>0</v>
      </c>
      <c r="AF45" s="27">
        <f ca="1">COUNTIFS(Partite!V:V,1,Partite!I:I,G45)+COUNTIFS(Partite!Y:Y,1,Partite!K:K,G45)</f>
        <v>0</v>
      </c>
    </row>
    <row r="46" spans="2:32" ht="15" thickTop="1" thickBot="1" x14ac:dyDescent="0.6">
      <c r="B46" s="15"/>
      <c r="C46" s="17"/>
      <c r="D46" s="12"/>
      <c r="E46" s="19"/>
      <c r="F46" s="19"/>
      <c r="G46" s="4" t="str">
        <f ca="1">VLOOKUP($B$2+B45,Partite!$A$1:$Z$2322,9,FALSE)</f>
        <v>hu Ferencváros</v>
      </c>
      <c r="H46" s="4" t="str">
        <f ca="1">IFERROR(VLOOKUP(G46,Classifica!$C$2:$R$131,3,FALSE),"")</f>
        <v/>
      </c>
      <c r="I46" s="4" t="str">
        <f ca="1">IFERROR(VLOOKUP(G46,Classifica!$C$2:$R$131,4,FALSE),"")</f>
        <v/>
      </c>
      <c r="J46" s="4" t="str">
        <f ca="1">IFERROR(VLOOKUP(G46,Classifica!$C$2:$R$131,5,FALSE),"")</f>
        <v/>
      </c>
      <c r="K46" s="4" t="str">
        <f ca="1">IFERROR(VLOOKUP(G46,Classifica!$C$2:$R$131,6,FALSE),"")</f>
        <v/>
      </c>
      <c r="L46" s="4" t="str">
        <f ca="1">IFERROR(VLOOKUP(G46,Classifica!$C$2:$R$131,7,FALSE),"")</f>
        <v/>
      </c>
      <c r="M46" s="4" t="str">
        <f ca="1">IFERROR(VLOOKUP(G46,Classifica!$C$2:$R$131,8,FALSE),"")</f>
        <v/>
      </c>
      <c r="N46" s="4" t="str">
        <f ca="1">IFERROR(VLOOKUP(G46,Classifica!$C$2:$R$131,9,FALSE),"")</f>
        <v/>
      </c>
      <c r="O46" s="4" t="str">
        <f ca="1">IFERROR(VLOOKUP(G46,Classifica!$C$2:$R$131,16,FALSE),"")</f>
        <v/>
      </c>
      <c r="P46" s="4" t="str">
        <f ca="1">IFERROR(MID(INDEX(Classifica!M:M, MATCH(G46, Classifica!C:C, 0)), 1, 1), "")</f>
        <v/>
      </c>
      <c r="Q46" s="4" t="str">
        <f ca="1">IFERROR(MID(INDEX(Classifica!M:M, MATCH(G46, Classifica!C:C, 0)), 3, 1), "")</f>
        <v/>
      </c>
      <c r="R46" s="4" t="str">
        <f ca="1">IFERROR(MID(INDEX(Classifica!M:M, MATCH(G46, Classifica!C:C, 0)), 5, 1), "")</f>
        <v/>
      </c>
      <c r="S46" s="4" t="str">
        <f ca="1">IFERROR(MID(INDEX(Classifica!M:M, MATCH(G46, Classifica!C:C, 0)), 7, 1), "")</f>
        <v/>
      </c>
      <c r="T46" s="4" t="str">
        <f ca="1">IFERROR(MID(INDEX(Classifica!M:M, MATCH(G46, Classifica!C:C, 0)), 9, 1), "")</f>
        <v/>
      </c>
      <c r="U46" s="4" t="str">
        <f ca="1">IFERROR(IF(P46="","",COUNTIF(P46:T46,"W")*20+COUNTIF(P46:T46,"D")*7),"")</f>
        <v/>
      </c>
      <c r="V46" s="12"/>
      <c r="W46" s="4">
        <f ca="1">COUNTIFS(Partite!AE:AE,1,Partite!Q:Q,Palinsesto!G46)+COUNTIFS(Partite!AE:AE,1,Partite!S:S,Palinsesto!G46)</f>
        <v>0</v>
      </c>
      <c r="X46" s="12"/>
      <c r="Y46" s="4" t="str">
        <f ca="1">INDEX(AD$4:AF$4, MATCH(MAX(AD46:AF46), AD46:AF46, 0))</f>
        <v>0-2</v>
      </c>
      <c r="Z46" s="4" t="str">
        <f ca="1">IFERROR(INT((LARGE(AD46:AF46,1)/SUM(H46:J46))*100),"")</f>
        <v/>
      </c>
      <c r="AA46" s="4">
        <f ca="1">COUNTIFS(Partite!AL:AL,1,Partite!Q:Q,Palinsesto!G46)+COUNTIFS(Partite!AL:AL,1,Partite!S:S,Palinsesto!G46)</f>
        <v>0</v>
      </c>
      <c r="AB46" s="22"/>
      <c r="AD46" s="7">
        <f ca="1">COUNTIFS(Partite!T:T,1,Partite!G:G,Palinsesto!G46)+COUNTIFS(Partite!W:W,1,Partite!I:I,Palinsesto!G46)</f>
        <v>1</v>
      </c>
      <c r="AE46" s="8">
        <f ca="1">COUNTIFS(Partite!U:U,1,Partite!H:H,G46)+COUNTIFS(Partite!X:X,1,Partite!J:J,G46)</f>
        <v>0</v>
      </c>
      <c r="AF46" s="27">
        <f ca="1">COUNTIFS(Partite!V:V,1,Partite!I:I,G46)+COUNTIFS(Partite!Y:Y,1,Partite!K:K,G46)</f>
        <v>0</v>
      </c>
    </row>
    <row r="47" spans="2:32" ht="15" thickTop="1" thickBot="1" x14ac:dyDescent="0.6">
      <c r="B47" s="15"/>
    </row>
    <row r="48" spans="2:32" ht="15" thickTop="1" thickBot="1" x14ac:dyDescent="0.6">
      <c r="B48" s="15">
        <f t="shared" ref="B48" si="12">B45+1</f>
        <v>15</v>
      </c>
      <c r="C48" s="16" t="str">
        <f ca="1">VLOOKUP($B$2+B48,Partite!$A$1:$Z$2322,2,FALSE)</f>
        <v>Europa League</v>
      </c>
      <c r="D48" s="11">
        <f ca="1">VLOOKUP($B$2+B48,Partite!$A$1:$Z$2322,3,FALSE)</f>
        <v>0</v>
      </c>
      <c r="E48" s="18">
        <f ca="1">VALUE(TEXT(AC48, "GG/MM/AAAA"))</f>
        <v>46226</v>
      </c>
      <c r="F48" s="20" t="str">
        <f ca="1">VLOOKUP($B$2+B48,Partite!$A$1:$Z$2322,6,FALSE)</f>
        <v>20:00 (19:00)</v>
      </c>
      <c r="G48" s="3" t="str">
        <f ca="1">VLOOKUP($B$2+B48,Partite!$A$1:$Z$2322,7,FALSE)</f>
        <v>Sheriff Tiraspol md</v>
      </c>
      <c r="H48" s="3" t="str">
        <f ca="1">IFERROR(VLOOKUP(G48,Classifica!$C$2:$R$131,3,FALSE),"")</f>
        <v/>
      </c>
      <c r="I48" s="3" t="str">
        <f ca="1">IFERROR(VLOOKUP(G48,Classifica!$C$2:$R$131,4,FALSE),"")</f>
        <v/>
      </c>
      <c r="J48" s="3" t="str">
        <f ca="1">IFERROR(VLOOKUP(G48,Classifica!$C$2:$R$131,5,FALSE),"")</f>
        <v/>
      </c>
      <c r="K48" s="3" t="str">
        <f ca="1">IFERROR(VLOOKUP(G48,Classifica!$C$2:$R$131,6,FALSE),"")</f>
        <v/>
      </c>
      <c r="L48" s="3" t="str">
        <f ca="1">IFERROR(VLOOKUP(G48,Classifica!$C$2:$R$131,7,FALSE),"")</f>
        <v/>
      </c>
      <c r="M48" s="3" t="str">
        <f ca="1">IFERROR(VLOOKUP(G48,Classifica!$C$2:$R$131,8,FALSE),"")</f>
        <v/>
      </c>
      <c r="N48" s="3" t="str">
        <f ca="1">IFERROR(VLOOKUP(G48,Classifica!$C$2:$R$131,9,FALSE),"")</f>
        <v/>
      </c>
      <c r="O48" s="3" t="str">
        <f ca="1">IFERROR(VLOOKUP(G48,Classifica!$C$2:$R$131,16,FALSE),"")</f>
        <v/>
      </c>
      <c r="P48" s="3" t="str">
        <f ca="1">IFERROR(MID(INDEX(Classifica!M:M, MATCH(G48, Classifica!C:C, 0)), 1, 1), "")</f>
        <v/>
      </c>
      <c r="Q48" s="3" t="str">
        <f ca="1">IFERROR(MID(INDEX(Classifica!M:M, MATCH(G48, Classifica!C:C, 0)), 3, 1), "")</f>
        <v/>
      </c>
      <c r="R48" s="3" t="str">
        <f ca="1">IFERROR(MID(INDEX(Classifica!M:M, MATCH(G48, Classifica!C:C, 0)), 5, 1), "")</f>
        <v/>
      </c>
      <c r="S48" s="3" t="str">
        <f ca="1">IFERROR(MID(INDEX(Classifica!M:M, MATCH(G48, Classifica!C:C, 0)), 7, 1), "")</f>
        <v/>
      </c>
      <c r="T48" s="3" t="str">
        <f ca="1">IFERROR(MID(INDEX(Classifica!M:M, MATCH(G48, Classifica!C:C, 0)), 9, 1), "")</f>
        <v/>
      </c>
      <c r="U48" s="3" t="str">
        <f ca="1">IFERROR(IF(P48="","",COUNTIF(P48:T48,"W")*20+COUNTIF(P48:T48,"D")*7),"")</f>
        <v/>
      </c>
      <c r="V48" s="11" t="str">
        <f ca="1">IFERROR(ABS(U48-U49),"")</f>
        <v/>
      </c>
      <c r="W48" s="3">
        <f ca="1">COUNTIFS(Partite!AE:AE,1,Partite!Q:Q,Palinsesto!G48)+COUNTIFS(Partite!AE:AE,1,Partite!S:S,Palinsesto!G48)</f>
        <v>0</v>
      </c>
      <c r="X48" s="11" t="str">
        <f ca="1">IFERROR(AVERAGE(IFERROR(INT(W48/(SUM(H48:J48))*100),""),IFERROR(INT(W49/(SUM(H49:J49))*100),"")),"")</f>
        <v/>
      </c>
      <c r="Y48" s="3" t="str">
        <f ca="1">INDEX(AD$4:AF$4, MATCH(MAX(AD48:AF48), AD48:AF48, 0))</f>
        <v>0-2</v>
      </c>
      <c r="Z48" s="3" t="str">
        <f ca="1">IFERROR(INT((LARGE(AD48:AF48,1)/SUM(H48:J48))*100),"")</f>
        <v/>
      </c>
      <c r="AA48" s="3">
        <f ca="1">COUNTIFS(Partite!AL:AL,1,Partite!Q:Q,Palinsesto!G48)+COUNTIFS(Partite!AL:AL,1,Partite!S:S,Palinsesto!G48)</f>
        <v>0</v>
      </c>
      <c r="AB48" s="21" t="str">
        <f ca="1">IFERROR(INT(AVERAGE(AA48/(SUM(H48:J48))*100,(AA49/(SUM(H49:J49))*100))),"")</f>
        <v/>
      </c>
      <c r="AC48" s="9" t="str">
        <f ca="1">VLOOKUP($B$2+B48,Partite!$A$1:$E$2322,5,FALSE)</f>
        <v>2026-07-23</v>
      </c>
      <c r="AD48" s="7">
        <f ca="1">COUNTIFS(Partite!T:T,1,Partite!G:G,Palinsesto!G48)+COUNTIFS(Partite!W:W,1,Partite!I:I,Palinsesto!G48)</f>
        <v>1</v>
      </c>
      <c r="AE48" s="8">
        <f ca="1">COUNTIFS(Partite!U:U,1,Partite!H:H,G48)+COUNTIFS(Partite!X:X,1,Partite!J:J,G48)</f>
        <v>0</v>
      </c>
      <c r="AF48" s="27">
        <f ca="1">COUNTIFS(Partite!V:V,1,Partite!I:I,G48)+COUNTIFS(Partite!Y:Y,1,Partite!K:K,G48)</f>
        <v>0</v>
      </c>
    </row>
    <row r="49" spans="2:32" ht="15" thickTop="1" thickBot="1" x14ac:dyDescent="0.6">
      <c r="B49" s="15"/>
      <c r="C49" s="17"/>
      <c r="D49" s="12"/>
      <c r="E49" s="19"/>
      <c r="F49" s="19"/>
      <c r="G49" s="4" t="str">
        <f ca="1">VLOOKUP($B$2+B48,Partite!$A$1:$Z$2322,9,FALSE)</f>
        <v>il Maccabi Tel Aviv</v>
      </c>
      <c r="H49" s="4" t="str">
        <f ca="1">IFERROR(VLOOKUP(G49,Classifica!$C$2:$R$131,3,FALSE),"")</f>
        <v/>
      </c>
      <c r="I49" s="4" t="str">
        <f ca="1">IFERROR(VLOOKUP(G49,Classifica!$C$2:$R$131,4,FALSE),"")</f>
        <v/>
      </c>
      <c r="J49" s="4" t="str">
        <f ca="1">IFERROR(VLOOKUP(G49,Classifica!$C$2:$R$131,5,FALSE),"")</f>
        <v/>
      </c>
      <c r="K49" s="4" t="str">
        <f ca="1">IFERROR(VLOOKUP(G49,Classifica!$C$2:$R$131,6,FALSE),"")</f>
        <v/>
      </c>
      <c r="L49" s="4" t="str">
        <f ca="1">IFERROR(VLOOKUP(G49,Classifica!$C$2:$R$131,7,FALSE),"")</f>
        <v/>
      </c>
      <c r="M49" s="4" t="str">
        <f ca="1">IFERROR(VLOOKUP(G49,Classifica!$C$2:$R$131,8,FALSE),"")</f>
        <v/>
      </c>
      <c r="N49" s="4" t="str">
        <f ca="1">IFERROR(VLOOKUP(G49,Classifica!$C$2:$R$131,9,FALSE),"")</f>
        <v/>
      </c>
      <c r="O49" s="4" t="str">
        <f ca="1">IFERROR(VLOOKUP(G49,Classifica!$C$2:$R$131,16,FALSE),"")</f>
        <v/>
      </c>
      <c r="P49" s="4" t="str">
        <f ca="1">IFERROR(MID(INDEX(Classifica!M:M, MATCH(G49, Classifica!C:C, 0)), 1, 1), "")</f>
        <v/>
      </c>
      <c r="Q49" s="4" t="str">
        <f ca="1">IFERROR(MID(INDEX(Classifica!M:M, MATCH(G49, Classifica!C:C, 0)), 3, 1), "")</f>
        <v/>
      </c>
      <c r="R49" s="4" t="str">
        <f ca="1">IFERROR(MID(INDEX(Classifica!M:M, MATCH(G49, Classifica!C:C, 0)), 5, 1), "")</f>
        <v/>
      </c>
      <c r="S49" s="4" t="str">
        <f ca="1">IFERROR(MID(INDEX(Classifica!M:M, MATCH(G49, Classifica!C:C, 0)), 7, 1), "")</f>
        <v/>
      </c>
      <c r="T49" s="4" t="str">
        <f ca="1">IFERROR(MID(INDEX(Classifica!M:M, MATCH(G49, Classifica!C:C, 0)), 9, 1), "")</f>
        <v/>
      </c>
      <c r="U49" s="4" t="str">
        <f ca="1">IFERROR(IF(P49="","",COUNTIF(P49:T49,"W")*20+COUNTIF(P49:T49,"D")*7),"")</f>
        <v/>
      </c>
      <c r="V49" s="12"/>
      <c r="W49" s="4">
        <f ca="1">COUNTIFS(Partite!AE:AE,1,Partite!Q:Q,Palinsesto!G49)+COUNTIFS(Partite!AE:AE,1,Partite!S:S,Palinsesto!G49)</f>
        <v>0</v>
      </c>
      <c r="X49" s="12"/>
      <c r="Y49" s="4" t="str">
        <f ca="1">INDEX(AD$4:AF$4, MATCH(MAX(AD49:AF49), AD49:AF49, 0))</f>
        <v>0-2</v>
      </c>
      <c r="Z49" s="4" t="str">
        <f ca="1">IFERROR(INT((LARGE(AD49:AF49,1)/SUM(H49:J49))*100),"")</f>
        <v/>
      </c>
      <c r="AA49" s="4">
        <f ca="1">COUNTIFS(Partite!AL:AL,1,Partite!Q:Q,Palinsesto!G49)+COUNTIFS(Partite!AL:AL,1,Partite!S:S,Palinsesto!G49)</f>
        <v>0</v>
      </c>
      <c r="AB49" s="22"/>
      <c r="AD49" s="7">
        <f ca="1">COUNTIFS(Partite!T:T,1,Partite!G:G,Palinsesto!G49)+COUNTIFS(Partite!W:W,1,Partite!I:I,Palinsesto!G49)</f>
        <v>0</v>
      </c>
      <c r="AE49" s="8">
        <f ca="1">COUNTIFS(Partite!U:U,1,Partite!H:H,G49)+COUNTIFS(Partite!X:X,1,Partite!J:J,G49)</f>
        <v>0</v>
      </c>
      <c r="AF49" s="27">
        <f ca="1">COUNTIFS(Partite!V:V,1,Partite!I:I,G49)+COUNTIFS(Partite!Y:Y,1,Partite!K:K,G49)</f>
        <v>0</v>
      </c>
    </row>
    <row r="50" spans="2:32" ht="15" thickTop="1" thickBot="1" x14ac:dyDescent="0.6">
      <c r="B50" s="15"/>
    </row>
    <row r="51" spans="2:32" ht="15" thickTop="1" thickBot="1" x14ac:dyDescent="0.6">
      <c r="B51" s="15">
        <f t="shared" ref="B51" si="13">B48+1</f>
        <v>16</v>
      </c>
      <c r="C51" s="16" t="str">
        <f ca="1">VLOOKUP($B$2+B51,Partite!$A$1:$Z$2322,2,FALSE)</f>
        <v>Europa League</v>
      </c>
      <c r="D51" s="11">
        <f ca="1">VLOOKUP($B$2+B51,Partite!$A$1:$Z$2322,3,FALSE)</f>
        <v>0</v>
      </c>
      <c r="E51" s="18">
        <f ca="1">VALUE(TEXT(AC51, "GG/MM/AAAA"))</f>
        <v>46226</v>
      </c>
      <c r="F51" s="20" t="str">
        <f ca="1">VLOOKUP($B$2+B51,Partite!$A$1:$Z$2322,6,FALSE)</f>
        <v>21:00</v>
      </c>
      <c r="G51" s="3" t="str">
        <f ca="1">VLOOKUP($B$2+B51,Partite!$A$1:$Z$2322,7,FALSE)</f>
        <v>Hajduk Split hr</v>
      </c>
      <c r="H51" s="3" t="str">
        <f ca="1">IFERROR(VLOOKUP(G51,Classifica!$C$2:$R$131,3,FALSE),"")</f>
        <v/>
      </c>
      <c r="I51" s="3" t="str">
        <f ca="1">IFERROR(VLOOKUP(G51,Classifica!$C$2:$R$131,4,FALSE),"")</f>
        <v/>
      </c>
      <c r="J51" s="3" t="str">
        <f ca="1">IFERROR(VLOOKUP(G51,Classifica!$C$2:$R$131,5,FALSE),"")</f>
        <v/>
      </c>
      <c r="K51" s="3" t="str">
        <f ca="1">IFERROR(VLOOKUP(G51,Classifica!$C$2:$R$131,6,FALSE),"")</f>
        <v/>
      </c>
      <c r="L51" s="3" t="str">
        <f ca="1">IFERROR(VLOOKUP(G51,Classifica!$C$2:$R$131,7,FALSE),"")</f>
        <v/>
      </c>
      <c r="M51" s="3" t="str">
        <f ca="1">IFERROR(VLOOKUP(G51,Classifica!$C$2:$R$131,8,FALSE),"")</f>
        <v/>
      </c>
      <c r="N51" s="3" t="str">
        <f ca="1">IFERROR(VLOOKUP(G51,Classifica!$C$2:$R$131,9,FALSE),"")</f>
        <v/>
      </c>
      <c r="O51" s="3" t="str">
        <f ca="1">IFERROR(VLOOKUP(G51,Classifica!$C$2:$R$131,16,FALSE),"")</f>
        <v/>
      </c>
      <c r="P51" s="3" t="str">
        <f ca="1">IFERROR(MID(INDEX(Classifica!M:M, MATCH(G51, Classifica!C:C, 0)), 1, 1), "")</f>
        <v/>
      </c>
      <c r="Q51" s="3" t="str">
        <f ca="1">IFERROR(MID(INDEX(Classifica!M:M, MATCH(G51, Classifica!C:C, 0)), 3, 1), "")</f>
        <v/>
      </c>
      <c r="R51" s="3" t="str">
        <f ca="1">IFERROR(MID(INDEX(Classifica!M:M, MATCH(G51, Classifica!C:C, 0)), 5, 1), "")</f>
        <v/>
      </c>
      <c r="S51" s="3" t="str">
        <f ca="1">IFERROR(MID(INDEX(Classifica!M:M, MATCH(G51, Classifica!C:C, 0)), 7, 1), "")</f>
        <v/>
      </c>
      <c r="T51" s="3" t="str">
        <f ca="1">IFERROR(MID(INDEX(Classifica!M:M, MATCH(G51, Classifica!C:C, 0)), 9, 1), "")</f>
        <v/>
      </c>
      <c r="U51" s="3" t="str">
        <f ca="1">IFERROR(IF(P51="","",COUNTIF(P51:T51,"W")*20+COUNTIF(P51:T51,"D")*7),"")</f>
        <v/>
      </c>
      <c r="V51" s="11" t="str">
        <f ca="1">IFERROR(ABS(U51-U52),"")</f>
        <v/>
      </c>
      <c r="W51" s="3">
        <f ca="1">COUNTIFS(Partite!AE:AE,1,Partite!Q:Q,Palinsesto!G51)+COUNTIFS(Partite!AE:AE,1,Partite!S:S,Palinsesto!G51)</f>
        <v>0</v>
      </c>
      <c r="X51" s="11" t="str">
        <f ca="1">IFERROR(AVERAGE(IFERROR(INT(W51/(SUM(H51:J51))*100),""),IFERROR(INT(W52/(SUM(H52:J52))*100),"")),"")</f>
        <v/>
      </c>
      <c r="Y51" s="3" t="str">
        <f ca="1">INDEX(AD$4:AF$4, MATCH(MAX(AD51:AF51), AD51:AF51, 0))</f>
        <v>0-2</v>
      </c>
      <c r="Z51" s="3" t="str">
        <f ca="1">IFERROR(INT((LARGE(AD51:AF51,1)/SUM(H51:J51))*100),"")</f>
        <v/>
      </c>
      <c r="AA51" s="3">
        <f ca="1">COUNTIFS(Partite!AL:AL,1,Partite!Q:Q,Palinsesto!G51)+COUNTIFS(Partite!AL:AL,1,Partite!S:S,Palinsesto!G51)</f>
        <v>0</v>
      </c>
      <c r="AB51" s="21" t="str">
        <f ca="1">IFERROR(INT(AVERAGE(AA51/(SUM(H51:J51))*100,(AA52/(SUM(H52:J52))*100))),"")</f>
        <v/>
      </c>
      <c r="AC51" s="9" t="str">
        <f ca="1">VLOOKUP($B$2+B51,Partite!$A$1:$E$2322,5,FALSE)</f>
        <v>2026-07-23</v>
      </c>
      <c r="AD51" s="7">
        <f ca="1">COUNTIFS(Partite!T:T,1,Partite!G:G,Palinsesto!G51)+COUNTIFS(Partite!W:W,1,Partite!I:I,Palinsesto!G51)</f>
        <v>1</v>
      </c>
      <c r="AE51" s="8">
        <f ca="1">COUNTIFS(Partite!U:U,1,Partite!H:H,G51)+COUNTIFS(Partite!X:X,1,Partite!J:J,G51)</f>
        <v>0</v>
      </c>
      <c r="AF51" s="27">
        <f ca="1">COUNTIFS(Partite!V:V,1,Partite!I:I,G51)+COUNTIFS(Partite!Y:Y,1,Partite!K:K,G51)</f>
        <v>0</v>
      </c>
    </row>
    <row r="52" spans="2:32" ht="15" thickTop="1" thickBot="1" x14ac:dyDescent="0.6">
      <c r="B52" s="15"/>
      <c r="C52" s="17"/>
      <c r="D52" s="12"/>
      <c r="E52" s="19"/>
      <c r="F52" s="19"/>
      <c r="G52" s="4" t="str">
        <f ca="1">VLOOKUP($B$2+B51,Partite!$A$1:$Z$2322,9,FALSE)</f>
        <v>cy Pafos FC</v>
      </c>
      <c r="H52" s="4" t="str">
        <f ca="1">IFERROR(VLOOKUP(G52,Classifica!$C$2:$R$131,3,FALSE),"")</f>
        <v/>
      </c>
      <c r="I52" s="4" t="str">
        <f ca="1">IFERROR(VLOOKUP(G52,Classifica!$C$2:$R$131,4,FALSE),"")</f>
        <v/>
      </c>
      <c r="J52" s="4" t="str">
        <f ca="1">IFERROR(VLOOKUP(G52,Classifica!$C$2:$R$131,5,FALSE),"")</f>
        <v/>
      </c>
      <c r="K52" s="4" t="str">
        <f ca="1">IFERROR(VLOOKUP(G52,Classifica!$C$2:$R$131,6,FALSE),"")</f>
        <v/>
      </c>
      <c r="L52" s="4" t="str">
        <f ca="1">IFERROR(VLOOKUP(G52,Classifica!$C$2:$R$131,7,FALSE),"")</f>
        <v/>
      </c>
      <c r="M52" s="4" t="str">
        <f ca="1">IFERROR(VLOOKUP(G52,Classifica!$C$2:$R$131,8,FALSE),"")</f>
        <v/>
      </c>
      <c r="N52" s="4" t="str">
        <f ca="1">IFERROR(VLOOKUP(G52,Classifica!$C$2:$R$131,9,FALSE),"")</f>
        <v/>
      </c>
      <c r="O52" s="4" t="str">
        <f ca="1">IFERROR(VLOOKUP(G52,Classifica!$C$2:$R$131,16,FALSE),"")</f>
        <v/>
      </c>
      <c r="P52" s="4" t="str">
        <f ca="1">IFERROR(MID(INDEX(Classifica!M:M, MATCH(G52, Classifica!C:C, 0)), 1, 1), "")</f>
        <v/>
      </c>
      <c r="Q52" s="4" t="str">
        <f ca="1">IFERROR(MID(INDEX(Classifica!M:M, MATCH(G52, Classifica!C:C, 0)), 3, 1), "")</f>
        <v/>
      </c>
      <c r="R52" s="4" t="str">
        <f ca="1">IFERROR(MID(INDEX(Classifica!M:M, MATCH(G52, Classifica!C:C, 0)), 5, 1), "")</f>
        <v/>
      </c>
      <c r="S52" s="4" t="str">
        <f ca="1">IFERROR(MID(INDEX(Classifica!M:M, MATCH(G52, Classifica!C:C, 0)), 7, 1), "")</f>
        <v/>
      </c>
      <c r="T52" s="4" t="str">
        <f ca="1">IFERROR(MID(INDEX(Classifica!M:M, MATCH(G52, Classifica!C:C, 0)), 9, 1), "")</f>
        <v/>
      </c>
      <c r="U52" s="4" t="str">
        <f ca="1">IFERROR(IF(P52="","",COUNTIF(P52:T52,"W")*20+COUNTIF(P52:T52,"D")*7),"")</f>
        <v/>
      </c>
      <c r="V52" s="12"/>
      <c r="W52" s="4">
        <f ca="1">COUNTIFS(Partite!AE:AE,1,Partite!Q:Q,Palinsesto!G52)+COUNTIFS(Partite!AE:AE,1,Partite!S:S,Palinsesto!G52)</f>
        <v>0</v>
      </c>
      <c r="X52" s="12"/>
      <c r="Y52" s="4" t="str">
        <f ca="1">INDEX(AD$4:AF$4, MATCH(MAX(AD52:AF52), AD52:AF52, 0))</f>
        <v>0-2</v>
      </c>
      <c r="Z52" s="4" t="str">
        <f ca="1">IFERROR(INT((LARGE(AD52:AF52,1)/SUM(H52:J52))*100),"")</f>
        <v/>
      </c>
      <c r="AA52" s="4">
        <f ca="1">COUNTIFS(Partite!AL:AL,1,Partite!Q:Q,Palinsesto!G52)+COUNTIFS(Partite!AL:AL,1,Partite!S:S,Palinsesto!G52)</f>
        <v>0</v>
      </c>
      <c r="AB52" s="22"/>
      <c r="AD52" s="7">
        <f ca="1">COUNTIFS(Partite!T:T,1,Partite!G:G,Palinsesto!G52)+COUNTIFS(Partite!W:W,1,Partite!I:I,Palinsesto!G52)</f>
        <v>0</v>
      </c>
      <c r="AE52" s="8">
        <f ca="1">COUNTIFS(Partite!U:U,1,Partite!H:H,G52)+COUNTIFS(Partite!X:X,1,Partite!J:J,G52)</f>
        <v>0</v>
      </c>
      <c r="AF52" s="27">
        <f ca="1">COUNTIFS(Partite!V:V,1,Partite!I:I,G52)+COUNTIFS(Partite!Y:Y,1,Partite!K:K,G52)</f>
        <v>0</v>
      </c>
    </row>
    <row r="53" spans="2:32" ht="15" thickTop="1" thickBot="1" x14ac:dyDescent="0.6">
      <c r="B53" s="15"/>
    </row>
    <row r="54" spans="2:32" ht="15" thickTop="1" thickBot="1" x14ac:dyDescent="0.6">
      <c r="B54" s="15">
        <f t="shared" ref="B54" si="14">B51+1</f>
        <v>17</v>
      </c>
      <c r="C54" s="16" t="str">
        <f ca="1">VLOOKUP($B$2+B54,Partite!$A$1:$Z$2322,2,FALSE)</f>
        <v>Europa League</v>
      </c>
      <c r="D54" s="11">
        <f ca="1">VLOOKUP($B$2+B54,Partite!$A$1:$Z$2322,3,FALSE)</f>
        <v>0</v>
      </c>
      <c r="E54" s="18">
        <f ca="1">VALUE(TEXT(AC54, "GG/MM/AAAA"))</f>
        <v>46226</v>
      </c>
      <c r="F54" s="20" t="str">
        <f ca="1">VLOOKUP($B$2+B54,Partite!$A$1:$Z$2322,6,FALSE)</f>
        <v>21:00 (20:00)</v>
      </c>
      <c r="G54" s="3" t="str">
        <f ca="1">VLOOKUP($B$2+B54,Partite!$A$1:$Z$2322,7,FALSE)</f>
        <v>Beşiktaş tr</v>
      </c>
      <c r="H54" s="3" t="str">
        <f ca="1">IFERROR(VLOOKUP(G54,Classifica!$C$2:$R$131,3,FALSE),"")</f>
        <v/>
      </c>
      <c r="I54" s="3" t="str">
        <f ca="1">IFERROR(VLOOKUP(G54,Classifica!$C$2:$R$131,4,FALSE),"")</f>
        <v/>
      </c>
      <c r="J54" s="3" t="str">
        <f ca="1">IFERROR(VLOOKUP(G54,Classifica!$C$2:$R$131,5,FALSE),"")</f>
        <v/>
      </c>
      <c r="K54" s="3" t="str">
        <f ca="1">IFERROR(VLOOKUP(G54,Classifica!$C$2:$R$131,6,FALSE),"")</f>
        <v/>
      </c>
      <c r="L54" s="3" t="str">
        <f ca="1">IFERROR(VLOOKUP(G54,Classifica!$C$2:$R$131,7,FALSE),"")</f>
        <v/>
      </c>
      <c r="M54" s="3" t="str">
        <f ca="1">IFERROR(VLOOKUP(G54,Classifica!$C$2:$R$131,8,FALSE),"")</f>
        <v/>
      </c>
      <c r="N54" s="3" t="str">
        <f ca="1">IFERROR(VLOOKUP(G54,Classifica!$C$2:$R$131,9,FALSE),"")</f>
        <v/>
      </c>
      <c r="O54" s="3" t="str">
        <f ca="1">IFERROR(VLOOKUP(G54,Classifica!$C$2:$R$131,16,FALSE),"")</f>
        <v/>
      </c>
      <c r="P54" s="3" t="str">
        <f ca="1">IFERROR(MID(INDEX(Classifica!M:M, MATCH(G54, Classifica!C:C, 0)), 1, 1), "")</f>
        <v/>
      </c>
      <c r="Q54" s="3" t="str">
        <f ca="1">IFERROR(MID(INDEX(Classifica!M:M, MATCH(G54, Classifica!C:C, 0)), 3, 1), "")</f>
        <v/>
      </c>
      <c r="R54" s="3" t="str">
        <f ca="1">IFERROR(MID(INDEX(Classifica!M:M, MATCH(G54, Classifica!C:C, 0)), 5, 1), "")</f>
        <v/>
      </c>
      <c r="S54" s="3" t="str">
        <f ca="1">IFERROR(MID(INDEX(Classifica!M:M, MATCH(G54, Classifica!C:C, 0)), 7, 1), "")</f>
        <v/>
      </c>
      <c r="T54" s="3" t="str">
        <f ca="1">IFERROR(MID(INDEX(Classifica!M:M, MATCH(G54, Classifica!C:C, 0)), 9, 1), "")</f>
        <v/>
      </c>
      <c r="U54" s="3" t="str">
        <f ca="1">IFERROR(IF(P54="","",COUNTIF(P54:T54,"W")*20+COUNTIF(P54:T54,"D")*7),"")</f>
        <v/>
      </c>
      <c r="V54" s="11" t="str">
        <f ca="1">IFERROR(ABS(U54-U55),"")</f>
        <v/>
      </c>
      <c r="W54" s="3">
        <f ca="1">COUNTIFS(Partite!AE:AE,1,Partite!Q:Q,Palinsesto!G54)+COUNTIFS(Partite!AE:AE,1,Partite!S:S,Palinsesto!G54)</f>
        <v>0</v>
      </c>
      <c r="X54" s="11" t="str">
        <f ca="1">IFERROR(AVERAGE(IFERROR(INT(W54/(SUM(H54:J54))*100),""),IFERROR(INT(W55/(SUM(H55:J55))*100),"")),"")</f>
        <v/>
      </c>
      <c r="Y54" s="3" t="str">
        <f ca="1">INDEX(AD$4:AF$4, MATCH(MAX(AD54:AF54), AD54:AF54, 0))</f>
        <v>0-2</v>
      </c>
      <c r="Z54" s="3" t="str">
        <f ca="1">IFERROR(INT((LARGE(AD54:AF54,1)/SUM(H54:J54))*100),"")</f>
        <v/>
      </c>
      <c r="AA54" s="3">
        <f ca="1">COUNTIFS(Partite!AL:AL,1,Partite!Q:Q,Palinsesto!G54)+COUNTIFS(Partite!AL:AL,1,Partite!S:S,Palinsesto!G54)</f>
        <v>0</v>
      </c>
      <c r="AB54" s="21" t="str">
        <f ca="1">IFERROR(INT(AVERAGE(AA54/(SUM(H54:J54))*100,(AA55/(SUM(H55:J55))*100))),"")</f>
        <v/>
      </c>
      <c r="AC54" s="9" t="str">
        <f ca="1">VLOOKUP($B$2+B54,Partite!$A$1:$E$2322,5,FALSE)</f>
        <v>2026-07-23</v>
      </c>
      <c r="AD54" s="7">
        <f ca="1">COUNTIFS(Partite!T:T,1,Partite!G:G,Palinsesto!G54)+COUNTIFS(Partite!W:W,1,Partite!I:I,Palinsesto!G54)</f>
        <v>0</v>
      </c>
      <c r="AE54" s="8">
        <f ca="1">COUNTIFS(Partite!U:U,1,Partite!H:H,G54)+COUNTIFS(Partite!X:X,1,Partite!J:J,G54)</f>
        <v>0</v>
      </c>
      <c r="AF54" s="27">
        <f ca="1">COUNTIFS(Partite!V:V,1,Partite!I:I,G54)+COUNTIFS(Partite!Y:Y,1,Partite!K:K,G54)</f>
        <v>0</v>
      </c>
    </row>
    <row r="55" spans="2:32" ht="15" thickTop="1" thickBot="1" x14ac:dyDescent="0.6">
      <c r="B55" s="15"/>
      <c r="C55" s="17"/>
      <c r="D55" s="12"/>
      <c r="E55" s="19"/>
      <c r="F55" s="19"/>
      <c r="G55" s="4" t="str">
        <f ca="1">VLOOKUP($B$2+B54,Partite!$A$1:$Z$2322,9,FALSE)</f>
        <v>dk Midtjylland</v>
      </c>
      <c r="H55" s="4" t="str">
        <f ca="1">IFERROR(VLOOKUP(G55,Classifica!$C$2:$R$131,3,FALSE),"")</f>
        <v/>
      </c>
      <c r="I55" s="4" t="str">
        <f ca="1">IFERROR(VLOOKUP(G55,Classifica!$C$2:$R$131,4,FALSE),"")</f>
        <v/>
      </c>
      <c r="J55" s="4" t="str">
        <f ca="1">IFERROR(VLOOKUP(G55,Classifica!$C$2:$R$131,5,FALSE),"")</f>
        <v/>
      </c>
      <c r="K55" s="4" t="str">
        <f ca="1">IFERROR(VLOOKUP(G55,Classifica!$C$2:$R$131,6,FALSE),"")</f>
        <v/>
      </c>
      <c r="L55" s="4" t="str">
        <f ca="1">IFERROR(VLOOKUP(G55,Classifica!$C$2:$R$131,7,FALSE),"")</f>
        <v/>
      </c>
      <c r="M55" s="4" t="str">
        <f ca="1">IFERROR(VLOOKUP(G55,Classifica!$C$2:$R$131,8,FALSE),"")</f>
        <v/>
      </c>
      <c r="N55" s="4" t="str">
        <f ca="1">IFERROR(VLOOKUP(G55,Classifica!$C$2:$R$131,9,FALSE),"")</f>
        <v/>
      </c>
      <c r="O55" s="4" t="str">
        <f ca="1">IFERROR(VLOOKUP(G55,Classifica!$C$2:$R$131,16,FALSE),"")</f>
        <v/>
      </c>
      <c r="P55" s="4" t="str">
        <f ca="1">IFERROR(MID(INDEX(Classifica!M:M, MATCH(G55, Classifica!C:C, 0)), 1, 1), "")</f>
        <v/>
      </c>
      <c r="Q55" s="4" t="str">
        <f ca="1">IFERROR(MID(INDEX(Classifica!M:M, MATCH(G55, Classifica!C:C, 0)), 3, 1), "")</f>
        <v/>
      </c>
      <c r="R55" s="4" t="str">
        <f ca="1">IFERROR(MID(INDEX(Classifica!M:M, MATCH(G55, Classifica!C:C, 0)), 5, 1), "")</f>
        <v/>
      </c>
      <c r="S55" s="4" t="str">
        <f ca="1">IFERROR(MID(INDEX(Classifica!M:M, MATCH(G55, Classifica!C:C, 0)), 7, 1), "")</f>
        <v/>
      </c>
      <c r="T55" s="4" t="str">
        <f ca="1">IFERROR(MID(INDEX(Classifica!M:M, MATCH(G55, Classifica!C:C, 0)), 9, 1), "")</f>
        <v/>
      </c>
      <c r="U55" s="4" t="str">
        <f ca="1">IFERROR(IF(P55="","",COUNTIF(P55:T55,"W")*20+COUNTIF(P55:T55,"D")*7),"")</f>
        <v/>
      </c>
      <c r="V55" s="12"/>
      <c r="W55" s="4">
        <f ca="1">COUNTIFS(Partite!AE:AE,1,Partite!Q:Q,Palinsesto!G55)+COUNTIFS(Partite!AE:AE,1,Partite!S:S,Palinsesto!G55)</f>
        <v>0</v>
      </c>
      <c r="X55" s="12"/>
      <c r="Y55" s="4" t="str">
        <f ca="1">INDEX(AD$4:AF$4, MATCH(MAX(AD55:AF55), AD55:AF55, 0))</f>
        <v>0-2</v>
      </c>
      <c r="Z55" s="4" t="str">
        <f ca="1">IFERROR(INT((LARGE(AD55:AF55,1)/SUM(H55:J55))*100),"")</f>
        <v/>
      </c>
      <c r="AA55" s="4">
        <f ca="1">COUNTIFS(Partite!AL:AL,1,Partite!Q:Q,Palinsesto!G55)+COUNTIFS(Partite!AL:AL,1,Partite!S:S,Palinsesto!G55)</f>
        <v>0</v>
      </c>
      <c r="AB55" s="22"/>
      <c r="AD55" s="7">
        <f ca="1">COUNTIFS(Partite!T:T,1,Partite!G:G,Palinsesto!G55)+COUNTIFS(Partite!W:W,1,Partite!I:I,Palinsesto!G55)</f>
        <v>0</v>
      </c>
      <c r="AE55" s="8">
        <f ca="1">COUNTIFS(Partite!U:U,1,Partite!H:H,G55)+COUNTIFS(Partite!X:X,1,Partite!J:J,G55)</f>
        <v>0</v>
      </c>
      <c r="AF55" s="27">
        <f ca="1">COUNTIFS(Partite!V:V,1,Partite!I:I,G55)+COUNTIFS(Partite!Y:Y,1,Partite!K:K,G55)</f>
        <v>0</v>
      </c>
    </row>
    <row r="56" spans="2:32" ht="15" thickTop="1" thickBot="1" x14ac:dyDescent="0.6">
      <c r="B56" s="15"/>
    </row>
    <row r="57" spans="2:32" ht="15" thickTop="1" thickBot="1" x14ac:dyDescent="0.6">
      <c r="B57" s="15">
        <f t="shared" ref="B57" si="15">B54+1</f>
        <v>18</v>
      </c>
      <c r="C57" s="16" t="str">
        <f ca="1">VLOOKUP($B$2+B57,Partite!$A$1:$Z$2322,2,FALSE)</f>
        <v>Allsvenskan</v>
      </c>
      <c r="D57" s="11" t="str">
        <f ca="1">VLOOKUP($B$2+B57,Partite!$A$1:$Z$2322,3,FALSE)</f>
        <v>14</v>
      </c>
      <c r="E57" s="18">
        <f ca="1">VALUE(TEXT(AC57, "GG/MM/AAAA"))</f>
        <v>46227</v>
      </c>
      <c r="F57" s="20" t="str">
        <f ca="1">VLOOKUP($B$2+B57,Partite!$A$1:$Z$2322,6,FALSE)</f>
        <v>19:00</v>
      </c>
      <c r="G57" s="3" t="str">
        <f ca="1">VLOOKUP($B$2+B57,Partite!$A$1:$Z$2322,7,FALSE)</f>
        <v>Västerås</v>
      </c>
      <c r="H57" s="3">
        <f ca="1">IFERROR(VLOOKUP(G57,Classifica!$C$2:$R$131,3,FALSE),"")</f>
        <v>5</v>
      </c>
      <c r="I57" s="3">
        <f ca="1">IFERROR(VLOOKUP(G57,Classifica!$C$2:$R$131,4,FALSE),"")</f>
        <v>4</v>
      </c>
      <c r="J57" s="3">
        <f ca="1">IFERROR(VLOOKUP(G57,Classifica!$C$2:$R$131,5,FALSE),"")</f>
        <v>4</v>
      </c>
      <c r="K57" s="3">
        <f ca="1">IFERROR(VLOOKUP(G57,Classifica!$C$2:$R$131,6,FALSE),"")</f>
        <v>22</v>
      </c>
      <c r="L57" s="3">
        <f ca="1">IFERROR(VLOOKUP(G57,Classifica!$C$2:$R$131,7,FALSE),"")</f>
        <v>23</v>
      </c>
      <c r="M57" s="3">
        <f ca="1">IFERROR(VLOOKUP(G57,Classifica!$C$2:$R$131,8,FALSE),"")</f>
        <v>-1</v>
      </c>
      <c r="N57" s="3">
        <f ca="1">IFERROR(VLOOKUP(G57,Classifica!$C$2:$R$131,9,FALSE),"")</f>
        <v>19</v>
      </c>
      <c r="O57" s="3">
        <f ca="1">IFERROR(VLOOKUP(G57,Classifica!$C$2:$R$131,16,FALSE),"")</f>
        <v>8</v>
      </c>
      <c r="P57" s="3" t="str">
        <f ca="1">IFERROR(MID(INDEX(Classifica!M:M, MATCH(G57, Classifica!C:C, 0)), 1, 1), "")</f>
        <v>W</v>
      </c>
      <c r="Q57" s="3" t="str">
        <f ca="1">IFERROR(MID(INDEX(Classifica!M:M, MATCH(G57, Classifica!C:C, 0)), 3, 1), "")</f>
        <v>L</v>
      </c>
      <c r="R57" s="3" t="str">
        <f ca="1">IFERROR(MID(INDEX(Classifica!M:M, MATCH(G57, Classifica!C:C, 0)), 5, 1), "")</f>
        <v>W</v>
      </c>
      <c r="S57" s="3" t="str">
        <f ca="1">IFERROR(MID(INDEX(Classifica!M:M, MATCH(G57, Classifica!C:C, 0)), 7, 1), "")</f>
        <v>W</v>
      </c>
      <c r="T57" s="3" t="str">
        <f ca="1">IFERROR(MID(INDEX(Classifica!M:M, MATCH(G57, Classifica!C:C, 0)), 9, 1), "")</f>
        <v>D</v>
      </c>
      <c r="U57" s="3">
        <f ca="1">IFERROR(IF(P57="","",COUNTIF(P57:T57,"W")*20+COUNTIF(P57:T57,"D")*7),"")</f>
        <v>67</v>
      </c>
      <c r="V57" s="11">
        <f ca="1">IFERROR(ABS(U57-U58),"")</f>
        <v>40</v>
      </c>
      <c r="W57" s="3">
        <f ca="1">COUNTIFS(Partite!AE:AE,1,Partite!Q:Q,Palinsesto!G57)+COUNTIFS(Partite!AE:AE,1,Partite!S:S,Palinsesto!G57)</f>
        <v>0</v>
      </c>
      <c r="X57" s="11">
        <f ca="1">IFERROR(AVERAGE(IFERROR(INT(W57/(SUM(H57:J57))*100),""),IFERROR(INT(W58/(SUM(H58:J58))*100),"")),"")</f>
        <v>0</v>
      </c>
      <c r="Y57" s="3" t="str">
        <f ca="1">INDEX(AD$4:AF$4, MATCH(MAX(AD57:AF57), AD57:AF57, 0))</f>
        <v>0-2</v>
      </c>
      <c r="Z57" s="3">
        <f ca="1">IFERROR(INT((LARGE(AD57:AF57,1)/SUM(H57:J57))*100),"")</f>
        <v>69</v>
      </c>
      <c r="AA57" s="3">
        <f ca="1">COUNTIFS(Partite!AL:AL,1,Partite!Q:Q,Palinsesto!G57)+COUNTIFS(Partite!AL:AL,1,Partite!S:S,Palinsesto!G57)</f>
        <v>0</v>
      </c>
      <c r="AB57" s="21">
        <f ca="1">IFERROR(INT(AVERAGE(AA57/(SUM(H57:J57))*100,(AA58/(SUM(H58:J58))*100))),"")</f>
        <v>0</v>
      </c>
      <c r="AC57" s="9" t="str">
        <f ca="1">VLOOKUP($B$2+B57,Partite!$A$1:$E$2322,5,FALSE)</f>
        <v>2026-07-24</v>
      </c>
      <c r="AD57" s="7">
        <f ca="1">COUNTIFS(Partite!T:T,1,Partite!G:G,Palinsesto!G57)+COUNTIFS(Partite!W:W,1,Partite!I:I,Palinsesto!G57)</f>
        <v>9</v>
      </c>
      <c r="AE57" s="8">
        <f ca="1">COUNTIFS(Partite!U:U,1,Partite!H:H,G57)+COUNTIFS(Partite!X:X,1,Partite!J:J,G57)</f>
        <v>0</v>
      </c>
      <c r="AF57" s="27">
        <f ca="1">COUNTIFS(Partite!V:V,1,Partite!I:I,G57)+COUNTIFS(Partite!Y:Y,1,Partite!K:K,G57)</f>
        <v>3</v>
      </c>
    </row>
    <row r="58" spans="2:32" ht="15" thickTop="1" thickBot="1" x14ac:dyDescent="0.6">
      <c r="B58" s="15"/>
      <c r="C58" s="17"/>
      <c r="D58" s="12"/>
      <c r="E58" s="19"/>
      <c r="F58" s="19"/>
      <c r="G58" s="4" t="str">
        <f ca="1">VLOOKUP($B$2+B57,Partite!$A$1:$Z$2322,9,FALSE)</f>
        <v>Örgryte</v>
      </c>
      <c r="H58" s="4">
        <f ca="1">IFERROR(VLOOKUP(G58,Classifica!$C$2:$R$131,3,FALSE),"")</f>
        <v>2</v>
      </c>
      <c r="I58" s="4">
        <f ca="1">IFERROR(VLOOKUP(G58,Classifica!$C$2:$R$131,4,FALSE),"")</f>
        <v>3</v>
      </c>
      <c r="J58" s="4">
        <f ca="1">IFERROR(VLOOKUP(G58,Classifica!$C$2:$R$131,5,FALSE),"")</f>
        <v>7</v>
      </c>
      <c r="K58" s="4">
        <f ca="1">IFERROR(VLOOKUP(G58,Classifica!$C$2:$R$131,6,FALSE),"")</f>
        <v>14</v>
      </c>
      <c r="L58" s="4">
        <f ca="1">IFERROR(VLOOKUP(G58,Classifica!$C$2:$R$131,7,FALSE),"")</f>
        <v>31</v>
      </c>
      <c r="M58" s="4">
        <f ca="1">IFERROR(VLOOKUP(G58,Classifica!$C$2:$R$131,8,FALSE),"")</f>
        <v>-17</v>
      </c>
      <c r="N58" s="4">
        <f ca="1">IFERROR(VLOOKUP(G58,Classifica!$C$2:$R$131,9,FALSE),"")</f>
        <v>9</v>
      </c>
      <c r="O58" s="4">
        <f ca="1">IFERROR(VLOOKUP(G58,Classifica!$C$2:$R$131,16,FALSE),"")</f>
        <v>15</v>
      </c>
      <c r="P58" s="4" t="str">
        <f ca="1">IFERROR(MID(INDEX(Classifica!M:M, MATCH(G58, Classifica!C:C, 0)), 1, 1), "")</f>
        <v>L</v>
      </c>
      <c r="Q58" s="4" t="str">
        <f ca="1">IFERROR(MID(INDEX(Classifica!M:M, MATCH(G58, Classifica!C:C, 0)), 3, 1), "")</f>
        <v>L</v>
      </c>
      <c r="R58" s="4" t="str">
        <f ca="1">IFERROR(MID(INDEX(Classifica!M:M, MATCH(G58, Classifica!C:C, 0)), 5, 1), "")</f>
        <v>D</v>
      </c>
      <c r="S58" s="4" t="str">
        <f ca="1">IFERROR(MID(INDEX(Classifica!M:M, MATCH(G58, Classifica!C:C, 0)), 7, 1), "")</f>
        <v>L</v>
      </c>
      <c r="T58" s="4" t="str">
        <f ca="1">IFERROR(MID(INDEX(Classifica!M:M, MATCH(G58, Classifica!C:C, 0)), 9, 1), "")</f>
        <v>W</v>
      </c>
      <c r="U58" s="4">
        <f ca="1">IFERROR(IF(P58="","",COUNTIF(P58:T58,"W")*20+COUNTIF(P58:T58,"D")*7),"")</f>
        <v>27</v>
      </c>
      <c r="V58" s="12"/>
      <c r="W58" s="4">
        <f ca="1">COUNTIFS(Partite!AE:AE,1,Partite!Q:Q,Palinsesto!G58)+COUNTIFS(Partite!AE:AE,1,Partite!S:S,Palinsesto!G58)</f>
        <v>0</v>
      </c>
      <c r="X58" s="12"/>
      <c r="Y58" s="4" t="str">
        <f ca="1">INDEX(AD$4:AF$4, MATCH(MAX(AD58:AF58), AD58:AF58, 0))</f>
        <v>0-2</v>
      </c>
      <c r="Z58" s="4">
        <f ca="1">IFERROR(INT((LARGE(AD58:AF58,1)/SUM(H58:J58))*100),"")</f>
        <v>91</v>
      </c>
      <c r="AA58" s="4">
        <f ca="1">COUNTIFS(Partite!AL:AL,1,Partite!Q:Q,Palinsesto!G58)+COUNTIFS(Partite!AL:AL,1,Partite!S:S,Palinsesto!G58)</f>
        <v>0</v>
      </c>
      <c r="AB58" s="22"/>
      <c r="AD58" s="7">
        <f ca="1">COUNTIFS(Partite!T:T,1,Partite!G:G,Palinsesto!G58)+COUNTIFS(Partite!W:W,1,Partite!I:I,Palinsesto!G58)</f>
        <v>11</v>
      </c>
      <c r="AE58" s="8">
        <f ca="1">COUNTIFS(Partite!U:U,1,Partite!H:H,G58)+COUNTIFS(Partite!X:X,1,Partite!J:J,G58)</f>
        <v>0</v>
      </c>
      <c r="AF58" s="27">
        <f ca="1">COUNTIFS(Partite!V:V,1,Partite!I:I,G58)+COUNTIFS(Partite!Y:Y,1,Partite!K:K,G58)</f>
        <v>4</v>
      </c>
    </row>
    <row r="59" spans="2:32" ht="15" thickTop="1" thickBot="1" x14ac:dyDescent="0.6">
      <c r="B59" s="15"/>
    </row>
    <row r="60" spans="2:32" ht="15" thickTop="1" thickBot="1" x14ac:dyDescent="0.6">
      <c r="B60" s="15">
        <f t="shared" ref="B60" si="16">B57+1</f>
        <v>19</v>
      </c>
      <c r="C60" s="16" t="str">
        <f ca="1">VLOOKUP($B$2+B60,Partite!$A$1:$Z$2322,2,FALSE)</f>
        <v>Danish Superliga</v>
      </c>
      <c r="D60" s="11" t="str">
        <f ca="1">VLOOKUP($B$2+B60,Partite!$A$1:$Z$2322,3,FALSE)</f>
        <v>1</v>
      </c>
      <c r="E60" s="18">
        <f ca="1">VALUE(TEXT(AC60, "GG/MM/AAAA"))</f>
        <v>46227</v>
      </c>
      <c r="F60" s="20" t="str">
        <f ca="1">VLOOKUP($B$2+B60,Partite!$A$1:$Z$2322,6,FALSE)</f>
        <v>19:00</v>
      </c>
      <c r="G60" s="3" t="str">
        <f ca="1">VLOOKUP($B$2+B60,Partite!$A$1:$Z$2322,7,FALSE)</f>
        <v>Viborg</v>
      </c>
      <c r="H60" s="3">
        <f ca="1">IFERROR(VLOOKUP(G60,Classifica!$C$2:$R$131,3,FALSE),"")</f>
        <v>0</v>
      </c>
      <c r="I60" s="3">
        <f ca="1">IFERROR(VLOOKUP(G60,Classifica!$C$2:$R$131,4,FALSE),"")</f>
        <v>0</v>
      </c>
      <c r="J60" s="3">
        <f ca="1">IFERROR(VLOOKUP(G60,Classifica!$C$2:$R$131,5,FALSE),"")</f>
        <v>0</v>
      </c>
      <c r="K60" s="3">
        <f ca="1">IFERROR(VLOOKUP(G60,Classifica!$C$2:$R$131,6,FALSE),"")</f>
        <v>0</v>
      </c>
      <c r="L60" s="3">
        <f ca="1">IFERROR(VLOOKUP(G60,Classifica!$C$2:$R$131,7,FALSE),"")</f>
        <v>0</v>
      </c>
      <c r="M60" s="3">
        <f ca="1">IFERROR(VLOOKUP(G60,Classifica!$C$2:$R$131,8,FALSE),"")</f>
        <v>0</v>
      </c>
      <c r="N60" s="3">
        <f ca="1">IFERROR(VLOOKUP(G60,Classifica!$C$2:$R$131,9,FALSE),"")</f>
        <v>0</v>
      </c>
      <c r="O60" s="3">
        <f ca="1">IFERROR(VLOOKUP(G60,Classifica!$C$2:$R$131,16,FALSE),"")</f>
        <v>2</v>
      </c>
      <c r="P60" s="3" t="str">
        <f ca="1">IFERROR(MID(INDEX(Classifica!M:M, MATCH(G60, Classifica!C:C, 0)), 1, 1), "")</f>
        <v/>
      </c>
      <c r="Q60" s="3" t="str">
        <f ca="1">IFERROR(MID(INDEX(Classifica!M:M, MATCH(G60, Classifica!C:C, 0)), 3, 1), "")</f>
        <v/>
      </c>
      <c r="R60" s="3" t="str">
        <f ca="1">IFERROR(MID(INDEX(Classifica!M:M, MATCH(G60, Classifica!C:C, 0)), 5, 1), "")</f>
        <v/>
      </c>
      <c r="S60" s="3" t="str">
        <f ca="1">IFERROR(MID(INDEX(Classifica!M:M, MATCH(G60, Classifica!C:C, 0)), 7, 1), "")</f>
        <v/>
      </c>
      <c r="T60" s="3" t="str">
        <f ca="1">IFERROR(MID(INDEX(Classifica!M:M, MATCH(G60, Classifica!C:C, 0)), 9, 1), "")</f>
        <v/>
      </c>
      <c r="U60" s="3" t="str">
        <f ca="1">IFERROR(IF(P60="","",COUNTIF(P60:T60,"W")*20+COUNTIF(P60:T60,"D")*7),"")</f>
        <v/>
      </c>
      <c r="V60" s="11" t="str">
        <f ca="1">IFERROR(ABS(U60-U61),"")</f>
        <v/>
      </c>
      <c r="W60" s="3">
        <f ca="1">COUNTIFS(Partite!AE:AE,1,Partite!Q:Q,Palinsesto!G60)+COUNTIFS(Partite!AE:AE,1,Partite!S:S,Palinsesto!G60)</f>
        <v>0</v>
      </c>
      <c r="X60" s="11" t="str">
        <f ca="1">IFERROR(AVERAGE(IFERROR(INT(W60/(SUM(H60:J60))*100),""),IFERROR(INT(W61/(SUM(H61:J61))*100),"")),"")</f>
        <v/>
      </c>
      <c r="Y60" s="3" t="str">
        <f ca="1">INDEX(AD$4:AF$4, MATCH(MAX(AD60:AF60), AD60:AF60, 0))</f>
        <v>0-2</v>
      </c>
      <c r="Z60" s="3" t="str">
        <f ca="1">IFERROR(INT((LARGE(AD60:AF60,1)/SUM(H60:J60))*100),"")</f>
        <v/>
      </c>
      <c r="AA60" s="3">
        <f ca="1">COUNTIFS(Partite!AL:AL,1,Partite!Q:Q,Palinsesto!G60)+COUNTIFS(Partite!AL:AL,1,Partite!S:S,Palinsesto!G60)</f>
        <v>0</v>
      </c>
      <c r="AB60" s="21" t="str">
        <f ca="1">IFERROR(INT(AVERAGE(AA60/(SUM(H60:J60))*100,(AA61/(SUM(H61:J61))*100))),"")</f>
        <v/>
      </c>
      <c r="AC60" s="9" t="str">
        <f ca="1">VLOOKUP($B$2+B60,Partite!$A$1:$E$2322,5,FALSE)</f>
        <v>2026-07-24</v>
      </c>
      <c r="AD60" s="7">
        <f ca="1">COUNTIFS(Partite!T:T,1,Partite!G:G,Palinsesto!G60)+COUNTIFS(Partite!W:W,1,Partite!I:I,Palinsesto!G60)</f>
        <v>0</v>
      </c>
      <c r="AE60" s="8">
        <f ca="1">COUNTIFS(Partite!U:U,1,Partite!H:H,G60)+COUNTIFS(Partite!X:X,1,Partite!J:J,G60)</f>
        <v>0</v>
      </c>
      <c r="AF60" s="27">
        <f ca="1">COUNTIFS(Partite!V:V,1,Partite!I:I,G60)+COUNTIFS(Partite!Y:Y,1,Partite!K:K,G60)</f>
        <v>0</v>
      </c>
    </row>
    <row r="61" spans="2:32" ht="15" thickTop="1" thickBot="1" x14ac:dyDescent="0.6">
      <c r="B61" s="15"/>
      <c r="C61" s="17"/>
      <c r="D61" s="12"/>
      <c r="E61" s="19"/>
      <c r="F61" s="19"/>
      <c r="G61" s="4" t="str">
        <f ca="1">VLOOKUP($B$2+B60,Partite!$A$1:$Z$2322,9,FALSE)</f>
        <v>Odense</v>
      </c>
      <c r="H61" s="4">
        <f ca="1">IFERROR(VLOOKUP(G61,Classifica!$C$2:$R$131,3,FALSE),"")</f>
        <v>0</v>
      </c>
      <c r="I61" s="4">
        <f ca="1">IFERROR(VLOOKUP(G61,Classifica!$C$2:$R$131,4,FALSE),"")</f>
        <v>0</v>
      </c>
      <c r="J61" s="4">
        <f ca="1">IFERROR(VLOOKUP(G61,Classifica!$C$2:$R$131,5,FALSE),"")</f>
        <v>0</v>
      </c>
      <c r="K61" s="4">
        <f ca="1">IFERROR(VLOOKUP(G61,Classifica!$C$2:$R$131,6,FALSE),"")</f>
        <v>0</v>
      </c>
      <c r="L61" s="4">
        <f ca="1">IFERROR(VLOOKUP(G61,Classifica!$C$2:$R$131,7,FALSE),"")</f>
        <v>0</v>
      </c>
      <c r="M61" s="4">
        <f ca="1">IFERROR(VLOOKUP(G61,Classifica!$C$2:$R$131,8,FALSE),"")</f>
        <v>0</v>
      </c>
      <c r="N61" s="4">
        <f ca="1">IFERROR(VLOOKUP(G61,Classifica!$C$2:$R$131,9,FALSE),"")</f>
        <v>0</v>
      </c>
      <c r="O61" s="4">
        <f ca="1">IFERROR(VLOOKUP(G61,Classifica!$C$2:$R$131,16,FALSE),"")</f>
        <v>8</v>
      </c>
      <c r="P61" s="4" t="str">
        <f ca="1">IFERROR(MID(INDEX(Classifica!M:M, MATCH(G61, Classifica!C:C, 0)), 1, 1), "")</f>
        <v/>
      </c>
      <c r="Q61" s="4" t="str">
        <f ca="1">IFERROR(MID(INDEX(Classifica!M:M, MATCH(G61, Classifica!C:C, 0)), 3, 1), "")</f>
        <v/>
      </c>
      <c r="R61" s="4" t="str">
        <f ca="1">IFERROR(MID(INDEX(Classifica!M:M, MATCH(G61, Classifica!C:C, 0)), 5, 1), "")</f>
        <v/>
      </c>
      <c r="S61" s="4" t="str">
        <f ca="1">IFERROR(MID(INDEX(Classifica!M:M, MATCH(G61, Classifica!C:C, 0)), 7, 1), "")</f>
        <v/>
      </c>
      <c r="T61" s="4" t="str">
        <f ca="1">IFERROR(MID(INDEX(Classifica!M:M, MATCH(G61, Classifica!C:C, 0)), 9, 1), "")</f>
        <v/>
      </c>
      <c r="U61" s="4" t="str">
        <f ca="1">IFERROR(IF(P61="","",COUNTIF(P61:T61,"W")*20+COUNTIF(P61:T61,"D")*7),"")</f>
        <v/>
      </c>
      <c r="V61" s="12"/>
      <c r="W61" s="4">
        <f ca="1">COUNTIFS(Partite!AE:AE,1,Partite!Q:Q,Palinsesto!G61)+COUNTIFS(Partite!AE:AE,1,Partite!S:S,Palinsesto!G61)</f>
        <v>0</v>
      </c>
      <c r="X61" s="12"/>
      <c r="Y61" s="4" t="str">
        <f ca="1">INDEX(AD$4:AF$4, MATCH(MAX(AD61:AF61), AD61:AF61, 0))</f>
        <v>0-2</v>
      </c>
      <c r="Z61" s="4" t="str">
        <f ca="1">IFERROR(INT((LARGE(AD61:AF61,1)/SUM(H61:J61))*100),"")</f>
        <v/>
      </c>
      <c r="AA61" s="4">
        <f ca="1">COUNTIFS(Partite!AL:AL,1,Partite!Q:Q,Palinsesto!G61)+COUNTIFS(Partite!AL:AL,1,Partite!S:S,Palinsesto!G61)</f>
        <v>0</v>
      </c>
      <c r="AB61" s="22"/>
      <c r="AD61" s="7">
        <f ca="1">COUNTIFS(Partite!T:T,1,Partite!G:G,Palinsesto!G61)+COUNTIFS(Partite!W:W,1,Partite!I:I,Palinsesto!G61)</f>
        <v>0</v>
      </c>
      <c r="AE61" s="8">
        <f ca="1">COUNTIFS(Partite!U:U,1,Partite!H:H,G61)+COUNTIFS(Partite!X:X,1,Partite!J:J,G61)</f>
        <v>0</v>
      </c>
      <c r="AF61" s="27">
        <f ca="1">COUNTIFS(Partite!V:V,1,Partite!I:I,G61)+COUNTIFS(Partite!Y:Y,1,Partite!K:K,G61)</f>
        <v>0</v>
      </c>
    </row>
    <row r="62" spans="2:32" ht="15" thickTop="1" thickBot="1" x14ac:dyDescent="0.6">
      <c r="B62" s="15"/>
    </row>
    <row r="63" spans="2:32" ht="15" thickTop="1" thickBot="1" x14ac:dyDescent="0.6">
      <c r="B63" s="15">
        <f t="shared" ref="B63" si="17">B60+1</f>
        <v>20</v>
      </c>
      <c r="C63" s="16" t="str">
        <f ca="1">VLOOKUP($B$2+B63,Partite!$A$1:$Z$2322,2,FALSE)</f>
        <v>Ireland Premier Division</v>
      </c>
      <c r="D63" s="11" t="str">
        <f ca="1">VLOOKUP($B$2+B63,Partite!$A$1:$Z$2322,3,FALSE)</f>
        <v>25</v>
      </c>
      <c r="E63" s="18">
        <f ca="1">VALUE(TEXT(AC63, "GG/MM/AAAA"))</f>
        <v>46227</v>
      </c>
      <c r="F63" s="20" t="str">
        <f ca="1">VLOOKUP($B$2+B63,Partite!$A$1:$Z$2322,6,FALSE)</f>
        <v>20:00 (21:00)</v>
      </c>
      <c r="G63" s="3" t="str">
        <f ca="1">VLOOKUP($B$2+B63,Partite!$A$1:$Z$2322,7,FALSE)</f>
        <v>St Patrick's</v>
      </c>
      <c r="H63" s="3">
        <f ca="1">IFERROR(VLOOKUP(G63,Classifica!$C$2:$R$131,3,FALSE),"")</f>
        <v>12</v>
      </c>
      <c r="I63" s="3">
        <f ca="1">IFERROR(VLOOKUP(G63,Classifica!$C$2:$R$131,4,FALSE),"")</f>
        <v>6</v>
      </c>
      <c r="J63" s="3">
        <f ca="1">IFERROR(VLOOKUP(G63,Classifica!$C$2:$R$131,5,FALSE),"")</f>
        <v>6</v>
      </c>
      <c r="K63" s="3">
        <f ca="1">IFERROR(VLOOKUP(G63,Classifica!$C$2:$R$131,6,FALSE),"")</f>
        <v>39</v>
      </c>
      <c r="L63" s="3">
        <f ca="1">IFERROR(VLOOKUP(G63,Classifica!$C$2:$R$131,7,FALSE),"")</f>
        <v>20</v>
      </c>
      <c r="M63" s="3">
        <f ca="1">IFERROR(VLOOKUP(G63,Classifica!$C$2:$R$131,8,FALSE),"")</f>
        <v>19</v>
      </c>
      <c r="N63" s="3">
        <f ca="1">IFERROR(VLOOKUP(G63,Classifica!$C$2:$R$131,9,FALSE),"")</f>
        <v>42</v>
      </c>
      <c r="O63" s="3">
        <f ca="1">IFERROR(VLOOKUP(G63,Classifica!$C$2:$R$131,16,FALSE),"")</f>
        <v>3</v>
      </c>
      <c r="P63" s="3" t="str">
        <f ca="1">IFERROR(MID(INDEX(Classifica!M:M, MATCH(G63, Classifica!C:C, 0)), 1, 1), "")</f>
        <v>W</v>
      </c>
      <c r="Q63" s="3" t="str">
        <f ca="1">IFERROR(MID(INDEX(Classifica!M:M, MATCH(G63, Classifica!C:C, 0)), 3, 1), "")</f>
        <v>W</v>
      </c>
      <c r="R63" s="3" t="str">
        <f ca="1">IFERROR(MID(INDEX(Classifica!M:M, MATCH(G63, Classifica!C:C, 0)), 5, 1), "")</f>
        <v>L</v>
      </c>
      <c r="S63" s="3" t="str">
        <f ca="1">IFERROR(MID(INDEX(Classifica!M:M, MATCH(G63, Classifica!C:C, 0)), 7, 1), "")</f>
        <v>W</v>
      </c>
      <c r="T63" s="3" t="str">
        <f ca="1">IFERROR(MID(INDEX(Classifica!M:M, MATCH(G63, Classifica!C:C, 0)), 9, 1), "")</f>
        <v>D</v>
      </c>
      <c r="U63" s="3">
        <f ca="1">IFERROR(IF(P63="","",COUNTIF(P63:T63,"W")*20+COUNTIF(P63:T63,"D")*7),"")</f>
        <v>67</v>
      </c>
      <c r="V63" s="11">
        <f ca="1">IFERROR(ABS(U63-U64),"")</f>
        <v>27</v>
      </c>
      <c r="W63" s="3">
        <f ca="1">COUNTIFS(Partite!AE:AE,1,Partite!Q:Q,Palinsesto!G63)+COUNTIFS(Partite!AE:AE,1,Partite!S:S,Palinsesto!G63)</f>
        <v>0</v>
      </c>
      <c r="X63" s="11">
        <f ca="1">IFERROR(AVERAGE(IFERROR(INT(W63/(SUM(H63:J63))*100),""),IFERROR(INT(W64/(SUM(H64:J64))*100),"")),"")</f>
        <v>0</v>
      </c>
      <c r="Y63" s="3" t="str">
        <f ca="1">INDEX(AD$4:AF$4, MATCH(MAX(AD63:AF63), AD63:AF63, 0))</f>
        <v>0-2</v>
      </c>
      <c r="Z63" s="3">
        <f ca="1">IFERROR(INT((LARGE(AD63:AF63,1)/SUM(H63:J63))*100),"")</f>
        <v>66</v>
      </c>
      <c r="AA63" s="3">
        <f ca="1">COUNTIFS(Partite!AL:AL,1,Partite!Q:Q,Palinsesto!G63)+COUNTIFS(Partite!AL:AL,1,Partite!S:S,Palinsesto!G63)</f>
        <v>0</v>
      </c>
      <c r="AB63" s="21">
        <f ca="1">IFERROR(INT(AVERAGE(AA63/(SUM(H63:J63))*100,(AA64/(SUM(H64:J64))*100))),"")</f>
        <v>0</v>
      </c>
      <c r="AC63" s="9" t="str">
        <f ca="1">VLOOKUP($B$2+B63,Partite!$A$1:$E$2322,5,FALSE)</f>
        <v>2026-07-24</v>
      </c>
      <c r="AD63" s="7">
        <f ca="1">COUNTIFS(Partite!T:T,1,Partite!G:G,Palinsesto!G63)+COUNTIFS(Partite!W:W,1,Partite!I:I,Palinsesto!G63)</f>
        <v>16</v>
      </c>
      <c r="AE63" s="8">
        <f ca="1">COUNTIFS(Partite!U:U,1,Partite!H:H,G63)+COUNTIFS(Partite!X:X,1,Partite!J:J,G63)</f>
        <v>0</v>
      </c>
      <c r="AF63" s="27">
        <f ca="1">COUNTIFS(Partite!V:V,1,Partite!I:I,G63)+COUNTIFS(Partite!Y:Y,1,Partite!K:K,G63)</f>
        <v>5</v>
      </c>
    </row>
    <row r="64" spans="2:32" ht="15" thickTop="1" thickBot="1" x14ac:dyDescent="0.6">
      <c r="B64" s="15"/>
      <c r="C64" s="17"/>
      <c r="D64" s="12"/>
      <c r="E64" s="19"/>
      <c r="F64" s="19"/>
      <c r="G64" s="4" t="str">
        <f ca="1">VLOOKUP($B$2+B63,Partite!$A$1:$Z$2322,9,FALSE)</f>
        <v>Dundalk FC</v>
      </c>
      <c r="H64" s="4">
        <f ca="1">IFERROR(VLOOKUP(G64,Classifica!$C$2:$R$131,3,FALSE),"")</f>
        <v>9</v>
      </c>
      <c r="I64" s="4">
        <f ca="1">IFERROR(VLOOKUP(G64,Classifica!$C$2:$R$131,4,FALSE),"")</f>
        <v>8</v>
      </c>
      <c r="J64" s="4">
        <f ca="1">IFERROR(VLOOKUP(G64,Classifica!$C$2:$R$131,5,FALSE),"")</f>
        <v>7</v>
      </c>
      <c r="K64" s="4">
        <f ca="1">IFERROR(VLOOKUP(G64,Classifica!$C$2:$R$131,6,FALSE),"")</f>
        <v>38</v>
      </c>
      <c r="L64" s="4">
        <f ca="1">IFERROR(VLOOKUP(G64,Classifica!$C$2:$R$131,7,FALSE),"")</f>
        <v>36</v>
      </c>
      <c r="M64" s="4">
        <f ca="1">IFERROR(VLOOKUP(G64,Classifica!$C$2:$R$131,8,FALSE),"")</f>
        <v>2</v>
      </c>
      <c r="N64" s="4">
        <f ca="1">IFERROR(VLOOKUP(G64,Classifica!$C$2:$R$131,9,FALSE),"")</f>
        <v>35</v>
      </c>
      <c r="O64" s="4">
        <f ca="1">IFERROR(VLOOKUP(G64,Classifica!$C$2:$R$131,16,FALSE),"")</f>
        <v>4</v>
      </c>
      <c r="P64" s="4" t="str">
        <f ca="1">IFERROR(MID(INDEX(Classifica!M:M, MATCH(G64, Classifica!C:C, 0)), 1, 1), "")</f>
        <v>W</v>
      </c>
      <c r="Q64" s="4" t="str">
        <f ca="1">IFERROR(MID(INDEX(Classifica!M:M, MATCH(G64, Classifica!C:C, 0)), 3, 1), "")</f>
        <v>W</v>
      </c>
      <c r="R64" s="4" t="str">
        <f ca="1">IFERROR(MID(INDEX(Classifica!M:M, MATCH(G64, Classifica!C:C, 0)), 5, 1), "")</f>
        <v>L</v>
      </c>
      <c r="S64" s="4" t="str">
        <f ca="1">IFERROR(MID(INDEX(Classifica!M:M, MATCH(G64, Classifica!C:C, 0)), 7, 1), "")</f>
        <v>L</v>
      </c>
      <c r="T64" s="4" t="str">
        <f ca="1">IFERROR(MID(INDEX(Classifica!M:M, MATCH(G64, Classifica!C:C, 0)), 9, 1), "")</f>
        <v>L</v>
      </c>
      <c r="U64" s="4">
        <f ca="1">IFERROR(IF(P64="","",COUNTIF(P64:T64,"W")*20+COUNTIF(P64:T64,"D")*7),"")</f>
        <v>40</v>
      </c>
      <c r="V64" s="12"/>
      <c r="W64" s="4">
        <f ca="1">COUNTIFS(Partite!AE:AE,1,Partite!Q:Q,Palinsesto!G64)+COUNTIFS(Partite!AE:AE,1,Partite!S:S,Palinsesto!G64)</f>
        <v>0</v>
      </c>
      <c r="X64" s="12"/>
      <c r="Y64" s="4" t="str">
        <f ca="1">INDEX(AD$4:AF$4, MATCH(MAX(AD64:AF64), AD64:AF64, 0))</f>
        <v>0-2</v>
      </c>
      <c r="Z64" s="4">
        <f ca="1">IFERROR(INT((LARGE(AD64:AF64,1)/SUM(H64:J64))*100),"")</f>
        <v>87</v>
      </c>
      <c r="AA64" s="4">
        <f ca="1">COUNTIFS(Partite!AL:AL,1,Partite!Q:Q,Palinsesto!G64)+COUNTIFS(Partite!AL:AL,1,Partite!S:S,Palinsesto!G64)</f>
        <v>0</v>
      </c>
      <c r="AB64" s="22"/>
      <c r="AD64" s="7">
        <f ca="1">COUNTIFS(Partite!T:T,1,Partite!G:G,Palinsesto!G64)+COUNTIFS(Partite!W:W,1,Partite!I:I,Palinsesto!G64)</f>
        <v>21</v>
      </c>
      <c r="AE64" s="8">
        <f ca="1">COUNTIFS(Partite!U:U,1,Partite!H:H,G64)+COUNTIFS(Partite!X:X,1,Partite!J:J,G64)</f>
        <v>0</v>
      </c>
      <c r="AF64" s="27">
        <f ca="1">COUNTIFS(Partite!V:V,1,Partite!I:I,G64)+COUNTIFS(Partite!Y:Y,1,Partite!K:K,G64)</f>
        <v>7</v>
      </c>
    </row>
    <row r="65" spans="2:2" ht="15" thickTop="1" thickBot="1" x14ac:dyDescent="0.6">
      <c r="B65" s="15"/>
    </row>
    <row r="66" spans="2:2" ht="14.7" thickTop="1" x14ac:dyDescent="0.55000000000000004"/>
  </sheetData>
  <mergeCells count="161">
    <mergeCell ref="X60:X61"/>
    <mergeCell ref="X63:X64"/>
    <mergeCell ref="AB6:AB7"/>
    <mergeCell ref="AB9:AB10"/>
    <mergeCell ref="AB12:AB13"/>
    <mergeCell ref="AB15:AB16"/>
    <mergeCell ref="AB18:AB19"/>
    <mergeCell ref="AB21:AB22"/>
    <mergeCell ref="AB24:AB25"/>
    <mergeCell ref="AB27:AB28"/>
    <mergeCell ref="AB30:AB31"/>
    <mergeCell ref="AB33:AB34"/>
    <mergeCell ref="AB36:AB37"/>
    <mergeCell ref="AB39:AB40"/>
    <mergeCell ref="AB42:AB43"/>
    <mergeCell ref="AB45:AB46"/>
    <mergeCell ref="AB48:AB49"/>
    <mergeCell ref="AB51:AB52"/>
    <mergeCell ref="AB54:AB55"/>
    <mergeCell ref="AB57:AB58"/>
    <mergeCell ref="AB60:AB61"/>
    <mergeCell ref="AB63:AB64"/>
    <mergeCell ref="X33:X34"/>
    <mergeCell ref="X36:X37"/>
    <mergeCell ref="X39:X40"/>
    <mergeCell ref="X42:X43"/>
    <mergeCell ref="X45:X46"/>
    <mergeCell ref="X48:X49"/>
    <mergeCell ref="X51:X52"/>
    <mergeCell ref="X54:X55"/>
    <mergeCell ref="X57:X58"/>
    <mergeCell ref="X6:X7"/>
    <mergeCell ref="X9:X10"/>
    <mergeCell ref="X12:X13"/>
    <mergeCell ref="X15:X16"/>
    <mergeCell ref="X18:X19"/>
    <mergeCell ref="X21:X22"/>
    <mergeCell ref="X24:X25"/>
    <mergeCell ref="X27:X28"/>
    <mergeCell ref="X30:X31"/>
    <mergeCell ref="V48:V49"/>
    <mergeCell ref="V51:V52"/>
    <mergeCell ref="V54:V55"/>
    <mergeCell ref="V57:V58"/>
    <mergeCell ref="V60:V61"/>
    <mergeCell ref="V27:V28"/>
    <mergeCell ref="V30:V31"/>
    <mergeCell ref="V33:V34"/>
    <mergeCell ref="V36:V37"/>
    <mergeCell ref="V39:V40"/>
    <mergeCell ref="V42:V43"/>
    <mergeCell ref="F63:F64"/>
    <mergeCell ref="V6:V7"/>
    <mergeCell ref="V9:V10"/>
    <mergeCell ref="V12:V13"/>
    <mergeCell ref="V15:V16"/>
    <mergeCell ref="V18:V19"/>
    <mergeCell ref="V21:V22"/>
    <mergeCell ref="V24:V25"/>
    <mergeCell ref="C57:C58"/>
    <mergeCell ref="E57:E58"/>
    <mergeCell ref="F57:F58"/>
    <mergeCell ref="C60:C61"/>
    <mergeCell ref="E60:E61"/>
    <mergeCell ref="F60:F61"/>
    <mergeCell ref="C51:C52"/>
    <mergeCell ref="E51:E52"/>
    <mergeCell ref="F51:F52"/>
    <mergeCell ref="C54:C55"/>
    <mergeCell ref="E54:E55"/>
    <mergeCell ref="F54:F55"/>
    <mergeCell ref="C45:C46"/>
    <mergeCell ref="E45:E46"/>
    <mergeCell ref="V63:V64"/>
    <mergeCell ref="V45:V46"/>
    <mergeCell ref="F45:F46"/>
    <mergeCell ref="C48:C49"/>
    <mergeCell ref="E48:E49"/>
    <mergeCell ref="F48:F49"/>
    <mergeCell ref="C39:C40"/>
    <mergeCell ref="E39:E40"/>
    <mergeCell ref="F39:F40"/>
    <mergeCell ref="C42:C43"/>
    <mergeCell ref="E42:E43"/>
    <mergeCell ref="F42:F43"/>
    <mergeCell ref="D39:D40"/>
    <mergeCell ref="D42:D43"/>
    <mergeCell ref="D45:D46"/>
    <mergeCell ref="D48:D49"/>
    <mergeCell ref="F33:F34"/>
    <mergeCell ref="C36:C37"/>
    <mergeCell ref="E36:E37"/>
    <mergeCell ref="F36:F37"/>
    <mergeCell ref="C27:C28"/>
    <mergeCell ref="E27:E28"/>
    <mergeCell ref="F27:F28"/>
    <mergeCell ref="C30:C31"/>
    <mergeCell ref="E30:E31"/>
    <mergeCell ref="F30:F31"/>
    <mergeCell ref="D27:D28"/>
    <mergeCell ref="D30:D31"/>
    <mergeCell ref="D33:D34"/>
    <mergeCell ref="D36:D37"/>
    <mergeCell ref="F21:F22"/>
    <mergeCell ref="C24:C25"/>
    <mergeCell ref="E24:E25"/>
    <mergeCell ref="F24:F25"/>
    <mergeCell ref="C15:C16"/>
    <mergeCell ref="E15:E16"/>
    <mergeCell ref="F15:F16"/>
    <mergeCell ref="C18:C19"/>
    <mergeCell ref="E18:E19"/>
    <mergeCell ref="F18:F19"/>
    <mergeCell ref="F6:F7"/>
    <mergeCell ref="F9:F10"/>
    <mergeCell ref="E12:E13"/>
    <mergeCell ref="F12:F13"/>
    <mergeCell ref="D6:D7"/>
    <mergeCell ref="D9:D10"/>
    <mergeCell ref="D12:D13"/>
    <mergeCell ref="D15:D16"/>
    <mergeCell ref="B54:B56"/>
    <mergeCell ref="E6:E7"/>
    <mergeCell ref="C6:C7"/>
    <mergeCell ref="C9:C10"/>
    <mergeCell ref="E9:E10"/>
    <mergeCell ref="C12:C13"/>
    <mergeCell ref="B36:B38"/>
    <mergeCell ref="B39:B41"/>
    <mergeCell ref="B42:B44"/>
    <mergeCell ref="B45:B47"/>
    <mergeCell ref="B48:B50"/>
    <mergeCell ref="B51:B53"/>
    <mergeCell ref="B18:B20"/>
    <mergeCell ref="B21:B23"/>
    <mergeCell ref="B24:B26"/>
    <mergeCell ref="B27:B29"/>
    <mergeCell ref="D51:D52"/>
    <mergeCell ref="D54:D55"/>
    <mergeCell ref="D57:D58"/>
    <mergeCell ref="D60:D61"/>
    <mergeCell ref="D63:D64"/>
    <mergeCell ref="D2:E2"/>
    <mergeCell ref="B6:B8"/>
    <mergeCell ref="B9:B11"/>
    <mergeCell ref="B12:B14"/>
    <mergeCell ref="B15:B17"/>
    <mergeCell ref="B57:B59"/>
    <mergeCell ref="B60:B62"/>
    <mergeCell ref="B63:B65"/>
    <mergeCell ref="B30:B32"/>
    <mergeCell ref="B33:B35"/>
    <mergeCell ref="D18:D19"/>
    <mergeCell ref="D21:D22"/>
    <mergeCell ref="D24:D25"/>
    <mergeCell ref="C21:C22"/>
    <mergeCell ref="E21:E22"/>
    <mergeCell ref="C33:C34"/>
    <mergeCell ref="E33:E34"/>
    <mergeCell ref="C63:C64"/>
    <mergeCell ref="E63:E64"/>
  </mergeCells>
  <conditionalFormatting sqref="E6:E7">
    <cfRule type="cellIs" dxfId="87" priority="231" operator="equal">
      <formula>$D$2</formula>
    </cfRule>
  </conditionalFormatting>
  <conditionalFormatting sqref="E9:E10">
    <cfRule type="cellIs" dxfId="86" priority="230" operator="equal">
      <formula>$D$2</formula>
    </cfRule>
  </conditionalFormatting>
  <conditionalFormatting sqref="E12:E13">
    <cfRule type="cellIs" dxfId="85" priority="229" operator="equal">
      <formula>$D$2</formula>
    </cfRule>
  </conditionalFormatting>
  <conditionalFormatting sqref="E15:E16">
    <cfRule type="cellIs" dxfId="84" priority="228" operator="equal">
      <formula>$D$2</formula>
    </cfRule>
  </conditionalFormatting>
  <conditionalFormatting sqref="E18:E19">
    <cfRule type="cellIs" dxfId="83" priority="227" operator="equal">
      <formula>$D$2</formula>
    </cfRule>
  </conditionalFormatting>
  <conditionalFormatting sqref="E21:E22">
    <cfRule type="cellIs" dxfId="82" priority="226" operator="equal">
      <formula>$D$2</formula>
    </cfRule>
  </conditionalFormatting>
  <conditionalFormatting sqref="E24:E25">
    <cfRule type="cellIs" dxfId="81" priority="225" operator="equal">
      <formula>$D$2</formula>
    </cfRule>
  </conditionalFormatting>
  <conditionalFormatting sqref="E27:E28">
    <cfRule type="cellIs" dxfId="80" priority="224" operator="equal">
      <formula>$D$2</formula>
    </cfRule>
  </conditionalFormatting>
  <conditionalFormatting sqref="E30:E31">
    <cfRule type="cellIs" dxfId="79" priority="223" operator="equal">
      <formula>$D$2</formula>
    </cfRule>
  </conditionalFormatting>
  <conditionalFormatting sqref="E33:E34">
    <cfRule type="cellIs" dxfId="78" priority="222" operator="equal">
      <formula>$D$2</formula>
    </cfRule>
  </conditionalFormatting>
  <conditionalFormatting sqref="E36:E37">
    <cfRule type="cellIs" dxfId="77" priority="221" operator="equal">
      <formula>$D$2</formula>
    </cfRule>
  </conditionalFormatting>
  <conditionalFormatting sqref="E39:E40">
    <cfRule type="cellIs" dxfId="76" priority="220" operator="equal">
      <formula>$D$2</formula>
    </cfRule>
  </conditionalFormatting>
  <conditionalFormatting sqref="E42:E43">
    <cfRule type="cellIs" dxfId="75" priority="219" operator="equal">
      <formula>$D$2</formula>
    </cfRule>
  </conditionalFormatting>
  <conditionalFormatting sqref="E45:E46">
    <cfRule type="cellIs" dxfId="74" priority="218" operator="equal">
      <formula>$D$2</formula>
    </cfRule>
  </conditionalFormatting>
  <conditionalFormatting sqref="E48:E49">
    <cfRule type="cellIs" dxfId="73" priority="217" operator="equal">
      <formula>$D$2</formula>
    </cfRule>
  </conditionalFormatting>
  <conditionalFormatting sqref="E51:E52">
    <cfRule type="cellIs" dxfId="72" priority="216" operator="equal">
      <formula>$D$2</formula>
    </cfRule>
  </conditionalFormatting>
  <conditionalFormatting sqref="E54:E55">
    <cfRule type="cellIs" dxfId="71" priority="215" operator="equal">
      <formula>$D$2</formula>
    </cfRule>
  </conditionalFormatting>
  <conditionalFormatting sqref="E57:E58">
    <cfRule type="cellIs" dxfId="70" priority="214" operator="equal">
      <formula>$D$2</formula>
    </cfRule>
  </conditionalFormatting>
  <conditionalFormatting sqref="E60:E61">
    <cfRule type="cellIs" dxfId="69" priority="213" operator="equal">
      <formula>$D$2</formula>
    </cfRule>
  </conditionalFormatting>
  <conditionalFormatting sqref="E63:E64">
    <cfRule type="cellIs" dxfId="68" priority="212" operator="equal">
      <formula>$D$2</formula>
    </cfRule>
  </conditionalFormatting>
  <conditionalFormatting sqref="H6:J7">
    <cfRule type="iconSet" priority="118">
      <iconSet iconSet="3TrafficLights2">
        <cfvo type="percent" val="0"/>
        <cfvo type="percent" val="33"/>
        <cfvo type="percent" val="67"/>
      </iconSet>
    </cfRule>
  </conditionalFormatting>
  <conditionalFormatting sqref="H9:J10">
    <cfRule type="iconSet" priority="117">
      <iconSet iconSet="3TrafficLights2">
        <cfvo type="percent" val="0"/>
        <cfvo type="percent" val="33"/>
        <cfvo type="percent" val="67"/>
      </iconSet>
    </cfRule>
  </conditionalFormatting>
  <conditionalFormatting sqref="H12:J13">
    <cfRule type="iconSet" priority="116">
      <iconSet iconSet="3TrafficLights2">
        <cfvo type="percent" val="0"/>
        <cfvo type="percent" val="33"/>
        <cfvo type="percent" val="67"/>
      </iconSet>
    </cfRule>
  </conditionalFormatting>
  <conditionalFormatting sqref="H15:J16">
    <cfRule type="iconSet" priority="115">
      <iconSet iconSet="3TrafficLights2">
        <cfvo type="percent" val="0"/>
        <cfvo type="percent" val="33"/>
        <cfvo type="percent" val="67"/>
      </iconSet>
    </cfRule>
  </conditionalFormatting>
  <conditionalFormatting sqref="H18:J19">
    <cfRule type="iconSet" priority="114">
      <iconSet iconSet="3TrafficLights2">
        <cfvo type="percent" val="0"/>
        <cfvo type="percent" val="33"/>
        <cfvo type="percent" val="67"/>
      </iconSet>
    </cfRule>
  </conditionalFormatting>
  <conditionalFormatting sqref="H21:J22">
    <cfRule type="iconSet" priority="113">
      <iconSet iconSet="3TrafficLights2">
        <cfvo type="percent" val="0"/>
        <cfvo type="percent" val="33"/>
        <cfvo type="percent" val="67"/>
      </iconSet>
    </cfRule>
  </conditionalFormatting>
  <conditionalFormatting sqref="H24:J25">
    <cfRule type="iconSet" priority="112">
      <iconSet iconSet="3TrafficLights2">
        <cfvo type="percent" val="0"/>
        <cfvo type="percent" val="33"/>
        <cfvo type="percent" val="67"/>
      </iconSet>
    </cfRule>
  </conditionalFormatting>
  <conditionalFormatting sqref="H27:J28">
    <cfRule type="iconSet" priority="111">
      <iconSet iconSet="3TrafficLights2">
        <cfvo type="percent" val="0"/>
        <cfvo type="percent" val="33"/>
        <cfvo type="percent" val="67"/>
      </iconSet>
    </cfRule>
  </conditionalFormatting>
  <conditionalFormatting sqref="H30:J31">
    <cfRule type="iconSet" priority="110">
      <iconSet iconSet="3TrafficLights2">
        <cfvo type="percent" val="0"/>
        <cfvo type="percent" val="33"/>
        <cfvo type="percent" val="67"/>
      </iconSet>
    </cfRule>
  </conditionalFormatting>
  <conditionalFormatting sqref="H33:J34">
    <cfRule type="iconSet" priority="109">
      <iconSet iconSet="3TrafficLights2">
        <cfvo type="percent" val="0"/>
        <cfvo type="percent" val="33"/>
        <cfvo type="percent" val="67"/>
      </iconSet>
    </cfRule>
  </conditionalFormatting>
  <conditionalFormatting sqref="H36:J37">
    <cfRule type="iconSet" priority="108">
      <iconSet iconSet="3TrafficLights2">
        <cfvo type="percent" val="0"/>
        <cfvo type="percent" val="33"/>
        <cfvo type="percent" val="67"/>
      </iconSet>
    </cfRule>
  </conditionalFormatting>
  <conditionalFormatting sqref="H39:J40">
    <cfRule type="iconSet" priority="107">
      <iconSet iconSet="3TrafficLights2">
        <cfvo type="percent" val="0"/>
        <cfvo type="percent" val="33"/>
        <cfvo type="percent" val="67"/>
      </iconSet>
    </cfRule>
  </conditionalFormatting>
  <conditionalFormatting sqref="H42:J43">
    <cfRule type="iconSet" priority="106">
      <iconSet iconSet="3TrafficLights2">
        <cfvo type="percent" val="0"/>
        <cfvo type="percent" val="33"/>
        <cfvo type="percent" val="67"/>
      </iconSet>
    </cfRule>
  </conditionalFormatting>
  <conditionalFormatting sqref="H45:J46">
    <cfRule type="iconSet" priority="105">
      <iconSet iconSet="3TrafficLights2">
        <cfvo type="percent" val="0"/>
        <cfvo type="percent" val="33"/>
        <cfvo type="percent" val="67"/>
      </iconSet>
    </cfRule>
  </conditionalFormatting>
  <conditionalFormatting sqref="H48:J49">
    <cfRule type="iconSet" priority="104">
      <iconSet iconSet="3TrafficLights2">
        <cfvo type="percent" val="0"/>
        <cfvo type="percent" val="33"/>
        <cfvo type="percent" val="67"/>
      </iconSet>
    </cfRule>
  </conditionalFormatting>
  <conditionalFormatting sqref="H51:J52">
    <cfRule type="iconSet" priority="103">
      <iconSet iconSet="3TrafficLights2">
        <cfvo type="percent" val="0"/>
        <cfvo type="percent" val="33"/>
        <cfvo type="percent" val="67"/>
      </iconSet>
    </cfRule>
  </conditionalFormatting>
  <conditionalFormatting sqref="H54:J55">
    <cfRule type="iconSet" priority="102">
      <iconSet iconSet="3TrafficLights2">
        <cfvo type="percent" val="0"/>
        <cfvo type="percent" val="33"/>
        <cfvo type="percent" val="67"/>
      </iconSet>
    </cfRule>
  </conditionalFormatting>
  <conditionalFormatting sqref="H57:J58">
    <cfRule type="iconSet" priority="101">
      <iconSet iconSet="3TrafficLights2">
        <cfvo type="percent" val="0"/>
        <cfvo type="percent" val="33"/>
        <cfvo type="percent" val="67"/>
      </iconSet>
    </cfRule>
  </conditionalFormatting>
  <conditionalFormatting sqref="H60:J61">
    <cfRule type="iconSet" priority="100">
      <iconSet iconSet="3TrafficLights2">
        <cfvo type="percent" val="0"/>
        <cfvo type="percent" val="33"/>
        <cfvo type="percent" val="67"/>
      </iconSet>
    </cfRule>
  </conditionalFormatting>
  <conditionalFormatting sqref="H63:J64">
    <cfRule type="iconSet" priority="99">
      <iconSet iconSet="3TrafficLights2">
        <cfvo type="percent" val="0"/>
        <cfvo type="percent" val="33"/>
        <cfvo type="percent" val="67"/>
      </iconSet>
    </cfRule>
  </conditionalFormatting>
  <conditionalFormatting sqref="P6:T7">
    <cfRule type="cellIs" dxfId="67" priority="239" operator="equal">
      <formula>"W"</formula>
    </cfRule>
    <cfRule type="cellIs" dxfId="66" priority="237" operator="equal">
      <formula>"L"</formula>
    </cfRule>
    <cfRule type="cellIs" dxfId="65" priority="238" operator="equal">
      <formula>"D"</formula>
    </cfRule>
  </conditionalFormatting>
  <conditionalFormatting sqref="P9:T10">
    <cfRule type="cellIs" dxfId="64" priority="233" operator="equal">
      <formula>"L"</formula>
    </cfRule>
    <cfRule type="cellIs" dxfId="63" priority="234" operator="equal">
      <formula>"D"</formula>
    </cfRule>
    <cfRule type="cellIs" dxfId="62" priority="235" operator="equal">
      <formula>"W"</formula>
    </cfRule>
  </conditionalFormatting>
  <conditionalFormatting sqref="P12:T13">
    <cfRule type="cellIs" dxfId="61" priority="209" operator="equal">
      <formula>"L"</formula>
    </cfRule>
    <cfRule type="cellIs" dxfId="60" priority="210" operator="equal">
      <formula>"D"</formula>
    </cfRule>
    <cfRule type="cellIs" dxfId="59" priority="211" operator="equal">
      <formula>"W"</formula>
    </cfRule>
  </conditionalFormatting>
  <conditionalFormatting sqref="P15:T16">
    <cfRule type="cellIs" dxfId="58" priority="208" operator="equal">
      <formula>"W"</formula>
    </cfRule>
    <cfRule type="cellIs" dxfId="57" priority="206" operator="equal">
      <formula>"L"</formula>
    </cfRule>
    <cfRule type="cellIs" dxfId="56" priority="207" operator="equal">
      <formula>"D"</formula>
    </cfRule>
  </conditionalFormatting>
  <conditionalFormatting sqref="P18:T19">
    <cfRule type="cellIs" dxfId="55" priority="204" operator="equal">
      <formula>"D"</formula>
    </cfRule>
    <cfRule type="cellIs" dxfId="54" priority="203" operator="equal">
      <formula>"L"</formula>
    </cfRule>
    <cfRule type="cellIs" dxfId="53" priority="205" operator="equal">
      <formula>"W"</formula>
    </cfRule>
  </conditionalFormatting>
  <conditionalFormatting sqref="P21:T22">
    <cfRule type="cellIs" dxfId="52" priority="202" operator="equal">
      <formula>"W"</formula>
    </cfRule>
    <cfRule type="cellIs" dxfId="51" priority="201" operator="equal">
      <formula>"D"</formula>
    </cfRule>
    <cfRule type="cellIs" dxfId="50" priority="200" operator="equal">
      <formula>"L"</formula>
    </cfRule>
  </conditionalFormatting>
  <conditionalFormatting sqref="P24:T25">
    <cfRule type="cellIs" dxfId="49" priority="198" operator="equal">
      <formula>"D"</formula>
    </cfRule>
    <cfRule type="cellIs" dxfId="48" priority="197" operator="equal">
      <formula>"L"</formula>
    </cfRule>
    <cfRule type="cellIs" dxfId="47" priority="199" operator="equal">
      <formula>"W"</formula>
    </cfRule>
  </conditionalFormatting>
  <conditionalFormatting sqref="P27:T28">
    <cfRule type="cellIs" dxfId="46" priority="194" operator="equal">
      <formula>"L"</formula>
    </cfRule>
    <cfRule type="cellIs" dxfId="45" priority="195" operator="equal">
      <formula>"D"</formula>
    </cfRule>
    <cfRule type="cellIs" dxfId="44" priority="196" operator="equal">
      <formula>"W"</formula>
    </cfRule>
  </conditionalFormatting>
  <conditionalFormatting sqref="P30:T31">
    <cfRule type="cellIs" dxfId="43" priority="191" operator="equal">
      <formula>"L"</formula>
    </cfRule>
    <cfRule type="cellIs" dxfId="42" priority="192" operator="equal">
      <formula>"D"</formula>
    </cfRule>
    <cfRule type="cellIs" dxfId="41" priority="193" operator="equal">
      <formula>"W"</formula>
    </cfRule>
  </conditionalFormatting>
  <conditionalFormatting sqref="P33:T34">
    <cfRule type="cellIs" dxfId="40" priority="188" operator="equal">
      <formula>"L"</formula>
    </cfRule>
    <cfRule type="cellIs" dxfId="39" priority="189" operator="equal">
      <formula>"D"</formula>
    </cfRule>
    <cfRule type="cellIs" dxfId="38" priority="190" operator="equal">
      <formula>"W"</formula>
    </cfRule>
  </conditionalFormatting>
  <conditionalFormatting sqref="P36:T37">
    <cfRule type="cellIs" dxfId="37" priority="186" operator="equal">
      <formula>"D"</formula>
    </cfRule>
    <cfRule type="cellIs" dxfId="36" priority="185" operator="equal">
      <formula>"L"</formula>
    </cfRule>
    <cfRule type="cellIs" dxfId="35" priority="187" operator="equal">
      <formula>"W"</formula>
    </cfRule>
  </conditionalFormatting>
  <conditionalFormatting sqref="P39:T40">
    <cfRule type="cellIs" dxfId="34" priority="183" operator="equal">
      <formula>"D"</formula>
    </cfRule>
    <cfRule type="cellIs" dxfId="33" priority="182" operator="equal">
      <formula>"L"</formula>
    </cfRule>
    <cfRule type="cellIs" dxfId="32" priority="184" operator="equal">
      <formula>"W"</formula>
    </cfRule>
  </conditionalFormatting>
  <conditionalFormatting sqref="P42:T43">
    <cfRule type="cellIs" dxfId="31" priority="179" operator="equal">
      <formula>"L"</formula>
    </cfRule>
    <cfRule type="cellIs" dxfId="30" priority="180" operator="equal">
      <formula>"D"</formula>
    </cfRule>
    <cfRule type="cellIs" dxfId="29" priority="181" operator="equal">
      <formula>"W"</formula>
    </cfRule>
  </conditionalFormatting>
  <conditionalFormatting sqref="P45:T46">
    <cfRule type="cellIs" dxfId="28" priority="176" operator="equal">
      <formula>"L"</formula>
    </cfRule>
    <cfRule type="cellIs" dxfId="27" priority="177" operator="equal">
      <formula>"D"</formula>
    </cfRule>
    <cfRule type="cellIs" dxfId="26" priority="178" operator="equal">
      <formula>"W"</formula>
    </cfRule>
  </conditionalFormatting>
  <conditionalFormatting sqref="P48:T49">
    <cfRule type="cellIs" dxfId="25" priority="173" operator="equal">
      <formula>"L"</formula>
    </cfRule>
    <cfRule type="cellIs" dxfId="24" priority="175" operator="equal">
      <formula>"W"</formula>
    </cfRule>
    <cfRule type="cellIs" dxfId="23" priority="174" operator="equal">
      <formula>"D"</formula>
    </cfRule>
  </conditionalFormatting>
  <conditionalFormatting sqref="P51:T52">
    <cfRule type="cellIs" dxfId="22" priority="172" operator="equal">
      <formula>"W"</formula>
    </cfRule>
    <cfRule type="cellIs" dxfId="21" priority="170" operator="equal">
      <formula>"L"</formula>
    </cfRule>
    <cfRule type="cellIs" dxfId="20" priority="171" operator="equal">
      <formula>"D"</formula>
    </cfRule>
  </conditionalFormatting>
  <conditionalFormatting sqref="P54:T55">
    <cfRule type="cellIs" dxfId="19" priority="167" operator="equal">
      <formula>"L"</formula>
    </cfRule>
    <cfRule type="cellIs" dxfId="18" priority="168" operator="equal">
      <formula>"D"</formula>
    </cfRule>
    <cfRule type="cellIs" dxfId="17" priority="169" operator="equal">
      <formula>"W"</formula>
    </cfRule>
  </conditionalFormatting>
  <conditionalFormatting sqref="P57:T58">
    <cfRule type="cellIs" dxfId="16" priority="164" operator="equal">
      <formula>"L"</formula>
    </cfRule>
    <cfRule type="cellIs" dxfId="15" priority="165" operator="equal">
      <formula>"D"</formula>
    </cfRule>
    <cfRule type="cellIs" dxfId="14" priority="166" operator="equal">
      <formula>"W"</formula>
    </cfRule>
  </conditionalFormatting>
  <conditionalFormatting sqref="P60:T61">
    <cfRule type="cellIs" dxfId="13" priority="161" operator="equal">
      <formula>"L"</formula>
    </cfRule>
    <cfRule type="cellIs" dxfId="12" priority="162" operator="equal">
      <formula>"D"</formula>
    </cfRule>
    <cfRule type="cellIs" dxfId="11" priority="163" operator="equal">
      <formula>"W"</formula>
    </cfRule>
  </conditionalFormatting>
  <conditionalFormatting sqref="P63:T64">
    <cfRule type="cellIs" dxfId="10" priority="158" operator="equal">
      <formula>"L"</formula>
    </cfRule>
    <cfRule type="cellIs" dxfId="9" priority="159" operator="equal">
      <formula>"D"</formula>
    </cfRule>
    <cfRule type="cellIs" dxfId="8" priority="160" operator="equal">
      <formula>"W"</formula>
    </cfRule>
  </conditionalFormatting>
  <conditionalFormatting sqref="V1 U2 V3:V1048576">
    <cfRule type="cellIs" dxfId="7" priority="138" operator="greaterThan">
      <formula>20</formula>
    </cfRule>
  </conditionalFormatting>
  <conditionalFormatting sqref="X1:X1048576">
    <cfRule type="iconSet" priority="59">
      <iconSet iconSet="3TrafficLights2">
        <cfvo type="percent" val="0"/>
        <cfvo type="percent" val="33"/>
        <cfvo type="percent" val="67"/>
      </iconSet>
    </cfRule>
  </conditionalFormatting>
  <conditionalFormatting sqref="Z6:Z7 AB6">
    <cfRule type="iconSet" priority="60">
      <iconSet iconSet="3Symbols">
        <cfvo type="percent" val="0"/>
        <cfvo type="percent" val="50"/>
        <cfvo type="percent" val="90"/>
      </iconSet>
    </cfRule>
  </conditionalFormatting>
  <conditionalFormatting sqref="Z9:Z10">
    <cfRule type="iconSet" priority="137">
      <iconSet iconSet="3Symbols">
        <cfvo type="percent" val="0"/>
        <cfvo type="percent" val="50"/>
        <cfvo type="percent" val="90"/>
      </iconSet>
    </cfRule>
  </conditionalFormatting>
  <conditionalFormatting sqref="Z12:Z13">
    <cfRule type="iconSet" priority="136">
      <iconSet iconSet="3Symbols">
        <cfvo type="percent" val="0"/>
        <cfvo type="percent" val="50"/>
        <cfvo type="percent" val="90"/>
      </iconSet>
    </cfRule>
  </conditionalFormatting>
  <conditionalFormatting sqref="Z15:Z16">
    <cfRule type="iconSet" priority="135">
      <iconSet iconSet="3Symbols">
        <cfvo type="percent" val="0"/>
        <cfvo type="percent" val="50"/>
        <cfvo type="percent" val="90"/>
      </iconSet>
    </cfRule>
  </conditionalFormatting>
  <conditionalFormatting sqref="Z18:Z19">
    <cfRule type="iconSet" priority="134">
      <iconSet iconSet="3Symbols">
        <cfvo type="percent" val="0"/>
        <cfvo type="percent" val="50"/>
        <cfvo type="percent" val="90"/>
      </iconSet>
    </cfRule>
  </conditionalFormatting>
  <conditionalFormatting sqref="Z21:Z22">
    <cfRule type="iconSet" priority="133">
      <iconSet iconSet="3Symbols">
        <cfvo type="percent" val="0"/>
        <cfvo type="percent" val="50"/>
        <cfvo type="percent" val="90"/>
      </iconSet>
    </cfRule>
  </conditionalFormatting>
  <conditionalFormatting sqref="Z24:Z25">
    <cfRule type="iconSet" priority="132">
      <iconSet iconSet="3Symbols">
        <cfvo type="percent" val="0"/>
        <cfvo type="percent" val="50"/>
        <cfvo type="percent" val="90"/>
      </iconSet>
    </cfRule>
  </conditionalFormatting>
  <conditionalFormatting sqref="Z27:Z28">
    <cfRule type="iconSet" priority="131">
      <iconSet iconSet="3Symbols">
        <cfvo type="percent" val="0"/>
        <cfvo type="percent" val="50"/>
        <cfvo type="percent" val="90"/>
      </iconSet>
    </cfRule>
  </conditionalFormatting>
  <conditionalFormatting sqref="Z30:Z31">
    <cfRule type="iconSet" priority="130">
      <iconSet iconSet="3Symbols">
        <cfvo type="percent" val="0"/>
        <cfvo type="percent" val="50"/>
        <cfvo type="percent" val="90"/>
      </iconSet>
    </cfRule>
  </conditionalFormatting>
  <conditionalFormatting sqref="Z33:Z34">
    <cfRule type="iconSet" priority="129">
      <iconSet iconSet="3Symbols">
        <cfvo type="percent" val="0"/>
        <cfvo type="percent" val="50"/>
        <cfvo type="percent" val="90"/>
      </iconSet>
    </cfRule>
  </conditionalFormatting>
  <conditionalFormatting sqref="Z36:Z37">
    <cfRule type="iconSet" priority="128">
      <iconSet iconSet="3Symbols">
        <cfvo type="percent" val="0"/>
        <cfvo type="percent" val="50"/>
        <cfvo type="percent" val="90"/>
      </iconSet>
    </cfRule>
  </conditionalFormatting>
  <conditionalFormatting sqref="Z39:Z40">
    <cfRule type="iconSet" priority="127">
      <iconSet iconSet="3Symbols">
        <cfvo type="percent" val="0"/>
        <cfvo type="percent" val="50"/>
        <cfvo type="percent" val="90"/>
      </iconSet>
    </cfRule>
  </conditionalFormatting>
  <conditionalFormatting sqref="Z42:Z43">
    <cfRule type="iconSet" priority="126">
      <iconSet iconSet="3Symbols">
        <cfvo type="percent" val="0"/>
        <cfvo type="percent" val="50"/>
        <cfvo type="percent" val="90"/>
      </iconSet>
    </cfRule>
  </conditionalFormatting>
  <conditionalFormatting sqref="Z45:Z46">
    <cfRule type="iconSet" priority="125">
      <iconSet iconSet="3Symbols">
        <cfvo type="percent" val="0"/>
        <cfvo type="percent" val="50"/>
        <cfvo type="percent" val="90"/>
      </iconSet>
    </cfRule>
  </conditionalFormatting>
  <conditionalFormatting sqref="Z48:Z49">
    <cfRule type="iconSet" priority="124">
      <iconSet iconSet="3Symbols">
        <cfvo type="percent" val="0"/>
        <cfvo type="percent" val="50"/>
        <cfvo type="percent" val="90"/>
      </iconSet>
    </cfRule>
  </conditionalFormatting>
  <conditionalFormatting sqref="Z51:Z52">
    <cfRule type="iconSet" priority="123">
      <iconSet iconSet="3Symbols">
        <cfvo type="percent" val="0"/>
        <cfvo type="percent" val="50"/>
        <cfvo type="percent" val="90"/>
      </iconSet>
    </cfRule>
  </conditionalFormatting>
  <conditionalFormatting sqref="Z54:Z55">
    <cfRule type="iconSet" priority="122">
      <iconSet iconSet="3Symbols">
        <cfvo type="percent" val="0"/>
        <cfvo type="percent" val="50"/>
        <cfvo type="percent" val="90"/>
      </iconSet>
    </cfRule>
  </conditionalFormatting>
  <conditionalFormatting sqref="Z57:Z58">
    <cfRule type="iconSet" priority="121">
      <iconSet iconSet="3Symbols">
        <cfvo type="percent" val="0"/>
        <cfvo type="percent" val="50"/>
        <cfvo type="percent" val="90"/>
      </iconSet>
    </cfRule>
  </conditionalFormatting>
  <conditionalFormatting sqref="Z60:Z61">
    <cfRule type="iconSet" priority="120">
      <iconSet iconSet="3Symbols">
        <cfvo type="percent" val="0"/>
        <cfvo type="percent" val="50"/>
        <cfvo type="percent" val="90"/>
      </iconSet>
    </cfRule>
  </conditionalFormatting>
  <conditionalFormatting sqref="Z63:Z64">
    <cfRule type="iconSet" priority="119">
      <iconSet iconSet="3Symbols">
        <cfvo type="percent" val="0"/>
        <cfvo type="percent" val="50"/>
        <cfvo type="percent" val="90"/>
      </iconSet>
    </cfRule>
  </conditionalFormatting>
  <conditionalFormatting sqref="AB9">
    <cfRule type="iconSet" priority="19">
      <iconSet iconSet="3Symbols">
        <cfvo type="percent" val="0"/>
        <cfvo type="percent" val="50"/>
        <cfvo type="percent" val="90"/>
      </iconSet>
    </cfRule>
  </conditionalFormatting>
  <conditionalFormatting sqref="AB12">
    <cfRule type="iconSet" priority="18">
      <iconSet iconSet="3Symbols">
        <cfvo type="percent" val="0"/>
        <cfvo type="percent" val="50"/>
        <cfvo type="percent" val="90"/>
      </iconSet>
    </cfRule>
  </conditionalFormatting>
  <conditionalFormatting sqref="AB15">
    <cfRule type="iconSet" priority="17">
      <iconSet iconSet="3Symbols">
        <cfvo type="percent" val="0"/>
        <cfvo type="percent" val="50"/>
        <cfvo type="percent" val="90"/>
      </iconSet>
    </cfRule>
  </conditionalFormatting>
  <conditionalFormatting sqref="AB18">
    <cfRule type="iconSet" priority="16">
      <iconSet iconSet="3Symbols">
        <cfvo type="percent" val="0"/>
        <cfvo type="percent" val="50"/>
        <cfvo type="percent" val="90"/>
      </iconSet>
    </cfRule>
  </conditionalFormatting>
  <conditionalFormatting sqref="AB21">
    <cfRule type="iconSet" priority="15">
      <iconSet iconSet="3Symbols">
        <cfvo type="percent" val="0"/>
        <cfvo type="percent" val="50"/>
        <cfvo type="percent" val="90"/>
      </iconSet>
    </cfRule>
  </conditionalFormatting>
  <conditionalFormatting sqref="AB24">
    <cfRule type="iconSet" priority="14">
      <iconSet iconSet="3Symbols">
        <cfvo type="percent" val="0"/>
        <cfvo type="percent" val="50"/>
        <cfvo type="percent" val="90"/>
      </iconSet>
    </cfRule>
  </conditionalFormatting>
  <conditionalFormatting sqref="AB27">
    <cfRule type="iconSet" priority="13">
      <iconSet iconSet="3Symbols">
        <cfvo type="percent" val="0"/>
        <cfvo type="percent" val="50"/>
        <cfvo type="percent" val="90"/>
      </iconSet>
    </cfRule>
  </conditionalFormatting>
  <conditionalFormatting sqref="AB30">
    <cfRule type="iconSet" priority="12">
      <iconSet iconSet="3Symbols">
        <cfvo type="percent" val="0"/>
        <cfvo type="percent" val="50"/>
        <cfvo type="percent" val="90"/>
      </iconSet>
    </cfRule>
  </conditionalFormatting>
  <conditionalFormatting sqref="AB33">
    <cfRule type="iconSet" priority="11">
      <iconSet iconSet="3Symbols">
        <cfvo type="percent" val="0"/>
        <cfvo type="percent" val="50"/>
        <cfvo type="percent" val="90"/>
      </iconSet>
    </cfRule>
  </conditionalFormatting>
  <conditionalFormatting sqref="AB36">
    <cfRule type="iconSet" priority="10">
      <iconSet iconSet="3Symbols">
        <cfvo type="percent" val="0"/>
        <cfvo type="percent" val="50"/>
        <cfvo type="percent" val="90"/>
      </iconSet>
    </cfRule>
  </conditionalFormatting>
  <conditionalFormatting sqref="AB39">
    <cfRule type="iconSet" priority="9">
      <iconSet iconSet="3Symbols">
        <cfvo type="percent" val="0"/>
        <cfvo type="percent" val="50"/>
        <cfvo type="percent" val="90"/>
      </iconSet>
    </cfRule>
  </conditionalFormatting>
  <conditionalFormatting sqref="AB42">
    <cfRule type="iconSet" priority="8">
      <iconSet iconSet="3Symbols">
        <cfvo type="percent" val="0"/>
        <cfvo type="percent" val="50"/>
        <cfvo type="percent" val="90"/>
      </iconSet>
    </cfRule>
  </conditionalFormatting>
  <conditionalFormatting sqref="AB45">
    <cfRule type="iconSet" priority="7">
      <iconSet iconSet="3Symbols">
        <cfvo type="percent" val="0"/>
        <cfvo type="percent" val="50"/>
        <cfvo type="percent" val="90"/>
      </iconSet>
    </cfRule>
  </conditionalFormatting>
  <conditionalFormatting sqref="AB48">
    <cfRule type="iconSet" priority="6">
      <iconSet iconSet="3Symbols">
        <cfvo type="percent" val="0"/>
        <cfvo type="percent" val="50"/>
        <cfvo type="percent" val="90"/>
      </iconSet>
    </cfRule>
  </conditionalFormatting>
  <conditionalFormatting sqref="AB51">
    <cfRule type="iconSet" priority="5">
      <iconSet iconSet="3Symbols">
        <cfvo type="percent" val="0"/>
        <cfvo type="percent" val="50"/>
        <cfvo type="percent" val="90"/>
      </iconSet>
    </cfRule>
  </conditionalFormatting>
  <conditionalFormatting sqref="AB54">
    <cfRule type="iconSet" priority="4">
      <iconSet iconSet="3Symbols">
        <cfvo type="percent" val="0"/>
        <cfvo type="percent" val="50"/>
        <cfvo type="percent" val="90"/>
      </iconSet>
    </cfRule>
  </conditionalFormatting>
  <conditionalFormatting sqref="AB57">
    <cfRule type="iconSet" priority="3">
      <iconSet iconSet="3Symbols">
        <cfvo type="percent" val="0"/>
        <cfvo type="percent" val="50"/>
        <cfvo type="percent" val="90"/>
      </iconSet>
    </cfRule>
  </conditionalFormatting>
  <conditionalFormatting sqref="AB60">
    <cfRule type="iconSet" priority="2">
      <iconSet iconSet="3Symbols">
        <cfvo type="percent" val="0"/>
        <cfvo type="percent" val="50"/>
        <cfvo type="percent" val="90"/>
      </iconSet>
    </cfRule>
  </conditionalFormatting>
  <conditionalFormatting sqref="AB63">
    <cfRule type="iconSet" priority="1">
      <iconSet iconSet="3Symbols">
        <cfvo type="percent" val="0"/>
        <cfvo type="percent" val="50"/>
        <cfvo type="percent" val="9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F21E-10DF-41CE-A84B-D9508F960F75}">
  <dimension ref="A1:AB2322"/>
  <sheetViews>
    <sheetView topLeftCell="B1" workbookViewId="0"/>
  </sheetViews>
  <sheetFormatPr defaultRowHeight="14.4" x14ac:dyDescent="0.55000000000000004"/>
  <cols>
    <col min="2" max="2" width="19.1015625" bestFit="1" customWidth="1"/>
    <col min="3" max="3" width="7.41796875" bestFit="1" customWidth="1"/>
    <col min="4" max="4" width="5.5234375" bestFit="1" customWidth="1"/>
    <col min="5" max="5" width="9.83984375" bestFit="1" customWidth="1"/>
    <col min="6" max="6" width="11.26171875" bestFit="1" customWidth="1"/>
    <col min="7" max="7" width="16" bestFit="1" customWidth="1"/>
    <col min="8" max="8" width="9.578125" bestFit="1" customWidth="1"/>
    <col min="9" max="9" width="16" bestFit="1" customWidth="1"/>
    <col min="10" max="10" width="9.68359375" bestFit="1" customWidth="1"/>
    <col min="11" max="11" width="37.15625" bestFit="1" customWidth="1"/>
    <col min="12" max="12" width="23.734375" bestFit="1" customWidth="1"/>
    <col min="13" max="13" width="13.62890625" bestFit="1" customWidth="1"/>
    <col min="14" max="14" width="12.26171875" bestFit="1" customWidth="1"/>
    <col min="15" max="15" width="13.578125" style="2" bestFit="1" customWidth="1"/>
    <col min="16" max="16" width="10.1015625" style="10" bestFit="1" customWidth="1"/>
    <col min="17" max="17" width="4.89453125" bestFit="1" customWidth="1"/>
    <col min="18" max="18" width="10.68359375" bestFit="1" customWidth="1"/>
    <col min="19" max="19" width="13.47265625" bestFit="1" customWidth="1"/>
    <col min="20" max="20" width="9.83984375" bestFit="1" customWidth="1"/>
    <col min="21" max="22" width="9.83984375" style="25" bestFit="1" customWidth="1"/>
    <col min="23" max="23" width="10.62890625" bestFit="1" customWidth="1"/>
    <col min="24" max="25" width="10.62890625" style="25" bestFit="1" customWidth="1"/>
    <col min="26" max="26" width="9.5234375" style="1" bestFit="1" customWidth="1"/>
    <col min="27" max="27" width="13.578125" style="1" bestFit="1" customWidth="1"/>
    <col min="28" max="28" width="10.1015625" style="1" bestFit="1" customWidth="1"/>
    <col min="29" max="29" width="8.68359375" bestFit="1" customWidth="1"/>
    <col min="30" max="30" width="10.68359375" bestFit="1" customWidth="1"/>
    <col min="31" max="31" width="13.47265625" bestFit="1" customWidth="1"/>
    <col min="32" max="34" width="9.83984375" bestFit="1" customWidth="1"/>
    <col min="35" max="37" width="10.62890625" bestFit="1" customWidth="1"/>
    <col min="38" max="38" width="9.5234375" bestFit="1" customWidth="1"/>
  </cols>
  <sheetData>
    <row r="1" spans="1:28" x14ac:dyDescent="0.55000000000000004">
      <c r="A1" s="1">
        <v>1</v>
      </c>
      <c r="B1" t="s">
        <v>17</v>
      </c>
      <c r="C1" t="s">
        <v>2475</v>
      </c>
      <c r="D1" t="s">
        <v>133</v>
      </c>
      <c r="E1" t="s">
        <v>0</v>
      </c>
      <c r="F1" t="s">
        <v>4</v>
      </c>
      <c r="G1" t="s">
        <v>2476</v>
      </c>
      <c r="H1" t="s">
        <v>2477</v>
      </c>
      <c r="I1" t="s">
        <v>2478</v>
      </c>
      <c r="J1" t="s">
        <v>886</v>
      </c>
      <c r="K1" t="s">
        <v>46</v>
      </c>
      <c r="L1" t="s">
        <v>794</v>
      </c>
      <c r="M1" t="s">
        <v>28</v>
      </c>
      <c r="N1" s="1" t="s">
        <v>2458</v>
      </c>
      <c r="O1" s="1" t="s">
        <v>2459</v>
      </c>
      <c r="P1" s="1" t="s">
        <v>2460</v>
      </c>
      <c r="Q1" t="s">
        <v>115</v>
      </c>
      <c r="R1" t="s">
        <v>2461</v>
      </c>
      <c r="S1" t="s">
        <v>2455</v>
      </c>
      <c r="T1" t="s">
        <v>2465</v>
      </c>
      <c r="U1" s="25" t="s">
        <v>2466</v>
      </c>
      <c r="V1" s="25" t="s">
        <v>2467</v>
      </c>
      <c r="W1" t="s">
        <v>2468</v>
      </c>
      <c r="X1" s="25" t="s">
        <v>2469</v>
      </c>
      <c r="Y1" s="25" t="s">
        <v>2470</v>
      </c>
      <c r="Z1" t="s">
        <v>2471</v>
      </c>
      <c r="AA1"/>
      <c r="AB1"/>
    </row>
    <row r="2" spans="1:28" x14ac:dyDescent="0.55000000000000004">
      <c r="A2" s="1">
        <f>A1+1</f>
        <v>2</v>
      </c>
      <c r="B2" t="s">
        <v>38</v>
      </c>
      <c r="C2" t="s">
        <v>196</v>
      </c>
      <c r="D2" t="s">
        <v>174</v>
      </c>
      <c r="E2" t="s">
        <v>1339</v>
      </c>
      <c r="F2" t="s">
        <v>1073</v>
      </c>
      <c r="G2" t="s">
        <v>929</v>
      </c>
      <c r="H2" t="s">
        <v>1340</v>
      </c>
      <c r="I2" t="s">
        <v>924</v>
      </c>
      <c r="J2" t="s">
        <v>1341</v>
      </c>
      <c r="K2" t="s">
        <v>932</v>
      </c>
      <c r="L2" t="s">
        <v>984</v>
      </c>
      <c r="M2" t="s">
        <v>28</v>
      </c>
      <c r="N2" s="1">
        <f>VALUE(LEFT(H2,1))</f>
        <v>2</v>
      </c>
      <c r="O2" s="1">
        <f>VALUE(RIGHT(H2,1))</f>
        <v>5</v>
      </c>
      <c r="P2" s="1">
        <f t="shared" ref="P2:P65" si="0">SUM(N2,O2)</f>
        <v>7</v>
      </c>
      <c r="Q2" s="1">
        <f t="shared" ref="Q2:Q65" si="1">IF(N2&lt;&gt;O2, 1, 0)</f>
        <v>1</v>
      </c>
      <c r="R2" s="1">
        <f t="shared" ref="R2:R65" si="2">IF(P2&lt;=4,1,0)</f>
        <v>0</v>
      </c>
      <c r="S2" s="1">
        <f t="shared" ref="S2:S65" si="3">IF(AND(Q2=1,R2=1),1,0)</f>
        <v>0</v>
      </c>
      <c r="T2" s="1">
        <f t="shared" ref="T2:T65" si="4">IF(N2&lt;=2,1,0)</f>
        <v>1</v>
      </c>
      <c r="U2" s="26">
        <f t="shared" ref="U2:U65" si="5">IF(AND(N2&gt;=1,N2&lt;=3),1,0)</f>
        <v>1</v>
      </c>
      <c r="V2" s="26">
        <f t="shared" ref="V2:V65" si="6">IF(AND(N2&gt;=2,N2&lt;=5),1,0)</f>
        <v>1</v>
      </c>
      <c r="W2" s="1">
        <f t="shared" ref="W2:W65" si="7">IF(O2&lt;=2,1,0)</f>
        <v>0</v>
      </c>
      <c r="X2" s="26">
        <f t="shared" ref="X2:X65" si="8">IF(AND(O2&gt;=1,O2&lt;=3),1,0)</f>
        <v>0</v>
      </c>
      <c r="Y2" s="26">
        <f t="shared" ref="Y2:Y65" si="9">IF(AND(O2&gt;=2,O2&lt;=5),1,0)</f>
        <v>1</v>
      </c>
      <c r="Z2" s="1">
        <f t="shared" ref="Z2:Z65" si="10">IF(P2&gt;=2,1,0)</f>
        <v>1</v>
      </c>
      <c r="AA2"/>
      <c r="AB2"/>
    </row>
    <row r="3" spans="1:28" x14ac:dyDescent="0.55000000000000004">
      <c r="A3" s="1">
        <f t="shared" ref="A3:A66" si="11">A2+1</f>
        <v>3</v>
      </c>
      <c r="B3" t="s">
        <v>38</v>
      </c>
      <c r="C3" t="s">
        <v>196</v>
      </c>
      <c r="D3" t="s">
        <v>133</v>
      </c>
      <c r="E3" t="s">
        <v>1941</v>
      </c>
      <c r="F3" t="s">
        <v>985</v>
      </c>
      <c r="G3" t="s">
        <v>918</v>
      </c>
      <c r="H3" t="s">
        <v>590</v>
      </c>
      <c r="I3" t="s">
        <v>898</v>
      </c>
      <c r="J3" t="s">
        <v>1942</v>
      </c>
      <c r="K3" t="s">
        <v>921</v>
      </c>
      <c r="L3" t="s">
        <v>944</v>
      </c>
      <c r="M3" t="s">
        <v>28</v>
      </c>
      <c r="N3" s="1">
        <f t="shared" ref="N3:N66" si="12">VALUE(LEFT(H3,1))</f>
        <v>0</v>
      </c>
      <c r="O3" s="1">
        <f t="shared" ref="O3:O66" si="13">VALUE(RIGHT(H3,1))</f>
        <v>1</v>
      </c>
      <c r="P3" s="1">
        <f t="shared" ref="P3:P66" si="14">SUM(N3,O3)</f>
        <v>1</v>
      </c>
      <c r="Q3" s="1">
        <f t="shared" ref="Q3:Q66" si="15">IF(N3&lt;&gt;O3, 1, 0)</f>
        <v>1</v>
      </c>
      <c r="R3" s="1">
        <f t="shared" ref="R3:R66" si="16">IF(P3&lt;=4,1,0)</f>
        <v>1</v>
      </c>
      <c r="S3" s="1">
        <f t="shared" ref="S3:S66" si="17">IF(AND(Q3=1,R3=1),1,0)</f>
        <v>1</v>
      </c>
      <c r="T3" s="1">
        <f t="shared" ref="T3:T66" si="18">IF(N3&lt;=2,1,0)</f>
        <v>1</v>
      </c>
      <c r="U3" s="26">
        <f t="shared" ref="U3:U66" si="19">IF(AND(N3&gt;=1,N3&lt;=3),1,0)</f>
        <v>0</v>
      </c>
      <c r="V3" s="26">
        <f t="shared" ref="V3:V66" si="20">IF(AND(N3&gt;=2,N3&lt;=5),1,0)</f>
        <v>0</v>
      </c>
      <c r="W3" s="1">
        <f t="shared" ref="W3:W66" si="21">IF(O3&lt;=2,1,0)</f>
        <v>1</v>
      </c>
      <c r="X3" s="26">
        <f t="shared" ref="X3:X66" si="22">IF(AND(O3&gt;=1,O3&lt;=3),1,0)</f>
        <v>1</v>
      </c>
      <c r="Y3" s="26">
        <f t="shared" ref="Y3:Y66" si="23">IF(AND(O3&gt;=2,O3&lt;=5),1,0)</f>
        <v>0</v>
      </c>
      <c r="Z3" s="1">
        <f t="shared" ref="Z3:Z66" si="24">IF(P3&gt;=2,1,0)</f>
        <v>0</v>
      </c>
      <c r="AA3"/>
      <c r="AB3"/>
    </row>
    <row r="4" spans="1:28" x14ac:dyDescent="0.55000000000000004">
      <c r="A4" s="1">
        <f t="shared" si="11"/>
        <v>4</v>
      </c>
      <c r="B4" t="s">
        <v>38</v>
      </c>
      <c r="C4" t="s">
        <v>196</v>
      </c>
      <c r="D4" t="s">
        <v>133</v>
      </c>
      <c r="E4" t="s">
        <v>1941</v>
      </c>
      <c r="F4" t="s">
        <v>985</v>
      </c>
      <c r="G4" t="s">
        <v>981</v>
      </c>
      <c r="H4" t="s">
        <v>608</v>
      </c>
      <c r="I4" t="s">
        <v>909</v>
      </c>
      <c r="J4" t="s">
        <v>1943</v>
      </c>
      <c r="K4" t="s">
        <v>1086</v>
      </c>
      <c r="L4" t="s">
        <v>1095</v>
      </c>
      <c r="M4" t="s">
        <v>28</v>
      </c>
      <c r="N4" s="1">
        <f t="shared" si="12"/>
        <v>1</v>
      </c>
      <c r="O4" s="1">
        <f t="shared" si="13"/>
        <v>1</v>
      </c>
      <c r="P4" s="1">
        <f t="shared" si="14"/>
        <v>2</v>
      </c>
      <c r="Q4" s="1">
        <f t="shared" si="15"/>
        <v>0</v>
      </c>
      <c r="R4" s="1">
        <f t="shared" si="16"/>
        <v>1</v>
      </c>
      <c r="S4" s="1">
        <f t="shared" si="17"/>
        <v>0</v>
      </c>
      <c r="T4" s="1">
        <f t="shared" si="18"/>
        <v>1</v>
      </c>
      <c r="U4" s="26">
        <f t="shared" si="19"/>
        <v>1</v>
      </c>
      <c r="V4" s="26">
        <f t="shared" si="20"/>
        <v>0</v>
      </c>
      <c r="W4" s="1">
        <f t="shared" si="21"/>
        <v>1</v>
      </c>
      <c r="X4" s="26">
        <f t="shared" si="22"/>
        <v>1</v>
      </c>
      <c r="Y4" s="26">
        <f t="shared" si="23"/>
        <v>0</v>
      </c>
      <c r="Z4" s="1">
        <f t="shared" si="24"/>
        <v>1</v>
      </c>
      <c r="AA4"/>
      <c r="AB4"/>
    </row>
    <row r="5" spans="1:28" x14ac:dyDescent="0.55000000000000004">
      <c r="A5" s="1">
        <f t="shared" si="11"/>
        <v>5</v>
      </c>
      <c r="B5" t="s">
        <v>38</v>
      </c>
      <c r="C5" t="s">
        <v>196</v>
      </c>
      <c r="D5" t="s">
        <v>133</v>
      </c>
      <c r="E5" t="s">
        <v>1941</v>
      </c>
      <c r="F5" t="s">
        <v>985</v>
      </c>
      <c r="G5" t="s">
        <v>945</v>
      </c>
      <c r="H5" t="s">
        <v>708</v>
      </c>
      <c r="I5" t="s">
        <v>940</v>
      </c>
      <c r="J5" t="s">
        <v>1944</v>
      </c>
      <c r="K5" t="s">
        <v>947</v>
      </c>
      <c r="L5" t="s">
        <v>1087</v>
      </c>
      <c r="M5" t="s">
        <v>28</v>
      </c>
      <c r="N5" s="1">
        <f t="shared" si="12"/>
        <v>0</v>
      </c>
      <c r="O5" s="1">
        <f t="shared" si="13"/>
        <v>0</v>
      </c>
      <c r="P5" s="1">
        <f t="shared" si="14"/>
        <v>0</v>
      </c>
      <c r="Q5" s="1">
        <f t="shared" si="15"/>
        <v>0</v>
      </c>
      <c r="R5" s="1">
        <f t="shared" si="16"/>
        <v>1</v>
      </c>
      <c r="S5" s="1">
        <f t="shared" si="17"/>
        <v>0</v>
      </c>
      <c r="T5" s="1">
        <f t="shared" si="18"/>
        <v>1</v>
      </c>
      <c r="U5" s="26">
        <f t="shared" si="19"/>
        <v>0</v>
      </c>
      <c r="V5" s="26">
        <f t="shared" si="20"/>
        <v>0</v>
      </c>
      <c r="W5" s="1">
        <f t="shared" si="21"/>
        <v>1</v>
      </c>
      <c r="X5" s="26">
        <f t="shared" si="22"/>
        <v>0</v>
      </c>
      <c r="Y5" s="26">
        <f t="shared" si="23"/>
        <v>0</v>
      </c>
      <c r="Z5" s="1">
        <f t="shared" si="24"/>
        <v>0</v>
      </c>
      <c r="AA5"/>
      <c r="AB5"/>
    </row>
    <row r="6" spans="1:28" x14ac:dyDescent="0.55000000000000004">
      <c r="A6" s="1">
        <f t="shared" si="11"/>
        <v>6</v>
      </c>
      <c r="B6" t="s">
        <v>38</v>
      </c>
      <c r="C6" t="s">
        <v>196</v>
      </c>
      <c r="D6" t="s">
        <v>133</v>
      </c>
      <c r="E6" t="s">
        <v>1941</v>
      </c>
      <c r="F6" t="s">
        <v>985</v>
      </c>
      <c r="G6" t="s">
        <v>935</v>
      </c>
      <c r="H6" t="s">
        <v>590</v>
      </c>
      <c r="I6" t="s">
        <v>904</v>
      </c>
      <c r="J6" t="s">
        <v>1945</v>
      </c>
      <c r="K6" t="s">
        <v>949</v>
      </c>
      <c r="L6" t="s">
        <v>928</v>
      </c>
      <c r="M6" t="s">
        <v>28</v>
      </c>
      <c r="N6" s="1">
        <f t="shared" si="12"/>
        <v>0</v>
      </c>
      <c r="O6" s="1">
        <f t="shared" si="13"/>
        <v>1</v>
      </c>
      <c r="P6" s="1">
        <f t="shared" si="14"/>
        <v>1</v>
      </c>
      <c r="Q6" s="1">
        <f t="shared" si="15"/>
        <v>1</v>
      </c>
      <c r="R6" s="1">
        <f t="shared" si="16"/>
        <v>1</v>
      </c>
      <c r="S6" s="1">
        <f t="shared" si="17"/>
        <v>1</v>
      </c>
      <c r="T6" s="1">
        <f t="shared" si="18"/>
        <v>1</v>
      </c>
      <c r="U6" s="26">
        <f t="shared" si="19"/>
        <v>0</v>
      </c>
      <c r="V6" s="26">
        <f t="shared" si="20"/>
        <v>0</v>
      </c>
      <c r="W6" s="1">
        <f t="shared" si="21"/>
        <v>1</v>
      </c>
      <c r="X6" s="26">
        <f t="shared" si="22"/>
        <v>1</v>
      </c>
      <c r="Y6" s="26">
        <f t="shared" si="23"/>
        <v>0</v>
      </c>
      <c r="Z6" s="1">
        <f t="shared" si="24"/>
        <v>0</v>
      </c>
      <c r="AA6"/>
      <c r="AB6"/>
    </row>
    <row r="7" spans="1:28" x14ac:dyDescent="0.55000000000000004">
      <c r="A7" s="1">
        <f t="shared" si="11"/>
        <v>7</v>
      </c>
      <c r="B7" t="s">
        <v>38</v>
      </c>
      <c r="C7" t="s">
        <v>196</v>
      </c>
      <c r="D7" t="s">
        <v>133</v>
      </c>
      <c r="E7" t="s">
        <v>1941</v>
      </c>
      <c r="F7" t="s">
        <v>985</v>
      </c>
      <c r="G7" t="s">
        <v>913</v>
      </c>
      <c r="H7" t="s">
        <v>573</v>
      </c>
      <c r="I7" t="s">
        <v>930</v>
      </c>
      <c r="J7" t="s">
        <v>1946</v>
      </c>
      <c r="K7" t="s">
        <v>916</v>
      </c>
      <c r="L7" t="s">
        <v>1078</v>
      </c>
      <c r="M7" t="s">
        <v>28</v>
      </c>
      <c r="N7" s="1">
        <f t="shared" si="12"/>
        <v>2</v>
      </c>
      <c r="O7" s="1">
        <f t="shared" si="13"/>
        <v>0</v>
      </c>
      <c r="P7" s="1">
        <f t="shared" si="14"/>
        <v>2</v>
      </c>
      <c r="Q7" s="1">
        <f t="shared" si="15"/>
        <v>1</v>
      </c>
      <c r="R7" s="1">
        <f t="shared" si="16"/>
        <v>1</v>
      </c>
      <c r="S7" s="1">
        <f t="shared" si="17"/>
        <v>1</v>
      </c>
      <c r="T7" s="1">
        <f t="shared" si="18"/>
        <v>1</v>
      </c>
      <c r="U7" s="26">
        <f t="shared" si="19"/>
        <v>1</v>
      </c>
      <c r="V7" s="26">
        <f t="shared" si="20"/>
        <v>1</v>
      </c>
      <c r="W7" s="1">
        <f t="shared" si="21"/>
        <v>1</v>
      </c>
      <c r="X7" s="26">
        <f t="shared" si="22"/>
        <v>0</v>
      </c>
      <c r="Y7" s="26">
        <f t="shared" si="23"/>
        <v>0</v>
      </c>
      <c r="Z7" s="1">
        <f t="shared" si="24"/>
        <v>1</v>
      </c>
      <c r="AA7"/>
      <c r="AB7"/>
    </row>
    <row r="8" spans="1:28" x14ac:dyDescent="0.55000000000000004">
      <c r="A8" s="1">
        <f t="shared" si="11"/>
        <v>8</v>
      </c>
      <c r="B8" t="s">
        <v>38</v>
      </c>
      <c r="C8" t="s">
        <v>196</v>
      </c>
      <c r="D8" t="s">
        <v>133</v>
      </c>
      <c r="E8" t="s">
        <v>1941</v>
      </c>
      <c r="F8" t="s">
        <v>1565</v>
      </c>
      <c r="G8" t="s">
        <v>979</v>
      </c>
      <c r="H8" t="s">
        <v>687</v>
      </c>
      <c r="I8" t="s">
        <v>903</v>
      </c>
      <c r="J8" t="s">
        <v>1947</v>
      </c>
      <c r="K8" t="s">
        <v>1102</v>
      </c>
      <c r="L8" t="s">
        <v>974</v>
      </c>
      <c r="M8" t="s">
        <v>28</v>
      </c>
      <c r="N8" s="1">
        <f t="shared" si="12"/>
        <v>4</v>
      </c>
      <c r="O8" s="1">
        <f t="shared" si="13"/>
        <v>0</v>
      </c>
      <c r="P8" s="1">
        <f t="shared" si="14"/>
        <v>4</v>
      </c>
      <c r="Q8" s="1">
        <f t="shared" si="15"/>
        <v>1</v>
      </c>
      <c r="R8" s="1">
        <f t="shared" si="16"/>
        <v>1</v>
      </c>
      <c r="S8" s="1">
        <f t="shared" si="17"/>
        <v>1</v>
      </c>
      <c r="T8" s="1">
        <f t="shared" si="18"/>
        <v>0</v>
      </c>
      <c r="U8" s="26">
        <f t="shared" si="19"/>
        <v>0</v>
      </c>
      <c r="V8" s="26">
        <f t="shared" si="20"/>
        <v>1</v>
      </c>
      <c r="W8" s="1">
        <f t="shared" si="21"/>
        <v>1</v>
      </c>
      <c r="X8" s="26">
        <f t="shared" si="22"/>
        <v>0</v>
      </c>
      <c r="Y8" s="26">
        <f t="shared" si="23"/>
        <v>0</v>
      </c>
      <c r="Z8" s="1">
        <f t="shared" si="24"/>
        <v>1</v>
      </c>
      <c r="AA8"/>
      <c r="AB8"/>
    </row>
    <row r="9" spans="1:28" x14ac:dyDescent="0.55000000000000004">
      <c r="A9" s="1">
        <f t="shared" si="11"/>
        <v>9</v>
      </c>
      <c r="B9" t="s">
        <v>38</v>
      </c>
      <c r="C9" t="s">
        <v>196</v>
      </c>
      <c r="D9" t="s">
        <v>133</v>
      </c>
      <c r="E9" t="s">
        <v>1941</v>
      </c>
      <c r="F9" t="s">
        <v>1565</v>
      </c>
      <c r="G9" t="s">
        <v>934</v>
      </c>
      <c r="H9" t="s">
        <v>575</v>
      </c>
      <c r="I9" t="s">
        <v>919</v>
      </c>
      <c r="J9" t="s">
        <v>1948</v>
      </c>
      <c r="K9" t="s">
        <v>937</v>
      </c>
      <c r="L9" t="s">
        <v>907</v>
      </c>
      <c r="M9" t="s">
        <v>28</v>
      </c>
      <c r="N9" s="1">
        <f t="shared" si="12"/>
        <v>1</v>
      </c>
      <c r="O9" s="1">
        <f t="shared" si="13"/>
        <v>0</v>
      </c>
      <c r="P9" s="1">
        <f t="shared" si="14"/>
        <v>1</v>
      </c>
      <c r="Q9" s="1">
        <f t="shared" si="15"/>
        <v>1</v>
      </c>
      <c r="R9" s="1">
        <f t="shared" si="16"/>
        <v>1</v>
      </c>
      <c r="S9" s="1">
        <f t="shared" si="17"/>
        <v>1</v>
      </c>
      <c r="T9" s="1">
        <f t="shared" si="18"/>
        <v>1</v>
      </c>
      <c r="U9" s="26">
        <f t="shared" si="19"/>
        <v>1</v>
      </c>
      <c r="V9" s="26">
        <f t="shared" si="20"/>
        <v>0</v>
      </c>
      <c r="W9" s="1">
        <f t="shared" si="21"/>
        <v>1</v>
      </c>
      <c r="X9" s="26">
        <f t="shared" si="22"/>
        <v>0</v>
      </c>
      <c r="Y9" s="26">
        <f t="shared" si="23"/>
        <v>0</v>
      </c>
      <c r="Z9" s="1">
        <f t="shared" si="24"/>
        <v>0</v>
      </c>
      <c r="AA9"/>
      <c r="AB9"/>
    </row>
    <row r="10" spans="1:28" x14ac:dyDescent="0.55000000000000004">
      <c r="A10" s="1">
        <f t="shared" si="11"/>
        <v>10</v>
      </c>
      <c r="B10" t="s">
        <v>38</v>
      </c>
      <c r="C10" t="s">
        <v>196</v>
      </c>
      <c r="D10" t="s">
        <v>42</v>
      </c>
      <c r="E10" t="s">
        <v>1552</v>
      </c>
      <c r="F10" t="s">
        <v>985</v>
      </c>
      <c r="G10" t="s">
        <v>914</v>
      </c>
      <c r="H10" t="s">
        <v>590</v>
      </c>
      <c r="I10" t="s">
        <v>899</v>
      </c>
      <c r="J10" t="s">
        <v>1553</v>
      </c>
      <c r="K10" t="s">
        <v>1346</v>
      </c>
      <c r="L10" t="s">
        <v>1122</v>
      </c>
      <c r="M10" t="s">
        <v>28</v>
      </c>
      <c r="N10" s="1">
        <f t="shared" si="12"/>
        <v>0</v>
      </c>
      <c r="O10" s="1">
        <f t="shared" si="13"/>
        <v>1</v>
      </c>
      <c r="P10" s="1">
        <f t="shared" si="14"/>
        <v>1</v>
      </c>
      <c r="Q10" s="1">
        <f t="shared" si="15"/>
        <v>1</v>
      </c>
      <c r="R10" s="1">
        <f t="shared" si="16"/>
        <v>1</v>
      </c>
      <c r="S10" s="1">
        <f t="shared" si="17"/>
        <v>1</v>
      </c>
      <c r="T10" s="1">
        <f t="shared" si="18"/>
        <v>1</v>
      </c>
      <c r="U10" s="26">
        <f t="shared" si="19"/>
        <v>0</v>
      </c>
      <c r="V10" s="26">
        <f t="shared" si="20"/>
        <v>0</v>
      </c>
      <c r="W10" s="1">
        <f t="shared" si="21"/>
        <v>1</v>
      </c>
      <c r="X10" s="26">
        <f t="shared" si="22"/>
        <v>1</v>
      </c>
      <c r="Y10" s="26">
        <f t="shared" si="23"/>
        <v>0</v>
      </c>
      <c r="Z10" s="1">
        <f t="shared" si="24"/>
        <v>0</v>
      </c>
      <c r="AA10"/>
      <c r="AB10"/>
    </row>
    <row r="11" spans="1:28" x14ac:dyDescent="0.55000000000000004">
      <c r="A11" s="1">
        <f t="shared" si="11"/>
        <v>11</v>
      </c>
      <c r="B11" t="s">
        <v>38</v>
      </c>
      <c r="C11" t="s">
        <v>196</v>
      </c>
      <c r="D11" t="s">
        <v>42</v>
      </c>
      <c r="E11" t="s">
        <v>1552</v>
      </c>
      <c r="F11" t="s">
        <v>985</v>
      </c>
      <c r="G11" t="s">
        <v>925</v>
      </c>
      <c r="H11" t="s">
        <v>581</v>
      </c>
      <c r="I11" t="s">
        <v>908</v>
      </c>
      <c r="J11" t="s">
        <v>1554</v>
      </c>
      <c r="K11" t="s">
        <v>1082</v>
      </c>
      <c r="L11" t="s">
        <v>933</v>
      </c>
      <c r="M11" t="s">
        <v>28</v>
      </c>
      <c r="N11" s="1">
        <f t="shared" si="12"/>
        <v>1</v>
      </c>
      <c r="O11" s="1">
        <f t="shared" si="13"/>
        <v>2</v>
      </c>
      <c r="P11" s="1">
        <f t="shared" si="14"/>
        <v>3</v>
      </c>
      <c r="Q11" s="1">
        <f t="shared" si="15"/>
        <v>1</v>
      </c>
      <c r="R11" s="1">
        <f t="shared" si="16"/>
        <v>1</v>
      </c>
      <c r="S11" s="1">
        <f t="shared" si="17"/>
        <v>1</v>
      </c>
      <c r="T11" s="1">
        <f t="shared" si="18"/>
        <v>1</v>
      </c>
      <c r="U11" s="26">
        <f t="shared" si="19"/>
        <v>1</v>
      </c>
      <c r="V11" s="26">
        <f t="shared" si="20"/>
        <v>0</v>
      </c>
      <c r="W11" s="1">
        <f t="shared" si="21"/>
        <v>1</v>
      </c>
      <c r="X11" s="26">
        <f t="shared" si="22"/>
        <v>1</v>
      </c>
      <c r="Y11" s="26">
        <f t="shared" si="23"/>
        <v>1</v>
      </c>
      <c r="Z11" s="1">
        <f t="shared" si="24"/>
        <v>1</v>
      </c>
      <c r="AA11"/>
      <c r="AB11"/>
    </row>
    <row r="12" spans="1:28" x14ac:dyDescent="0.55000000000000004">
      <c r="A12" s="1">
        <f t="shared" si="11"/>
        <v>12</v>
      </c>
      <c r="B12" t="s">
        <v>38</v>
      </c>
      <c r="C12" t="s">
        <v>197</v>
      </c>
      <c r="D12" t="s">
        <v>133</v>
      </c>
      <c r="E12" t="s">
        <v>1949</v>
      </c>
      <c r="F12" t="s">
        <v>985</v>
      </c>
      <c r="G12" t="s">
        <v>899</v>
      </c>
      <c r="H12" t="s">
        <v>573</v>
      </c>
      <c r="I12" t="s">
        <v>909</v>
      </c>
      <c r="J12" t="s">
        <v>1950</v>
      </c>
      <c r="K12" t="s">
        <v>973</v>
      </c>
      <c r="L12" t="s">
        <v>974</v>
      </c>
      <c r="M12" t="s">
        <v>28</v>
      </c>
      <c r="N12" s="1">
        <f t="shared" si="12"/>
        <v>2</v>
      </c>
      <c r="O12" s="1">
        <f t="shared" si="13"/>
        <v>0</v>
      </c>
      <c r="P12" s="1">
        <f t="shared" si="14"/>
        <v>2</v>
      </c>
      <c r="Q12" s="1">
        <f t="shared" si="15"/>
        <v>1</v>
      </c>
      <c r="R12" s="1">
        <f t="shared" si="16"/>
        <v>1</v>
      </c>
      <c r="S12" s="1">
        <f t="shared" si="17"/>
        <v>1</v>
      </c>
      <c r="T12" s="1">
        <f t="shared" si="18"/>
        <v>1</v>
      </c>
      <c r="U12" s="26">
        <f t="shared" si="19"/>
        <v>1</v>
      </c>
      <c r="V12" s="26">
        <f t="shared" si="20"/>
        <v>1</v>
      </c>
      <c r="W12" s="1">
        <f t="shared" si="21"/>
        <v>1</v>
      </c>
      <c r="X12" s="26">
        <f t="shared" si="22"/>
        <v>0</v>
      </c>
      <c r="Y12" s="26">
        <f t="shared" si="23"/>
        <v>0</v>
      </c>
      <c r="Z12" s="1">
        <f t="shared" si="24"/>
        <v>1</v>
      </c>
      <c r="AA12"/>
      <c r="AB12"/>
    </row>
    <row r="13" spans="1:28" x14ac:dyDescent="0.55000000000000004">
      <c r="A13" s="1">
        <f t="shared" si="11"/>
        <v>13</v>
      </c>
      <c r="B13" t="s">
        <v>38</v>
      </c>
      <c r="C13" t="s">
        <v>197</v>
      </c>
      <c r="D13" t="s">
        <v>133</v>
      </c>
      <c r="E13" t="s">
        <v>1949</v>
      </c>
      <c r="F13" t="s">
        <v>985</v>
      </c>
      <c r="G13" t="s">
        <v>903</v>
      </c>
      <c r="H13" t="s">
        <v>664</v>
      </c>
      <c r="I13" t="s">
        <v>945</v>
      </c>
      <c r="J13" t="s">
        <v>1951</v>
      </c>
      <c r="K13" t="s">
        <v>906</v>
      </c>
      <c r="L13" t="s">
        <v>984</v>
      </c>
      <c r="M13" t="s">
        <v>28</v>
      </c>
      <c r="N13" s="1">
        <f t="shared" si="12"/>
        <v>2</v>
      </c>
      <c r="O13" s="1">
        <f t="shared" si="13"/>
        <v>2</v>
      </c>
      <c r="P13" s="1">
        <f t="shared" si="14"/>
        <v>4</v>
      </c>
      <c r="Q13" s="1">
        <f t="shared" si="15"/>
        <v>0</v>
      </c>
      <c r="R13" s="1">
        <f t="shared" si="16"/>
        <v>1</v>
      </c>
      <c r="S13" s="1">
        <f t="shared" si="17"/>
        <v>0</v>
      </c>
      <c r="T13" s="1">
        <f t="shared" si="18"/>
        <v>1</v>
      </c>
      <c r="U13" s="26">
        <f t="shared" si="19"/>
        <v>1</v>
      </c>
      <c r="V13" s="26">
        <f t="shared" si="20"/>
        <v>1</v>
      </c>
      <c r="W13" s="1">
        <f t="shared" si="21"/>
        <v>1</v>
      </c>
      <c r="X13" s="26">
        <f t="shared" si="22"/>
        <v>1</v>
      </c>
      <c r="Y13" s="26">
        <f t="shared" si="23"/>
        <v>1</v>
      </c>
      <c r="Z13" s="1">
        <f t="shared" si="24"/>
        <v>1</v>
      </c>
      <c r="AA13"/>
      <c r="AB13"/>
    </row>
    <row r="14" spans="1:28" x14ac:dyDescent="0.55000000000000004">
      <c r="A14" s="1">
        <f t="shared" si="11"/>
        <v>14</v>
      </c>
      <c r="B14" t="s">
        <v>38</v>
      </c>
      <c r="C14" t="s">
        <v>197</v>
      </c>
      <c r="D14" t="s">
        <v>133</v>
      </c>
      <c r="E14" t="s">
        <v>1949</v>
      </c>
      <c r="F14" t="s">
        <v>985</v>
      </c>
      <c r="G14" t="s">
        <v>930</v>
      </c>
      <c r="H14" t="s">
        <v>608</v>
      </c>
      <c r="I14" t="s">
        <v>940</v>
      </c>
      <c r="J14" t="s">
        <v>1952</v>
      </c>
      <c r="K14" t="s">
        <v>976</v>
      </c>
      <c r="L14" t="s">
        <v>1106</v>
      </c>
      <c r="M14" t="s">
        <v>28</v>
      </c>
      <c r="N14" s="1">
        <f t="shared" si="12"/>
        <v>1</v>
      </c>
      <c r="O14" s="1">
        <f t="shared" si="13"/>
        <v>1</v>
      </c>
      <c r="P14" s="1">
        <f t="shared" si="14"/>
        <v>2</v>
      </c>
      <c r="Q14" s="1">
        <f t="shared" si="15"/>
        <v>0</v>
      </c>
      <c r="R14" s="1">
        <f t="shared" si="16"/>
        <v>1</v>
      </c>
      <c r="S14" s="1">
        <f t="shared" si="17"/>
        <v>0</v>
      </c>
      <c r="T14" s="1">
        <f t="shared" si="18"/>
        <v>1</v>
      </c>
      <c r="U14" s="26">
        <f t="shared" si="19"/>
        <v>1</v>
      </c>
      <c r="V14" s="26">
        <f t="shared" si="20"/>
        <v>0</v>
      </c>
      <c r="W14" s="1">
        <f t="shared" si="21"/>
        <v>1</v>
      </c>
      <c r="X14" s="26">
        <f t="shared" si="22"/>
        <v>1</v>
      </c>
      <c r="Y14" s="26">
        <f t="shared" si="23"/>
        <v>0</v>
      </c>
      <c r="Z14" s="1">
        <f t="shared" si="24"/>
        <v>1</v>
      </c>
      <c r="AA14"/>
      <c r="AB14"/>
    </row>
    <row r="15" spans="1:28" x14ac:dyDescent="0.55000000000000004">
      <c r="A15" s="1">
        <f t="shared" si="11"/>
        <v>15</v>
      </c>
      <c r="B15" t="s">
        <v>38</v>
      </c>
      <c r="C15" t="s">
        <v>197</v>
      </c>
      <c r="D15" t="s">
        <v>133</v>
      </c>
      <c r="E15" t="s">
        <v>1949</v>
      </c>
      <c r="F15" t="s">
        <v>985</v>
      </c>
      <c r="G15" t="s">
        <v>904</v>
      </c>
      <c r="H15" t="s">
        <v>608</v>
      </c>
      <c r="I15" t="s">
        <v>979</v>
      </c>
      <c r="J15" t="s">
        <v>1953</v>
      </c>
      <c r="K15" t="s">
        <v>952</v>
      </c>
      <c r="L15" t="s">
        <v>1095</v>
      </c>
      <c r="M15" t="s">
        <v>28</v>
      </c>
      <c r="N15" s="1">
        <f t="shared" si="12"/>
        <v>1</v>
      </c>
      <c r="O15" s="1">
        <f t="shared" si="13"/>
        <v>1</v>
      </c>
      <c r="P15" s="1">
        <f t="shared" si="14"/>
        <v>2</v>
      </c>
      <c r="Q15" s="1">
        <f t="shared" si="15"/>
        <v>0</v>
      </c>
      <c r="R15" s="1">
        <f t="shared" si="16"/>
        <v>1</v>
      </c>
      <c r="S15" s="1">
        <f t="shared" si="17"/>
        <v>0</v>
      </c>
      <c r="T15" s="1">
        <f t="shared" si="18"/>
        <v>1</v>
      </c>
      <c r="U15" s="26">
        <f t="shared" si="19"/>
        <v>1</v>
      </c>
      <c r="V15" s="26">
        <f t="shared" si="20"/>
        <v>0</v>
      </c>
      <c r="W15" s="1">
        <f t="shared" si="21"/>
        <v>1</v>
      </c>
      <c r="X15" s="26">
        <f t="shared" si="22"/>
        <v>1</v>
      </c>
      <c r="Y15" s="26">
        <f t="shared" si="23"/>
        <v>0</v>
      </c>
      <c r="Z15" s="1">
        <f t="shared" si="24"/>
        <v>1</v>
      </c>
      <c r="AA15"/>
      <c r="AB15"/>
    </row>
    <row r="16" spans="1:28" x14ac:dyDescent="0.55000000000000004">
      <c r="A16" s="1">
        <f t="shared" si="11"/>
        <v>16</v>
      </c>
      <c r="B16" t="s">
        <v>38</v>
      </c>
      <c r="C16" t="s">
        <v>197</v>
      </c>
      <c r="D16" t="s">
        <v>133</v>
      </c>
      <c r="E16" t="s">
        <v>1949</v>
      </c>
      <c r="F16" t="s">
        <v>985</v>
      </c>
      <c r="G16" t="s">
        <v>918</v>
      </c>
      <c r="H16" t="s">
        <v>575</v>
      </c>
      <c r="I16" t="s">
        <v>913</v>
      </c>
      <c r="J16" t="s">
        <v>1954</v>
      </c>
      <c r="K16" t="s">
        <v>921</v>
      </c>
      <c r="L16" t="s">
        <v>933</v>
      </c>
      <c r="M16" t="s">
        <v>28</v>
      </c>
      <c r="N16" s="1">
        <f t="shared" si="12"/>
        <v>1</v>
      </c>
      <c r="O16" s="1">
        <f t="shared" si="13"/>
        <v>0</v>
      </c>
      <c r="P16" s="1">
        <f t="shared" si="14"/>
        <v>1</v>
      </c>
      <c r="Q16" s="1">
        <f t="shared" si="15"/>
        <v>1</v>
      </c>
      <c r="R16" s="1">
        <f t="shared" si="16"/>
        <v>1</v>
      </c>
      <c r="S16" s="1">
        <f t="shared" si="17"/>
        <v>1</v>
      </c>
      <c r="T16" s="1">
        <f t="shared" si="18"/>
        <v>1</v>
      </c>
      <c r="U16" s="26">
        <f t="shared" si="19"/>
        <v>1</v>
      </c>
      <c r="V16" s="26">
        <f t="shared" si="20"/>
        <v>0</v>
      </c>
      <c r="W16" s="1">
        <f t="shared" si="21"/>
        <v>1</v>
      </c>
      <c r="X16" s="26">
        <f t="shared" si="22"/>
        <v>0</v>
      </c>
      <c r="Y16" s="26">
        <f t="shared" si="23"/>
        <v>0</v>
      </c>
      <c r="Z16" s="1">
        <f t="shared" si="24"/>
        <v>0</v>
      </c>
      <c r="AA16"/>
      <c r="AB16"/>
    </row>
    <row r="17" spans="1:28" x14ac:dyDescent="0.55000000000000004">
      <c r="A17" s="1">
        <f t="shared" si="11"/>
        <v>17</v>
      </c>
      <c r="B17" t="s">
        <v>38</v>
      </c>
      <c r="C17" t="s">
        <v>197</v>
      </c>
      <c r="D17" t="s">
        <v>133</v>
      </c>
      <c r="E17" t="s">
        <v>1949</v>
      </c>
      <c r="F17" t="s">
        <v>1565</v>
      </c>
      <c r="G17" t="s">
        <v>919</v>
      </c>
      <c r="H17" t="s">
        <v>687</v>
      </c>
      <c r="I17" t="s">
        <v>914</v>
      </c>
      <c r="J17" t="s">
        <v>1955</v>
      </c>
      <c r="K17" t="s">
        <v>968</v>
      </c>
      <c r="L17" t="s">
        <v>960</v>
      </c>
      <c r="M17" t="s">
        <v>28</v>
      </c>
      <c r="N17" s="1">
        <f t="shared" si="12"/>
        <v>4</v>
      </c>
      <c r="O17" s="1">
        <f t="shared" si="13"/>
        <v>0</v>
      </c>
      <c r="P17" s="1">
        <f t="shared" si="14"/>
        <v>4</v>
      </c>
      <c r="Q17" s="1">
        <f t="shared" si="15"/>
        <v>1</v>
      </c>
      <c r="R17" s="1">
        <f t="shared" si="16"/>
        <v>1</v>
      </c>
      <c r="S17" s="1">
        <f t="shared" si="17"/>
        <v>1</v>
      </c>
      <c r="T17" s="1">
        <f t="shared" si="18"/>
        <v>0</v>
      </c>
      <c r="U17" s="26">
        <f t="shared" si="19"/>
        <v>0</v>
      </c>
      <c r="V17" s="26">
        <f t="shared" si="20"/>
        <v>1</v>
      </c>
      <c r="W17" s="1">
        <f t="shared" si="21"/>
        <v>1</v>
      </c>
      <c r="X17" s="26">
        <f t="shared" si="22"/>
        <v>0</v>
      </c>
      <c r="Y17" s="26">
        <f t="shared" si="23"/>
        <v>0</v>
      </c>
      <c r="Z17" s="1">
        <f t="shared" si="24"/>
        <v>1</v>
      </c>
      <c r="AA17"/>
      <c r="AB17"/>
    </row>
    <row r="18" spans="1:28" x14ac:dyDescent="0.55000000000000004">
      <c r="A18" s="1">
        <f t="shared" si="11"/>
        <v>18</v>
      </c>
      <c r="B18" t="s">
        <v>38</v>
      </c>
      <c r="C18" t="s">
        <v>197</v>
      </c>
      <c r="D18" t="s">
        <v>133</v>
      </c>
      <c r="E18" t="s">
        <v>1949</v>
      </c>
      <c r="F18" t="s">
        <v>1565</v>
      </c>
      <c r="G18" t="s">
        <v>898</v>
      </c>
      <c r="H18" t="s">
        <v>590</v>
      </c>
      <c r="I18" t="s">
        <v>925</v>
      </c>
      <c r="J18" t="s">
        <v>1956</v>
      </c>
      <c r="K18" t="s">
        <v>901</v>
      </c>
      <c r="L18" t="s">
        <v>1122</v>
      </c>
      <c r="M18" t="s">
        <v>28</v>
      </c>
      <c r="N18" s="1">
        <f t="shared" si="12"/>
        <v>0</v>
      </c>
      <c r="O18" s="1">
        <f t="shared" si="13"/>
        <v>1</v>
      </c>
      <c r="P18" s="1">
        <f t="shared" si="14"/>
        <v>1</v>
      </c>
      <c r="Q18" s="1">
        <f t="shared" si="15"/>
        <v>1</v>
      </c>
      <c r="R18" s="1">
        <f t="shared" si="16"/>
        <v>1</v>
      </c>
      <c r="S18" s="1">
        <f t="shared" si="17"/>
        <v>1</v>
      </c>
      <c r="T18" s="1">
        <f t="shared" si="18"/>
        <v>1</v>
      </c>
      <c r="U18" s="26">
        <f t="shared" si="19"/>
        <v>0</v>
      </c>
      <c r="V18" s="26">
        <f t="shared" si="20"/>
        <v>0</v>
      </c>
      <c r="W18" s="1">
        <f t="shared" si="21"/>
        <v>1</v>
      </c>
      <c r="X18" s="26">
        <f t="shared" si="22"/>
        <v>1</v>
      </c>
      <c r="Y18" s="26">
        <f t="shared" si="23"/>
        <v>0</v>
      </c>
      <c r="Z18" s="1">
        <f t="shared" si="24"/>
        <v>0</v>
      </c>
      <c r="AA18"/>
      <c r="AB18"/>
    </row>
    <row r="19" spans="1:28" x14ac:dyDescent="0.55000000000000004">
      <c r="A19" s="1">
        <f t="shared" si="11"/>
        <v>19</v>
      </c>
      <c r="B19" t="s">
        <v>38</v>
      </c>
      <c r="C19" t="s">
        <v>197</v>
      </c>
      <c r="D19" t="s">
        <v>133</v>
      </c>
      <c r="E19" t="s">
        <v>1949</v>
      </c>
      <c r="F19" t="s">
        <v>1565</v>
      </c>
      <c r="G19" t="s">
        <v>929</v>
      </c>
      <c r="H19" t="s">
        <v>579</v>
      </c>
      <c r="I19" t="s">
        <v>935</v>
      </c>
      <c r="J19" t="s">
        <v>1957</v>
      </c>
      <c r="K19" t="s">
        <v>932</v>
      </c>
      <c r="L19" t="s">
        <v>912</v>
      </c>
      <c r="M19" t="s">
        <v>28</v>
      </c>
      <c r="N19" s="1">
        <f t="shared" si="12"/>
        <v>2</v>
      </c>
      <c r="O19" s="1">
        <f t="shared" si="13"/>
        <v>1</v>
      </c>
      <c r="P19" s="1">
        <f t="shared" si="14"/>
        <v>3</v>
      </c>
      <c r="Q19" s="1">
        <f t="shared" si="15"/>
        <v>1</v>
      </c>
      <c r="R19" s="1">
        <f t="shared" si="16"/>
        <v>1</v>
      </c>
      <c r="S19" s="1">
        <f t="shared" si="17"/>
        <v>1</v>
      </c>
      <c r="T19" s="1">
        <f t="shared" si="18"/>
        <v>1</v>
      </c>
      <c r="U19" s="26">
        <f t="shared" si="19"/>
        <v>1</v>
      </c>
      <c r="V19" s="26">
        <f t="shared" si="20"/>
        <v>1</v>
      </c>
      <c r="W19" s="1">
        <f t="shared" si="21"/>
        <v>1</v>
      </c>
      <c r="X19" s="26">
        <f t="shared" si="22"/>
        <v>1</v>
      </c>
      <c r="Y19" s="26">
        <f t="shared" si="23"/>
        <v>0</v>
      </c>
      <c r="Z19" s="1">
        <f t="shared" si="24"/>
        <v>1</v>
      </c>
      <c r="AA19"/>
      <c r="AB19"/>
    </row>
    <row r="20" spans="1:28" x14ac:dyDescent="0.55000000000000004">
      <c r="A20" s="1">
        <f t="shared" si="11"/>
        <v>20</v>
      </c>
      <c r="B20" t="s">
        <v>38</v>
      </c>
      <c r="C20" t="s">
        <v>197</v>
      </c>
      <c r="D20" t="s">
        <v>133</v>
      </c>
      <c r="E20" t="s">
        <v>1949</v>
      </c>
      <c r="F20" t="s">
        <v>1565</v>
      </c>
      <c r="G20" t="s">
        <v>924</v>
      </c>
      <c r="H20" t="s">
        <v>581</v>
      </c>
      <c r="I20" t="s">
        <v>934</v>
      </c>
      <c r="J20" t="s">
        <v>1958</v>
      </c>
      <c r="K20" t="s">
        <v>927</v>
      </c>
      <c r="L20" t="s">
        <v>954</v>
      </c>
      <c r="M20" t="s">
        <v>28</v>
      </c>
      <c r="N20" s="1">
        <f t="shared" si="12"/>
        <v>1</v>
      </c>
      <c r="O20" s="1">
        <f t="shared" si="13"/>
        <v>2</v>
      </c>
      <c r="P20" s="1">
        <f t="shared" si="14"/>
        <v>3</v>
      </c>
      <c r="Q20" s="1">
        <f t="shared" si="15"/>
        <v>1</v>
      </c>
      <c r="R20" s="1">
        <f t="shared" si="16"/>
        <v>1</v>
      </c>
      <c r="S20" s="1">
        <f t="shared" si="17"/>
        <v>1</v>
      </c>
      <c r="T20" s="1">
        <f t="shared" si="18"/>
        <v>1</v>
      </c>
      <c r="U20" s="26">
        <f t="shared" si="19"/>
        <v>1</v>
      </c>
      <c r="V20" s="26">
        <f t="shared" si="20"/>
        <v>0</v>
      </c>
      <c r="W20" s="1">
        <f t="shared" si="21"/>
        <v>1</v>
      </c>
      <c r="X20" s="26">
        <f t="shared" si="22"/>
        <v>1</v>
      </c>
      <c r="Y20" s="26">
        <f t="shared" si="23"/>
        <v>1</v>
      </c>
      <c r="Z20" s="1">
        <f t="shared" si="24"/>
        <v>1</v>
      </c>
      <c r="AA20"/>
      <c r="AB20"/>
    </row>
    <row r="21" spans="1:28" x14ac:dyDescent="0.55000000000000004">
      <c r="A21" s="1">
        <f t="shared" si="11"/>
        <v>21</v>
      </c>
      <c r="B21" t="s">
        <v>38</v>
      </c>
      <c r="C21" t="s">
        <v>197</v>
      </c>
      <c r="D21" t="s">
        <v>42</v>
      </c>
      <c r="E21" t="s">
        <v>1555</v>
      </c>
      <c r="F21" t="s">
        <v>1556</v>
      </c>
      <c r="G21" t="s">
        <v>908</v>
      </c>
      <c r="H21" t="s">
        <v>575</v>
      </c>
      <c r="I21" t="s">
        <v>981</v>
      </c>
      <c r="J21" t="s">
        <v>1557</v>
      </c>
      <c r="K21" t="s">
        <v>911</v>
      </c>
      <c r="L21" t="s">
        <v>902</v>
      </c>
      <c r="M21" t="s">
        <v>28</v>
      </c>
      <c r="N21" s="1">
        <f t="shared" si="12"/>
        <v>1</v>
      </c>
      <c r="O21" s="1">
        <f t="shared" si="13"/>
        <v>0</v>
      </c>
      <c r="P21" s="1">
        <f t="shared" si="14"/>
        <v>1</v>
      </c>
      <c r="Q21" s="1">
        <f t="shared" si="15"/>
        <v>1</v>
      </c>
      <c r="R21" s="1">
        <f t="shared" si="16"/>
        <v>1</v>
      </c>
      <c r="S21" s="1">
        <f t="shared" si="17"/>
        <v>1</v>
      </c>
      <c r="T21" s="1">
        <f t="shared" si="18"/>
        <v>1</v>
      </c>
      <c r="U21" s="26">
        <f t="shared" si="19"/>
        <v>1</v>
      </c>
      <c r="V21" s="26">
        <f t="shared" si="20"/>
        <v>0</v>
      </c>
      <c r="W21" s="1">
        <f t="shared" si="21"/>
        <v>1</v>
      </c>
      <c r="X21" s="26">
        <f t="shared" si="22"/>
        <v>0</v>
      </c>
      <c r="Y21" s="26">
        <f t="shared" si="23"/>
        <v>0</v>
      </c>
      <c r="Z21" s="1">
        <f t="shared" si="24"/>
        <v>0</v>
      </c>
      <c r="AA21"/>
      <c r="AB21"/>
    </row>
    <row r="22" spans="1:28" x14ac:dyDescent="0.55000000000000004">
      <c r="A22" s="1">
        <f t="shared" si="11"/>
        <v>22</v>
      </c>
      <c r="B22" t="s">
        <v>38</v>
      </c>
      <c r="C22" t="s">
        <v>198</v>
      </c>
      <c r="D22" t="s">
        <v>177</v>
      </c>
      <c r="E22" t="s">
        <v>1072</v>
      </c>
      <c r="F22" t="s">
        <v>1073</v>
      </c>
      <c r="G22" t="s">
        <v>919</v>
      </c>
      <c r="H22" t="s">
        <v>579</v>
      </c>
      <c r="I22" t="s">
        <v>909</v>
      </c>
      <c r="J22" t="s">
        <v>1074</v>
      </c>
      <c r="K22" t="s">
        <v>968</v>
      </c>
      <c r="L22" t="s">
        <v>902</v>
      </c>
      <c r="M22" t="s">
        <v>28</v>
      </c>
      <c r="N22" s="1">
        <f t="shared" si="12"/>
        <v>2</v>
      </c>
      <c r="O22" s="1">
        <f t="shared" si="13"/>
        <v>1</v>
      </c>
      <c r="P22" s="1">
        <f t="shared" si="14"/>
        <v>3</v>
      </c>
      <c r="Q22" s="1">
        <f t="shared" si="15"/>
        <v>1</v>
      </c>
      <c r="R22" s="1">
        <f t="shared" si="16"/>
        <v>1</v>
      </c>
      <c r="S22" s="1">
        <f t="shared" si="17"/>
        <v>1</v>
      </c>
      <c r="T22" s="1">
        <f t="shared" si="18"/>
        <v>1</v>
      </c>
      <c r="U22" s="26">
        <f t="shared" si="19"/>
        <v>1</v>
      </c>
      <c r="V22" s="26">
        <f t="shared" si="20"/>
        <v>1</v>
      </c>
      <c r="W22" s="1">
        <f t="shared" si="21"/>
        <v>1</v>
      </c>
      <c r="X22" s="26">
        <f t="shared" si="22"/>
        <v>1</v>
      </c>
      <c r="Y22" s="26">
        <f t="shared" si="23"/>
        <v>0</v>
      </c>
      <c r="Z22" s="1">
        <f t="shared" si="24"/>
        <v>1</v>
      </c>
      <c r="AA22"/>
      <c r="AB22"/>
    </row>
    <row r="23" spans="1:28" x14ac:dyDescent="0.55000000000000004">
      <c r="A23" s="1">
        <f t="shared" si="11"/>
        <v>23</v>
      </c>
      <c r="B23" t="s">
        <v>38</v>
      </c>
      <c r="C23" t="s">
        <v>198</v>
      </c>
      <c r="D23" t="s">
        <v>177</v>
      </c>
      <c r="E23" t="s">
        <v>1072</v>
      </c>
      <c r="F23" t="s">
        <v>1073</v>
      </c>
      <c r="G23" t="s">
        <v>913</v>
      </c>
      <c r="H23" t="s">
        <v>573</v>
      </c>
      <c r="I23" t="s">
        <v>929</v>
      </c>
      <c r="J23" t="s">
        <v>1075</v>
      </c>
      <c r="K23" t="s">
        <v>916</v>
      </c>
      <c r="L23" t="s">
        <v>917</v>
      </c>
      <c r="M23" t="s">
        <v>28</v>
      </c>
      <c r="N23" s="1">
        <f t="shared" si="12"/>
        <v>2</v>
      </c>
      <c r="O23" s="1">
        <f t="shared" si="13"/>
        <v>0</v>
      </c>
      <c r="P23" s="1">
        <f t="shared" si="14"/>
        <v>2</v>
      </c>
      <c r="Q23" s="1">
        <f t="shared" si="15"/>
        <v>1</v>
      </c>
      <c r="R23" s="1">
        <f t="shared" si="16"/>
        <v>1</v>
      </c>
      <c r="S23" s="1">
        <f t="shared" si="17"/>
        <v>1</v>
      </c>
      <c r="T23" s="1">
        <f t="shared" si="18"/>
        <v>1</v>
      </c>
      <c r="U23" s="26">
        <f t="shared" si="19"/>
        <v>1</v>
      </c>
      <c r="V23" s="26">
        <f t="shared" si="20"/>
        <v>1</v>
      </c>
      <c r="W23" s="1">
        <f t="shared" si="21"/>
        <v>1</v>
      </c>
      <c r="X23" s="26">
        <f t="shared" si="22"/>
        <v>0</v>
      </c>
      <c r="Y23" s="26">
        <f t="shared" si="23"/>
        <v>0</v>
      </c>
      <c r="Z23" s="1">
        <f t="shared" si="24"/>
        <v>1</v>
      </c>
      <c r="AA23"/>
      <c r="AB23"/>
    </row>
    <row r="24" spans="1:28" x14ac:dyDescent="0.55000000000000004">
      <c r="A24" s="1">
        <f t="shared" si="11"/>
        <v>24</v>
      </c>
      <c r="B24" t="s">
        <v>38</v>
      </c>
      <c r="C24" t="s">
        <v>198</v>
      </c>
      <c r="D24" t="s">
        <v>177</v>
      </c>
      <c r="E24" t="s">
        <v>1072</v>
      </c>
      <c r="F24" t="s">
        <v>1073</v>
      </c>
      <c r="G24" t="s">
        <v>934</v>
      </c>
      <c r="H24" t="s">
        <v>579</v>
      </c>
      <c r="I24" t="s">
        <v>940</v>
      </c>
      <c r="J24" t="s">
        <v>1076</v>
      </c>
      <c r="K24" t="s">
        <v>937</v>
      </c>
      <c r="L24" t="s">
        <v>966</v>
      </c>
      <c r="M24" t="s">
        <v>28</v>
      </c>
      <c r="N24" s="1">
        <f t="shared" si="12"/>
        <v>2</v>
      </c>
      <c r="O24" s="1">
        <f t="shared" si="13"/>
        <v>1</v>
      </c>
      <c r="P24" s="1">
        <f t="shared" si="14"/>
        <v>3</v>
      </c>
      <c r="Q24" s="1">
        <f t="shared" si="15"/>
        <v>1</v>
      </c>
      <c r="R24" s="1">
        <f t="shared" si="16"/>
        <v>1</v>
      </c>
      <c r="S24" s="1">
        <f t="shared" si="17"/>
        <v>1</v>
      </c>
      <c r="T24" s="1">
        <f t="shared" si="18"/>
        <v>1</v>
      </c>
      <c r="U24" s="26">
        <f t="shared" si="19"/>
        <v>1</v>
      </c>
      <c r="V24" s="26">
        <f t="shared" si="20"/>
        <v>1</v>
      </c>
      <c r="W24" s="1">
        <f t="shared" si="21"/>
        <v>1</v>
      </c>
      <c r="X24" s="26">
        <f t="shared" si="22"/>
        <v>1</v>
      </c>
      <c r="Y24" s="26">
        <f t="shared" si="23"/>
        <v>0</v>
      </c>
      <c r="Z24" s="1">
        <f t="shared" si="24"/>
        <v>1</v>
      </c>
      <c r="AA24"/>
      <c r="AB24"/>
    </row>
    <row r="25" spans="1:28" x14ac:dyDescent="0.55000000000000004">
      <c r="A25" s="1">
        <f t="shared" si="11"/>
        <v>25</v>
      </c>
      <c r="B25" t="s">
        <v>38</v>
      </c>
      <c r="C25" t="s">
        <v>198</v>
      </c>
      <c r="D25" t="s">
        <v>177</v>
      </c>
      <c r="E25" t="s">
        <v>1072</v>
      </c>
      <c r="F25" t="s">
        <v>1073</v>
      </c>
      <c r="G25" t="s">
        <v>898</v>
      </c>
      <c r="H25" t="s">
        <v>570</v>
      </c>
      <c r="I25" t="s">
        <v>903</v>
      </c>
      <c r="J25" t="s">
        <v>1077</v>
      </c>
      <c r="K25" t="s">
        <v>901</v>
      </c>
      <c r="L25" t="s">
        <v>1078</v>
      </c>
      <c r="M25" t="s">
        <v>28</v>
      </c>
      <c r="N25" s="1">
        <f t="shared" si="12"/>
        <v>3</v>
      </c>
      <c r="O25" s="1">
        <f t="shared" si="13"/>
        <v>1</v>
      </c>
      <c r="P25" s="1">
        <f t="shared" si="14"/>
        <v>4</v>
      </c>
      <c r="Q25" s="1">
        <f t="shared" si="15"/>
        <v>1</v>
      </c>
      <c r="R25" s="1">
        <f t="shared" si="16"/>
        <v>1</v>
      </c>
      <c r="S25" s="1">
        <f t="shared" si="17"/>
        <v>1</v>
      </c>
      <c r="T25" s="1">
        <f t="shared" si="18"/>
        <v>0</v>
      </c>
      <c r="U25" s="26">
        <f t="shared" si="19"/>
        <v>1</v>
      </c>
      <c r="V25" s="26">
        <f t="shared" si="20"/>
        <v>1</v>
      </c>
      <c r="W25" s="1">
        <f t="shared" si="21"/>
        <v>1</v>
      </c>
      <c r="X25" s="26">
        <f t="shared" si="22"/>
        <v>1</v>
      </c>
      <c r="Y25" s="26">
        <f t="shared" si="23"/>
        <v>0</v>
      </c>
      <c r="Z25" s="1">
        <f t="shared" si="24"/>
        <v>1</v>
      </c>
      <c r="AA25"/>
      <c r="AB25"/>
    </row>
    <row r="26" spans="1:28" x14ac:dyDescent="0.55000000000000004">
      <c r="A26" s="1">
        <f t="shared" si="11"/>
        <v>26</v>
      </c>
      <c r="B26" t="s">
        <v>38</v>
      </c>
      <c r="C26" t="s">
        <v>198</v>
      </c>
      <c r="D26" t="s">
        <v>177</v>
      </c>
      <c r="E26" t="s">
        <v>1072</v>
      </c>
      <c r="F26" t="s">
        <v>1073</v>
      </c>
      <c r="G26" t="s">
        <v>899</v>
      </c>
      <c r="H26" t="s">
        <v>608</v>
      </c>
      <c r="I26" t="s">
        <v>908</v>
      </c>
      <c r="J26" t="s">
        <v>1079</v>
      </c>
      <c r="K26" t="s">
        <v>973</v>
      </c>
      <c r="L26" t="s">
        <v>960</v>
      </c>
      <c r="M26" t="s">
        <v>28</v>
      </c>
      <c r="N26" s="1">
        <f t="shared" si="12"/>
        <v>1</v>
      </c>
      <c r="O26" s="1">
        <f t="shared" si="13"/>
        <v>1</v>
      </c>
      <c r="P26" s="1">
        <f t="shared" si="14"/>
        <v>2</v>
      </c>
      <c r="Q26" s="1">
        <f t="shared" si="15"/>
        <v>0</v>
      </c>
      <c r="R26" s="1">
        <f t="shared" si="16"/>
        <v>1</v>
      </c>
      <c r="S26" s="1">
        <f t="shared" si="17"/>
        <v>0</v>
      </c>
      <c r="T26" s="1">
        <f t="shared" si="18"/>
        <v>1</v>
      </c>
      <c r="U26" s="26">
        <f t="shared" si="19"/>
        <v>1</v>
      </c>
      <c r="V26" s="26">
        <f t="shared" si="20"/>
        <v>0</v>
      </c>
      <c r="W26" s="1">
        <f t="shared" si="21"/>
        <v>1</v>
      </c>
      <c r="X26" s="26">
        <f t="shared" si="22"/>
        <v>1</v>
      </c>
      <c r="Y26" s="26">
        <f t="shared" si="23"/>
        <v>0</v>
      </c>
      <c r="Z26" s="1">
        <f t="shared" si="24"/>
        <v>1</v>
      </c>
      <c r="AA26"/>
      <c r="AB26"/>
    </row>
    <row r="27" spans="1:28" x14ac:dyDescent="0.55000000000000004">
      <c r="A27" s="1">
        <f t="shared" si="11"/>
        <v>27</v>
      </c>
      <c r="B27" t="s">
        <v>38</v>
      </c>
      <c r="C27" t="s">
        <v>198</v>
      </c>
      <c r="D27" t="s">
        <v>177</v>
      </c>
      <c r="E27" t="s">
        <v>1072</v>
      </c>
      <c r="F27" t="s">
        <v>1073</v>
      </c>
      <c r="G27" t="s">
        <v>904</v>
      </c>
      <c r="H27" t="s">
        <v>579</v>
      </c>
      <c r="I27" t="s">
        <v>924</v>
      </c>
      <c r="J27" t="s">
        <v>1080</v>
      </c>
      <c r="K27" t="s">
        <v>952</v>
      </c>
      <c r="L27" t="s">
        <v>907</v>
      </c>
      <c r="M27" t="s">
        <v>28</v>
      </c>
      <c r="N27" s="1">
        <f t="shared" si="12"/>
        <v>2</v>
      </c>
      <c r="O27" s="1">
        <f t="shared" si="13"/>
        <v>1</v>
      </c>
      <c r="P27" s="1">
        <f t="shared" si="14"/>
        <v>3</v>
      </c>
      <c r="Q27" s="1">
        <f t="shared" si="15"/>
        <v>1</v>
      </c>
      <c r="R27" s="1">
        <f t="shared" si="16"/>
        <v>1</v>
      </c>
      <c r="S27" s="1">
        <f t="shared" si="17"/>
        <v>1</v>
      </c>
      <c r="T27" s="1">
        <f t="shared" si="18"/>
        <v>1</v>
      </c>
      <c r="U27" s="26">
        <f t="shared" si="19"/>
        <v>1</v>
      </c>
      <c r="V27" s="26">
        <f t="shared" si="20"/>
        <v>1</v>
      </c>
      <c r="W27" s="1">
        <f t="shared" si="21"/>
        <v>1</v>
      </c>
      <c r="X27" s="26">
        <f t="shared" si="22"/>
        <v>1</v>
      </c>
      <c r="Y27" s="26">
        <f t="shared" si="23"/>
        <v>0</v>
      </c>
      <c r="Z27" s="1">
        <f t="shared" si="24"/>
        <v>1</v>
      </c>
      <c r="AA27"/>
      <c r="AB27"/>
    </row>
    <row r="28" spans="1:28" x14ac:dyDescent="0.55000000000000004">
      <c r="A28" s="1">
        <f t="shared" si="11"/>
        <v>28</v>
      </c>
      <c r="B28" t="s">
        <v>38</v>
      </c>
      <c r="C28" t="s">
        <v>198</v>
      </c>
      <c r="D28" t="s">
        <v>177</v>
      </c>
      <c r="E28" t="s">
        <v>1072</v>
      </c>
      <c r="F28" t="s">
        <v>1073</v>
      </c>
      <c r="G28" t="s">
        <v>925</v>
      </c>
      <c r="H28" t="s">
        <v>590</v>
      </c>
      <c r="I28" t="s">
        <v>914</v>
      </c>
      <c r="J28" t="s">
        <v>1081</v>
      </c>
      <c r="K28" t="s">
        <v>1082</v>
      </c>
      <c r="L28" t="s">
        <v>1083</v>
      </c>
      <c r="M28" t="s">
        <v>28</v>
      </c>
      <c r="N28" s="1">
        <f t="shared" si="12"/>
        <v>0</v>
      </c>
      <c r="O28" s="1">
        <f t="shared" si="13"/>
        <v>1</v>
      </c>
      <c r="P28" s="1">
        <f t="shared" si="14"/>
        <v>1</v>
      </c>
      <c r="Q28" s="1">
        <f t="shared" si="15"/>
        <v>1</v>
      </c>
      <c r="R28" s="1">
        <f t="shared" si="16"/>
        <v>1</v>
      </c>
      <c r="S28" s="1">
        <f t="shared" si="17"/>
        <v>1</v>
      </c>
      <c r="T28" s="1">
        <f t="shared" si="18"/>
        <v>1</v>
      </c>
      <c r="U28" s="26">
        <f t="shared" si="19"/>
        <v>0</v>
      </c>
      <c r="V28" s="26">
        <f t="shared" si="20"/>
        <v>0</v>
      </c>
      <c r="W28" s="1">
        <f t="shared" si="21"/>
        <v>1</v>
      </c>
      <c r="X28" s="26">
        <f t="shared" si="22"/>
        <v>1</v>
      </c>
      <c r="Y28" s="26">
        <f t="shared" si="23"/>
        <v>0</v>
      </c>
      <c r="Z28" s="1">
        <f t="shared" si="24"/>
        <v>0</v>
      </c>
      <c r="AA28"/>
      <c r="AB28"/>
    </row>
    <row r="29" spans="1:28" x14ac:dyDescent="0.55000000000000004">
      <c r="A29" s="1">
        <f t="shared" si="11"/>
        <v>29</v>
      </c>
      <c r="B29" t="s">
        <v>38</v>
      </c>
      <c r="C29" t="s">
        <v>198</v>
      </c>
      <c r="D29" t="s">
        <v>177</v>
      </c>
      <c r="E29" t="s">
        <v>1072</v>
      </c>
      <c r="F29" t="s">
        <v>1073</v>
      </c>
      <c r="G29" t="s">
        <v>945</v>
      </c>
      <c r="H29" t="s">
        <v>608</v>
      </c>
      <c r="I29" t="s">
        <v>930</v>
      </c>
      <c r="J29" t="s">
        <v>1084</v>
      </c>
      <c r="K29" t="s">
        <v>947</v>
      </c>
      <c r="L29" t="s">
        <v>928</v>
      </c>
      <c r="M29" t="s">
        <v>28</v>
      </c>
      <c r="N29" s="1">
        <f t="shared" si="12"/>
        <v>1</v>
      </c>
      <c r="O29" s="1">
        <f t="shared" si="13"/>
        <v>1</v>
      </c>
      <c r="P29" s="1">
        <f t="shared" si="14"/>
        <v>2</v>
      </c>
      <c r="Q29" s="1">
        <f t="shared" si="15"/>
        <v>0</v>
      </c>
      <c r="R29" s="1">
        <f t="shared" si="16"/>
        <v>1</v>
      </c>
      <c r="S29" s="1">
        <f t="shared" si="17"/>
        <v>0</v>
      </c>
      <c r="T29" s="1">
        <f t="shared" si="18"/>
        <v>1</v>
      </c>
      <c r="U29" s="26">
        <f t="shared" si="19"/>
        <v>1</v>
      </c>
      <c r="V29" s="26">
        <f t="shared" si="20"/>
        <v>0</v>
      </c>
      <c r="W29" s="1">
        <f t="shared" si="21"/>
        <v>1</v>
      </c>
      <c r="X29" s="26">
        <f t="shared" si="22"/>
        <v>1</v>
      </c>
      <c r="Y29" s="26">
        <f t="shared" si="23"/>
        <v>0</v>
      </c>
      <c r="Z29" s="1">
        <f t="shared" si="24"/>
        <v>1</v>
      </c>
      <c r="AA29"/>
      <c r="AB29"/>
    </row>
    <row r="30" spans="1:28" x14ac:dyDescent="0.55000000000000004">
      <c r="A30" s="1">
        <f t="shared" si="11"/>
        <v>30</v>
      </c>
      <c r="B30" t="s">
        <v>38</v>
      </c>
      <c r="C30" t="s">
        <v>198</v>
      </c>
      <c r="D30" t="s">
        <v>177</v>
      </c>
      <c r="E30" t="s">
        <v>1072</v>
      </c>
      <c r="F30" t="s">
        <v>1073</v>
      </c>
      <c r="G30" t="s">
        <v>981</v>
      </c>
      <c r="H30" t="s">
        <v>708</v>
      </c>
      <c r="I30" t="s">
        <v>918</v>
      </c>
      <c r="J30" t="s">
        <v>1085</v>
      </c>
      <c r="K30" t="s">
        <v>1086</v>
      </c>
      <c r="L30" t="s">
        <v>1087</v>
      </c>
      <c r="M30" t="s">
        <v>28</v>
      </c>
      <c r="N30" s="1">
        <f t="shared" si="12"/>
        <v>0</v>
      </c>
      <c r="O30" s="1">
        <f t="shared" si="13"/>
        <v>0</v>
      </c>
      <c r="P30" s="1">
        <f t="shared" si="14"/>
        <v>0</v>
      </c>
      <c r="Q30" s="1">
        <f t="shared" si="15"/>
        <v>0</v>
      </c>
      <c r="R30" s="1">
        <f t="shared" si="16"/>
        <v>1</v>
      </c>
      <c r="S30" s="1">
        <f t="shared" si="17"/>
        <v>0</v>
      </c>
      <c r="T30" s="1">
        <f t="shared" si="18"/>
        <v>1</v>
      </c>
      <c r="U30" s="26">
        <f t="shared" si="19"/>
        <v>0</v>
      </c>
      <c r="V30" s="26">
        <f t="shared" si="20"/>
        <v>0</v>
      </c>
      <c r="W30" s="1">
        <f t="shared" si="21"/>
        <v>1</v>
      </c>
      <c r="X30" s="26">
        <f t="shared" si="22"/>
        <v>0</v>
      </c>
      <c r="Y30" s="26">
        <f t="shared" si="23"/>
        <v>0</v>
      </c>
      <c r="Z30" s="1">
        <f t="shared" si="24"/>
        <v>0</v>
      </c>
      <c r="AA30"/>
      <c r="AB30"/>
    </row>
    <row r="31" spans="1:28" x14ac:dyDescent="0.55000000000000004">
      <c r="A31" s="1">
        <f t="shared" si="11"/>
        <v>31</v>
      </c>
      <c r="B31" t="s">
        <v>38</v>
      </c>
      <c r="C31" t="s">
        <v>198</v>
      </c>
      <c r="D31" t="s">
        <v>177</v>
      </c>
      <c r="E31" t="s">
        <v>1072</v>
      </c>
      <c r="F31" t="s">
        <v>1073</v>
      </c>
      <c r="G31" t="s">
        <v>935</v>
      </c>
      <c r="H31" t="s">
        <v>581</v>
      </c>
      <c r="I31" t="s">
        <v>979</v>
      </c>
      <c r="J31" t="s">
        <v>1088</v>
      </c>
      <c r="K31" t="s">
        <v>949</v>
      </c>
      <c r="L31" t="s">
        <v>984</v>
      </c>
      <c r="M31" t="s">
        <v>28</v>
      </c>
      <c r="N31" s="1">
        <f t="shared" si="12"/>
        <v>1</v>
      </c>
      <c r="O31" s="1">
        <f t="shared" si="13"/>
        <v>2</v>
      </c>
      <c r="P31" s="1">
        <f t="shared" si="14"/>
        <v>3</v>
      </c>
      <c r="Q31" s="1">
        <f t="shared" si="15"/>
        <v>1</v>
      </c>
      <c r="R31" s="1">
        <f t="shared" si="16"/>
        <v>1</v>
      </c>
      <c r="S31" s="1">
        <f t="shared" si="17"/>
        <v>1</v>
      </c>
      <c r="T31" s="1">
        <f t="shared" si="18"/>
        <v>1</v>
      </c>
      <c r="U31" s="26">
        <f t="shared" si="19"/>
        <v>1</v>
      </c>
      <c r="V31" s="26">
        <f t="shared" si="20"/>
        <v>0</v>
      </c>
      <c r="W31" s="1">
        <f t="shared" si="21"/>
        <v>1</v>
      </c>
      <c r="X31" s="26">
        <f t="shared" si="22"/>
        <v>1</v>
      </c>
      <c r="Y31" s="26">
        <f t="shared" si="23"/>
        <v>1</v>
      </c>
      <c r="Z31" s="1">
        <f t="shared" si="24"/>
        <v>1</v>
      </c>
      <c r="AA31"/>
      <c r="AB31"/>
    </row>
    <row r="32" spans="1:28" x14ac:dyDescent="0.55000000000000004">
      <c r="A32" s="1">
        <f t="shared" si="11"/>
        <v>32</v>
      </c>
      <c r="B32" t="s">
        <v>38</v>
      </c>
      <c r="C32" t="s">
        <v>199</v>
      </c>
      <c r="D32" t="s">
        <v>133</v>
      </c>
      <c r="E32" t="s">
        <v>1959</v>
      </c>
      <c r="F32" t="s">
        <v>1570</v>
      </c>
      <c r="G32" t="s">
        <v>981</v>
      </c>
      <c r="H32" t="s">
        <v>608</v>
      </c>
      <c r="I32" t="s">
        <v>934</v>
      </c>
      <c r="J32" t="s">
        <v>1960</v>
      </c>
      <c r="K32" t="s">
        <v>1086</v>
      </c>
      <c r="L32" t="s">
        <v>1103</v>
      </c>
      <c r="M32" t="s">
        <v>28</v>
      </c>
      <c r="N32" s="1">
        <f t="shared" si="12"/>
        <v>1</v>
      </c>
      <c r="O32" s="1">
        <f t="shared" si="13"/>
        <v>1</v>
      </c>
      <c r="P32" s="1">
        <f t="shared" si="14"/>
        <v>2</v>
      </c>
      <c r="Q32" s="1">
        <f t="shared" si="15"/>
        <v>0</v>
      </c>
      <c r="R32" s="1">
        <f t="shared" si="16"/>
        <v>1</v>
      </c>
      <c r="S32" s="1">
        <f t="shared" si="17"/>
        <v>0</v>
      </c>
      <c r="T32" s="1">
        <f t="shared" si="18"/>
        <v>1</v>
      </c>
      <c r="U32" s="26">
        <f t="shared" si="19"/>
        <v>1</v>
      </c>
      <c r="V32" s="26">
        <f t="shared" si="20"/>
        <v>0</v>
      </c>
      <c r="W32" s="1">
        <f t="shared" si="21"/>
        <v>1</v>
      </c>
      <c r="X32" s="26">
        <f t="shared" si="22"/>
        <v>1</v>
      </c>
      <c r="Y32" s="26">
        <f t="shared" si="23"/>
        <v>0</v>
      </c>
      <c r="Z32" s="1">
        <f t="shared" si="24"/>
        <v>1</v>
      </c>
      <c r="AA32"/>
      <c r="AB32"/>
    </row>
    <row r="33" spans="1:28" x14ac:dyDescent="0.55000000000000004">
      <c r="A33" s="1">
        <f t="shared" si="11"/>
        <v>33</v>
      </c>
      <c r="B33" t="s">
        <v>38</v>
      </c>
      <c r="C33" t="s">
        <v>199</v>
      </c>
      <c r="D33" t="s">
        <v>133</v>
      </c>
      <c r="E33" t="s">
        <v>1959</v>
      </c>
      <c r="F33" t="s">
        <v>985</v>
      </c>
      <c r="G33" t="s">
        <v>919</v>
      </c>
      <c r="H33" t="s">
        <v>573</v>
      </c>
      <c r="I33" t="s">
        <v>898</v>
      </c>
      <c r="J33" t="s">
        <v>1961</v>
      </c>
      <c r="K33" t="s">
        <v>968</v>
      </c>
      <c r="L33" t="s">
        <v>1087</v>
      </c>
      <c r="M33" t="s">
        <v>28</v>
      </c>
      <c r="N33" s="1">
        <f t="shared" si="12"/>
        <v>2</v>
      </c>
      <c r="O33" s="1">
        <f t="shared" si="13"/>
        <v>0</v>
      </c>
      <c r="P33" s="1">
        <f t="shared" si="14"/>
        <v>2</v>
      </c>
      <c r="Q33" s="1">
        <f t="shared" si="15"/>
        <v>1</v>
      </c>
      <c r="R33" s="1">
        <f t="shared" si="16"/>
        <v>1</v>
      </c>
      <c r="S33" s="1">
        <f t="shared" si="17"/>
        <v>1</v>
      </c>
      <c r="T33" s="1">
        <f t="shared" si="18"/>
        <v>1</v>
      </c>
      <c r="U33" s="26">
        <f t="shared" si="19"/>
        <v>1</v>
      </c>
      <c r="V33" s="26">
        <f t="shared" si="20"/>
        <v>1</v>
      </c>
      <c r="W33" s="1">
        <f t="shared" si="21"/>
        <v>1</v>
      </c>
      <c r="X33" s="26">
        <f t="shared" si="22"/>
        <v>0</v>
      </c>
      <c r="Y33" s="26">
        <f t="shared" si="23"/>
        <v>0</v>
      </c>
      <c r="Z33" s="1">
        <f t="shared" si="24"/>
        <v>1</v>
      </c>
      <c r="AA33"/>
      <c r="AB33"/>
    </row>
    <row r="34" spans="1:28" x14ac:dyDescent="0.55000000000000004">
      <c r="A34" s="1">
        <f t="shared" si="11"/>
        <v>34</v>
      </c>
      <c r="B34" t="s">
        <v>38</v>
      </c>
      <c r="C34" t="s">
        <v>199</v>
      </c>
      <c r="D34" t="s">
        <v>133</v>
      </c>
      <c r="E34" t="s">
        <v>1959</v>
      </c>
      <c r="F34" t="s">
        <v>1565</v>
      </c>
      <c r="G34" t="s">
        <v>945</v>
      </c>
      <c r="H34" t="s">
        <v>590</v>
      </c>
      <c r="I34" t="s">
        <v>935</v>
      </c>
      <c r="J34" t="s">
        <v>1962</v>
      </c>
      <c r="K34" t="s">
        <v>947</v>
      </c>
      <c r="L34" t="s">
        <v>907</v>
      </c>
      <c r="M34" t="s">
        <v>28</v>
      </c>
      <c r="N34" s="1">
        <f t="shared" si="12"/>
        <v>0</v>
      </c>
      <c r="O34" s="1">
        <f t="shared" si="13"/>
        <v>1</v>
      </c>
      <c r="P34" s="1">
        <f t="shared" si="14"/>
        <v>1</v>
      </c>
      <c r="Q34" s="1">
        <f t="shared" si="15"/>
        <v>1</v>
      </c>
      <c r="R34" s="1">
        <f t="shared" si="16"/>
        <v>1</v>
      </c>
      <c r="S34" s="1">
        <f t="shared" si="17"/>
        <v>1</v>
      </c>
      <c r="T34" s="1">
        <f t="shared" si="18"/>
        <v>1</v>
      </c>
      <c r="U34" s="26">
        <f t="shared" si="19"/>
        <v>0</v>
      </c>
      <c r="V34" s="26">
        <f t="shared" si="20"/>
        <v>0</v>
      </c>
      <c r="W34" s="1">
        <f t="shared" si="21"/>
        <v>1</v>
      </c>
      <c r="X34" s="26">
        <f t="shared" si="22"/>
        <v>1</v>
      </c>
      <c r="Y34" s="26">
        <f t="shared" si="23"/>
        <v>0</v>
      </c>
      <c r="Z34" s="1">
        <f t="shared" si="24"/>
        <v>0</v>
      </c>
      <c r="AA34"/>
      <c r="AB34"/>
    </row>
    <row r="35" spans="1:28" x14ac:dyDescent="0.55000000000000004">
      <c r="A35" s="1">
        <f t="shared" si="11"/>
        <v>35</v>
      </c>
      <c r="B35" t="s">
        <v>38</v>
      </c>
      <c r="C35" t="s">
        <v>199</v>
      </c>
      <c r="D35" t="s">
        <v>133</v>
      </c>
      <c r="E35" t="s">
        <v>1959</v>
      </c>
      <c r="F35" t="s">
        <v>1565</v>
      </c>
      <c r="G35" t="s">
        <v>979</v>
      </c>
      <c r="H35" t="s">
        <v>590</v>
      </c>
      <c r="I35" t="s">
        <v>930</v>
      </c>
      <c r="J35" t="s">
        <v>1963</v>
      </c>
      <c r="K35" t="s">
        <v>1102</v>
      </c>
      <c r="L35" t="s">
        <v>933</v>
      </c>
      <c r="M35" t="s">
        <v>28</v>
      </c>
      <c r="N35" s="1">
        <f t="shared" si="12"/>
        <v>0</v>
      </c>
      <c r="O35" s="1">
        <f t="shared" si="13"/>
        <v>1</v>
      </c>
      <c r="P35" s="1">
        <f t="shared" si="14"/>
        <v>1</v>
      </c>
      <c r="Q35" s="1">
        <f t="shared" si="15"/>
        <v>1</v>
      </c>
      <c r="R35" s="1">
        <f t="shared" si="16"/>
        <v>1</v>
      </c>
      <c r="S35" s="1">
        <f t="shared" si="17"/>
        <v>1</v>
      </c>
      <c r="T35" s="1">
        <f t="shared" si="18"/>
        <v>1</v>
      </c>
      <c r="U35" s="26">
        <f t="shared" si="19"/>
        <v>0</v>
      </c>
      <c r="V35" s="26">
        <f t="shared" si="20"/>
        <v>0</v>
      </c>
      <c r="W35" s="1">
        <f t="shared" si="21"/>
        <v>1</v>
      </c>
      <c r="X35" s="26">
        <f t="shared" si="22"/>
        <v>1</v>
      </c>
      <c r="Y35" s="26">
        <f t="shared" si="23"/>
        <v>0</v>
      </c>
      <c r="Z35" s="1">
        <f t="shared" si="24"/>
        <v>0</v>
      </c>
      <c r="AA35"/>
      <c r="AB35"/>
    </row>
    <row r="36" spans="1:28" x14ac:dyDescent="0.55000000000000004">
      <c r="A36" s="1">
        <f t="shared" si="11"/>
        <v>36</v>
      </c>
      <c r="B36" t="s">
        <v>38</v>
      </c>
      <c r="C36" t="s">
        <v>199</v>
      </c>
      <c r="D36" t="s">
        <v>42</v>
      </c>
      <c r="E36" t="s">
        <v>1558</v>
      </c>
      <c r="F36" t="s">
        <v>985</v>
      </c>
      <c r="G36" t="s">
        <v>913</v>
      </c>
      <c r="H36" t="s">
        <v>608</v>
      </c>
      <c r="I36" t="s">
        <v>899</v>
      </c>
      <c r="J36" t="s">
        <v>1559</v>
      </c>
      <c r="K36" t="s">
        <v>916</v>
      </c>
      <c r="L36" t="s">
        <v>1095</v>
      </c>
      <c r="M36" t="s">
        <v>28</v>
      </c>
      <c r="N36" s="1">
        <f t="shared" si="12"/>
        <v>1</v>
      </c>
      <c r="O36" s="1">
        <f t="shared" si="13"/>
        <v>1</v>
      </c>
      <c r="P36" s="1">
        <f t="shared" si="14"/>
        <v>2</v>
      </c>
      <c r="Q36" s="1">
        <f t="shared" si="15"/>
        <v>0</v>
      </c>
      <c r="R36" s="1">
        <f t="shared" si="16"/>
        <v>1</v>
      </c>
      <c r="S36" s="1">
        <f t="shared" si="17"/>
        <v>0</v>
      </c>
      <c r="T36" s="1">
        <f t="shared" si="18"/>
        <v>1</v>
      </c>
      <c r="U36" s="26">
        <f t="shared" si="19"/>
        <v>1</v>
      </c>
      <c r="V36" s="26">
        <f t="shared" si="20"/>
        <v>0</v>
      </c>
      <c r="W36" s="1">
        <f t="shared" si="21"/>
        <v>1</v>
      </c>
      <c r="X36" s="26">
        <f t="shared" si="22"/>
        <v>1</v>
      </c>
      <c r="Y36" s="26">
        <f t="shared" si="23"/>
        <v>0</v>
      </c>
      <c r="Z36" s="1">
        <f t="shared" si="24"/>
        <v>1</v>
      </c>
      <c r="AA36"/>
      <c r="AB36"/>
    </row>
    <row r="37" spans="1:28" x14ac:dyDescent="0.55000000000000004">
      <c r="A37" s="1">
        <f t="shared" si="11"/>
        <v>37</v>
      </c>
      <c r="B37" t="s">
        <v>38</v>
      </c>
      <c r="C37" t="s">
        <v>199</v>
      </c>
      <c r="D37" t="s">
        <v>42</v>
      </c>
      <c r="E37" t="s">
        <v>1558</v>
      </c>
      <c r="F37" t="s">
        <v>985</v>
      </c>
      <c r="G37" t="s">
        <v>903</v>
      </c>
      <c r="H37" t="s">
        <v>581</v>
      </c>
      <c r="I37" t="s">
        <v>925</v>
      </c>
      <c r="J37" t="s">
        <v>1560</v>
      </c>
      <c r="K37" t="s">
        <v>906</v>
      </c>
      <c r="L37" t="s">
        <v>1106</v>
      </c>
      <c r="M37" t="s">
        <v>28</v>
      </c>
      <c r="N37" s="1">
        <f t="shared" si="12"/>
        <v>1</v>
      </c>
      <c r="O37" s="1">
        <f t="shared" si="13"/>
        <v>2</v>
      </c>
      <c r="P37" s="1">
        <f t="shared" si="14"/>
        <v>3</v>
      </c>
      <c r="Q37" s="1">
        <f t="shared" si="15"/>
        <v>1</v>
      </c>
      <c r="R37" s="1">
        <f t="shared" si="16"/>
        <v>1</v>
      </c>
      <c r="S37" s="1">
        <f t="shared" si="17"/>
        <v>1</v>
      </c>
      <c r="T37" s="1">
        <f t="shared" si="18"/>
        <v>1</v>
      </c>
      <c r="U37" s="26">
        <f t="shared" si="19"/>
        <v>1</v>
      </c>
      <c r="V37" s="26">
        <f t="shared" si="20"/>
        <v>0</v>
      </c>
      <c r="W37" s="1">
        <f t="shared" si="21"/>
        <v>1</v>
      </c>
      <c r="X37" s="26">
        <f t="shared" si="22"/>
        <v>1</v>
      </c>
      <c r="Y37" s="26">
        <f t="shared" si="23"/>
        <v>1</v>
      </c>
      <c r="Z37" s="1">
        <f t="shared" si="24"/>
        <v>1</v>
      </c>
      <c r="AA37"/>
      <c r="AB37"/>
    </row>
    <row r="38" spans="1:28" x14ac:dyDescent="0.55000000000000004">
      <c r="A38" s="1">
        <f t="shared" si="11"/>
        <v>38</v>
      </c>
      <c r="B38" t="s">
        <v>38</v>
      </c>
      <c r="C38" t="s">
        <v>199</v>
      </c>
      <c r="D38" t="s">
        <v>42</v>
      </c>
      <c r="E38" t="s">
        <v>1558</v>
      </c>
      <c r="F38" t="s">
        <v>985</v>
      </c>
      <c r="G38" t="s">
        <v>909</v>
      </c>
      <c r="H38" t="s">
        <v>664</v>
      </c>
      <c r="I38" t="s">
        <v>924</v>
      </c>
      <c r="J38" t="s">
        <v>1561</v>
      </c>
      <c r="K38" t="s">
        <v>965</v>
      </c>
      <c r="L38" t="s">
        <v>944</v>
      </c>
      <c r="M38" t="s">
        <v>28</v>
      </c>
      <c r="N38" s="1">
        <f t="shared" si="12"/>
        <v>2</v>
      </c>
      <c r="O38" s="1">
        <f t="shared" si="13"/>
        <v>2</v>
      </c>
      <c r="P38" s="1">
        <f t="shared" si="14"/>
        <v>4</v>
      </c>
      <c r="Q38" s="1">
        <f t="shared" si="15"/>
        <v>0</v>
      </c>
      <c r="R38" s="1">
        <f t="shared" si="16"/>
        <v>1</v>
      </c>
      <c r="S38" s="1">
        <f t="shared" si="17"/>
        <v>0</v>
      </c>
      <c r="T38" s="1">
        <f t="shared" si="18"/>
        <v>1</v>
      </c>
      <c r="U38" s="26">
        <f t="shared" si="19"/>
        <v>1</v>
      </c>
      <c r="V38" s="26">
        <f t="shared" si="20"/>
        <v>1</v>
      </c>
      <c r="W38" s="1">
        <f t="shared" si="21"/>
        <v>1</v>
      </c>
      <c r="X38" s="26">
        <f t="shared" si="22"/>
        <v>1</v>
      </c>
      <c r="Y38" s="26">
        <f t="shared" si="23"/>
        <v>1</v>
      </c>
      <c r="Z38" s="1">
        <f t="shared" si="24"/>
        <v>1</v>
      </c>
      <c r="AA38"/>
      <c r="AB38"/>
    </row>
    <row r="39" spans="1:28" x14ac:dyDescent="0.55000000000000004">
      <c r="A39" s="1">
        <f t="shared" si="11"/>
        <v>39</v>
      </c>
      <c r="B39" t="s">
        <v>38</v>
      </c>
      <c r="C39" t="s">
        <v>199</v>
      </c>
      <c r="D39" t="s">
        <v>42</v>
      </c>
      <c r="E39" t="s">
        <v>1558</v>
      </c>
      <c r="F39" t="s">
        <v>985</v>
      </c>
      <c r="G39" t="s">
        <v>914</v>
      </c>
      <c r="H39" t="s">
        <v>590</v>
      </c>
      <c r="I39" t="s">
        <v>929</v>
      </c>
      <c r="J39" t="s">
        <v>1562</v>
      </c>
      <c r="K39" t="s">
        <v>901</v>
      </c>
      <c r="L39" t="s">
        <v>954</v>
      </c>
      <c r="M39" t="s">
        <v>28</v>
      </c>
      <c r="N39" s="1">
        <f t="shared" si="12"/>
        <v>0</v>
      </c>
      <c r="O39" s="1">
        <f t="shared" si="13"/>
        <v>1</v>
      </c>
      <c r="P39" s="1">
        <f t="shared" si="14"/>
        <v>1</v>
      </c>
      <c r="Q39" s="1">
        <f t="shared" si="15"/>
        <v>1</v>
      </c>
      <c r="R39" s="1">
        <f t="shared" si="16"/>
        <v>1</v>
      </c>
      <c r="S39" s="1">
        <f t="shared" si="17"/>
        <v>1</v>
      </c>
      <c r="T39" s="1">
        <f t="shared" si="18"/>
        <v>1</v>
      </c>
      <c r="U39" s="26">
        <f t="shared" si="19"/>
        <v>0</v>
      </c>
      <c r="V39" s="26">
        <f t="shared" si="20"/>
        <v>0</v>
      </c>
      <c r="W39" s="1">
        <f t="shared" si="21"/>
        <v>1</v>
      </c>
      <c r="X39" s="26">
        <f t="shared" si="22"/>
        <v>1</v>
      </c>
      <c r="Y39" s="26">
        <f t="shared" si="23"/>
        <v>0</v>
      </c>
      <c r="Z39" s="1">
        <f t="shared" si="24"/>
        <v>0</v>
      </c>
      <c r="AA39"/>
      <c r="AB39"/>
    </row>
    <row r="40" spans="1:28" x14ac:dyDescent="0.55000000000000004">
      <c r="A40" s="1">
        <f t="shared" si="11"/>
        <v>40</v>
      </c>
      <c r="B40" t="s">
        <v>38</v>
      </c>
      <c r="C40" t="s">
        <v>199</v>
      </c>
      <c r="D40" t="s">
        <v>42</v>
      </c>
      <c r="E40" t="s">
        <v>1558</v>
      </c>
      <c r="F40" t="s">
        <v>1563</v>
      </c>
      <c r="G40" t="s">
        <v>908</v>
      </c>
      <c r="H40" t="s">
        <v>575</v>
      </c>
      <c r="I40" t="s">
        <v>918</v>
      </c>
      <c r="J40" t="s">
        <v>1564</v>
      </c>
      <c r="K40" t="s">
        <v>911</v>
      </c>
      <c r="L40" t="s">
        <v>1099</v>
      </c>
      <c r="M40" t="s">
        <v>28</v>
      </c>
      <c r="N40" s="1">
        <f t="shared" si="12"/>
        <v>1</v>
      </c>
      <c r="O40" s="1">
        <f t="shared" si="13"/>
        <v>0</v>
      </c>
      <c r="P40" s="1">
        <f t="shared" si="14"/>
        <v>1</v>
      </c>
      <c r="Q40" s="1">
        <f t="shared" si="15"/>
        <v>1</v>
      </c>
      <c r="R40" s="1">
        <f t="shared" si="16"/>
        <v>1</v>
      </c>
      <c r="S40" s="1">
        <f t="shared" si="17"/>
        <v>1</v>
      </c>
      <c r="T40" s="1">
        <f t="shared" si="18"/>
        <v>1</v>
      </c>
      <c r="U40" s="26">
        <f t="shared" si="19"/>
        <v>1</v>
      </c>
      <c r="V40" s="26">
        <f t="shared" si="20"/>
        <v>0</v>
      </c>
      <c r="W40" s="1">
        <f t="shared" si="21"/>
        <v>1</v>
      </c>
      <c r="X40" s="26">
        <f t="shared" si="22"/>
        <v>0</v>
      </c>
      <c r="Y40" s="26">
        <f t="shared" si="23"/>
        <v>0</v>
      </c>
      <c r="Z40" s="1">
        <f t="shared" si="24"/>
        <v>0</v>
      </c>
      <c r="AA40"/>
      <c r="AB40"/>
    </row>
    <row r="41" spans="1:28" x14ac:dyDescent="0.55000000000000004">
      <c r="A41" s="1">
        <f t="shared" si="11"/>
        <v>41</v>
      </c>
      <c r="B41" t="s">
        <v>38</v>
      </c>
      <c r="C41" t="s">
        <v>199</v>
      </c>
      <c r="D41" t="s">
        <v>42</v>
      </c>
      <c r="E41" t="s">
        <v>1558</v>
      </c>
      <c r="F41" t="s">
        <v>1565</v>
      </c>
      <c r="G41" t="s">
        <v>940</v>
      </c>
      <c r="H41" t="s">
        <v>568</v>
      </c>
      <c r="I41" t="s">
        <v>904</v>
      </c>
      <c r="J41" t="s">
        <v>1566</v>
      </c>
      <c r="K41" t="s">
        <v>942</v>
      </c>
      <c r="L41" t="s">
        <v>1083</v>
      </c>
      <c r="M41" t="s">
        <v>28</v>
      </c>
      <c r="N41" s="1">
        <f t="shared" si="12"/>
        <v>0</v>
      </c>
      <c r="O41" s="1">
        <f t="shared" si="13"/>
        <v>2</v>
      </c>
      <c r="P41" s="1">
        <f t="shared" si="14"/>
        <v>2</v>
      </c>
      <c r="Q41" s="1">
        <f t="shared" si="15"/>
        <v>1</v>
      </c>
      <c r="R41" s="1">
        <f t="shared" si="16"/>
        <v>1</v>
      </c>
      <c r="S41" s="1">
        <f t="shared" si="17"/>
        <v>1</v>
      </c>
      <c r="T41" s="1">
        <f t="shared" si="18"/>
        <v>1</v>
      </c>
      <c r="U41" s="26">
        <f t="shared" si="19"/>
        <v>0</v>
      </c>
      <c r="V41" s="26">
        <f t="shared" si="20"/>
        <v>0</v>
      </c>
      <c r="W41" s="1">
        <f t="shared" si="21"/>
        <v>1</v>
      </c>
      <c r="X41" s="26">
        <f t="shared" si="22"/>
        <v>1</v>
      </c>
      <c r="Y41" s="26">
        <f t="shared" si="23"/>
        <v>1</v>
      </c>
      <c r="Z41" s="1">
        <f t="shared" si="24"/>
        <v>1</v>
      </c>
      <c r="AA41"/>
      <c r="AB41"/>
    </row>
    <row r="42" spans="1:28" x14ac:dyDescent="0.55000000000000004">
      <c r="A42" s="1">
        <f t="shared" si="11"/>
        <v>42</v>
      </c>
      <c r="B42" t="s">
        <v>38</v>
      </c>
      <c r="C42" t="s">
        <v>200</v>
      </c>
      <c r="D42" t="s">
        <v>133</v>
      </c>
      <c r="E42" t="s">
        <v>1964</v>
      </c>
      <c r="F42" t="s">
        <v>985</v>
      </c>
      <c r="G42" t="s">
        <v>940</v>
      </c>
      <c r="H42" t="s">
        <v>575</v>
      </c>
      <c r="I42" t="s">
        <v>913</v>
      </c>
      <c r="J42" t="s">
        <v>1965</v>
      </c>
      <c r="K42" t="s">
        <v>942</v>
      </c>
      <c r="L42" t="s">
        <v>928</v>
      </c>
      <c r="M42" t="s">
        <v>28</v>
      </c>
      <c r="N42" s="1">
        <f t="shared" si="12"/>
        <v>1</v>
      </c>
      <c r="O42" s="1">
        <f t="shared" si="13"/>
        <v>0</v>
      </c>
      <c r="P42" s="1">
        <f t="shared" si="14"/>
        <v>1</v>
      </c>
      <c r="Q42" s="1">
        <f t="shared" si="15"/>
        <v>1</v>
      </c>
      <c r="R42" s="1">
        <f t="shared" si="16"/>
        <v>1</v>
      </c>
      <c r="S42" s="1">
        <f t="shared" si="17"/>
        <v>1</v>
      </c>
      <c r="T42" s="1">
        <f t="shared" si="18"/>
        <v>1</v>
      </c>
      <c r="U42" s="26">
        <f t="shared" si="19"/>
        <v>1</v>
      </c>
      <c r="V42" s="26">
        <f t="shared" si="20"/>
        <v>0</v>
      </c>
      <c r="W42" s="1">
        <f t="shared" si="21"/>
        <v>1</v>
      </c>
      <c r="X42" s="26">
        <f t="shared" si="22"/>
        <v>0</v>
      </c>
      <c r="Y42" s="26">
        <f t="shared" si="23"/>
        <v>0</v>
      </c>
      <c r="Z42" s="1">
        <f t="shared" si="24"/>
        <v>0</v>
      </c>
      <c r="AA42"/>
      <c r="AB42"/>
    </row>
    <row r="43" spans="1:28" x14ac:dyDescent="0.55000000000000004">
      <c r="A43" s="1">
        <f t="shared" si="11"/>
        <v>43</v>
      </c>
      <c r="B43" t="s">
        <v>38</v>
      </c>
      <c r="C43" t="s">
        <v>200</v>
      </c>
      <c r="D43" t="s">
        <v>133</v>
      </c>
      <c r="E43" t="s">
        <v>1964</v>
      </c>
      <c r="F43" t="s">
        <v>1966</v>
      </c>
      <c r="G43" t="s">
        <v>909</v>
      </c>
      <c r="H43" t="s">
        <v>664</v>
      </c>
      <c r="I43" t="s">
        <v>914</v>
      </c>
      <c r="J43" t="s">
        <v>1967</v>
      </c>
      <c r="K43" t="s">
        <v>965</v>
      </c>
      <c r="L43" t="s">
        <v>984</v>
      </c>
      <c r="M43" t="s">
        <v>28</v>
      </c>
      <c r="N43" s="1">
        <f t="shared" si="12"/>
        <v>2</v>
      </c>
      <c r="O43" s="1">
        <f t="shared" si="13"/>
        <v>2</v>
      </c>
      <c r="P43" s="1">
        <f t="shared" si="14"/>
        <v>4</v>
      </c>
      <c r="Q43" s="1">
        <f t="shared" si="15"/>
        <v>0</v>
      </c>
      <c r="R43" s="1">
        <f t="shared" si="16"/>
        <v>1</v>
      </c>
      <c r="S43" s="1">
        <f t="shared" si="17"/>
        <v>0</v>
      </c>
      <c r="T43" s="1">
        <f t="shared" si="18"/>
        <v>1</v>
      </c>
      <c r="U43" s="26">
        <f t="shared" si="19"/>
        <v>1</v>
      </c>
      <c r="V43" s="26">
        <f t="shared" si="20"/>
        <v>1</v>
      </c>
      <c r="W43" s="1">
        <f t="shared" si="21"/>
        <v>1</v>
      </c>
      <c r="X43" s="26">
        <f t="shared" si="22"/>
        <v>1</v>
      </c>
      <c r="Y43" s="26">
        <f t="shared" si="23"/>
        <v>1</v>
      </c>
      <c r="Z43" s="1">
        <f t="shared" si="24"/>
        <v>1</v>
      </c>
      <c r="AA43"/>
      <c r="AB43"/>
    </row>
    <row r="44" spans="1:28" x14ac:dyDescent="0.55000000000000004">
      <c r="A44" s="1">
        <f t="shared" si="11"/>
        <v>44</v>
      </c>
      <c r="B44" t="s">
        <v>38</v>
      </c>
      <c r="C44" t="s">
        <v>200</v>
      </c>
      <c r="D44" t="s">
        <v>133</v>
      </c>
      <c r="E44" t="s">
        <v>1964</v>
      </c>
      <c r="F44" t="s">
        <v>1565</v>
      </c>
      <c r="G44" t="s">
        <v>929</v>
      </c>
      <c r="H44" t="s">
        <v>575</v>
      </c>
      <c r="I44" t="s">
        <v>899</v>
      </c>
      <c r="J44" t="s">
        <v>1968</v>
      </c>
      <c r="K44" t="s">
        <v>932</v>
      </c>
      <c r="L44" t="s">
        <v>902</v>
      </c>
      <c r="M44" t="s">
        <v>28</v>
      </c>
      <c r="N44" s="1">
        <f t="shared" si="12"/>
        <v>1</v>
      </c>
      <c r="O44" s="1">
        <f t="shared" si="13"/>
        <v>0</v>
      </c>
      <c r="P44" s="1">
        <f t="shared" si="14"/>
        <v>1</v>
      </c>
      <c r="Q44" s="1">
        <f t="shared" si="15"/>
        <v>1</v>
      </c>
      <c r="R44" s="1">
        <f t="shared" si="16"/>
        <v>1</v>
      </c>
      <c r="S44" s="1">
        <f t="shared" si="17"/>
        <v>1</v>
      </c>
      <c r="T44" s="1">
        <f t="shared" si="18"/>
        <v>1</v>
      </c>
      <c r="U44" s="26">
        <f t="shared" si="19"/>
        <v>1</v>
      </c>
      <c r="V44" s="26">
        <f t="shared" si="20"/>
        <v>0</v>
      </c>
      <c r="W44" s="1">
        <f t="shared" si="21"/>
        <v>1</v>
      </c>
      <c r="X44" s="26">
        <f t="shared" si="22"/>
        <v>0</v>
      </c>
      <c r="Y44" s="26">
        <f t="shared" si="23"/>
        <v>0</v>
      </c>
      <c r="Z44" s="1">
        <f t="shared" si="24"/>
        <v>0</v>
      </c>
      <c r="AA44"/>
      <c r="AB44"/>
    </row>
    <row r="45" spans="1:28" x14ac:dyDescent="0.55000000000000004">
      <c r="A45" s="1">
        <f t="shared" si="11"/>
        <v>45</v>
      </c>
      <c r="B45" t="s">
        <v>38</v>
      </c>
      <c r="C45" t="s">
        <v>200</v>
      </c>
      <c r="D45" t="s">
        <v>133</v>
      </c>
      <c r="E45" t="s">
        <v>1964</v>
      </c>
      <c r="F45" t="s">
        <v>1969</v>
      </c>
      <c r="G45" t="s">
        <v>904</v>
      </c>
      <c r="H45" t="s">
        <v>577</v>
      </c>
      <c r="I45" t="s">
        <v>919</v>
      </c>
      <c r="J45" t="s">
        <v>1970</v>
      </c>
      <c r="K45" t="s">
        <v>952</v>
      </c>
      <c r="L45" t="s">
        <v>1078</v>
      </c>
      <c r="M45" t="s">
        <v>28</v>
      </c>
      <c r="N45" s="1">
        <f t="shared" si="12"/>
        <v>1</v>
      </c>
      <c r="O45" s="1">
        <f t="shared" si="13"/>
        <v>3</v>
      </c>
      <c r="P45" s="1">
        <f t="shared" si="14"/>
        <v>4</v>
      </c>
      <c r="Q45" s="1">
        <f t="shared" si="15"/>
        <v>1</v>
      </c>
      <c r="R45" s="1">
        <f t="shared" si="16"/>
        <v>1</v>
      </c>
      <c r="S45" s="1">
        <f t="shared" si="17"/>
        <v>1</v>
      </c>
      <c r="T45" s="1">
        <f t="shared" si="18"/>
        <v>1</v>
      </c>
      <c r="U45" s="26">
        <f t="shared" si="19"/>
        <v>1</v>
      </c>
      <c r="V45" s="26">
        <f t="shared" si="20"/>
        <v>0</v>
      </c>
      <c r="W45" s="1">
        <f t="shared" si="21"/>
        <v>0</v>
      </c>
      <c r="X45" s="26">
        <f t="shared" si="22"/>
        <v>1</v>
      </c>
      <c r="Y45" s="26">
        <f t="shared" si="23"/>
        <v>1</v>
      </c>
      <c r="Z45" s="1">
        <f t="shared" si="24"/>
        <v>1</v>
      </c>
      <c r="AA45"/>
      <c r="AB45"/>
    </row>
    <row r="46" spans="1:28" x14ac:dyDescent="0.55000000000000004">
      <c r="A46" s="1">
        <f t="shared" si="11"/>
        <v>46</v>
      </c>
      <c r="B46" t="s">
        <v>38</v>
      </c>
      <c r="C46" t="s">
        <v>200</v>
      </c>
      <c r="D46" t="s">
        <v>133</v>
      </c>
      <c r="E46" t="s">
        <v>1964</v>
      </c>
      <c r="F46" t="s">
        <v>1969</v>
      </c>
      <c r="G46" t="s">
        <v>898</v>
      </c>
      <c r="H46" t="s">
        <v>708</v>
      </c>
      <c r="I46" t="s">
        <v>934</v>
      </c>
      <c r="J46" t="s">
        <v>1971</v>
      </c>
      <c r="K46" t="s">
        <v>901</v>
      </c>
      <c r="L46" t="s">
        <v>960</v>
      </c>
      <c r="M46" t="s">
        <v>28</v>
      </c>
      <c r="N46" s="1">
        <f t="shared" si="12"/>
        <v>0</v>
      </c>
      <c r="O46" s="1">
        <f t="shared" si="13"/>
        <v>0</v>
      </c>
      <c r="P46" s="1">
        <f t="shared" si="14"/>
        <v>0</v>
      </c>
      <c r="Q46" s="1">
        <f t="shared" si="15"/>
        <v>0</v>
      </c>
      <c r="R46" s="1">
        <f t="shared" si="16"/>
        <v>1</v>
      </c>
      <c r="S46" s="1">
        <f t="shared" si="17"/>
        <v>0</v>
      </c>
      <c r="T46" s="1">
        <f t="shared" si="18"/>
        <v>1</v>
      </c>
      <c r="U46" s="26">
        <f t="shared" si="19"/>
        <v>0</v>
      </c>
      <c r="V46" s="26">
        <f t="shared" si="20"/>
        <v>0</v>
      </c>
      <c r="W46" s="1">
        <f t="shared" si="21"/>
        <v>1</v>
      </c>
      <c r="X46" s="26">
        <f t="shared" si="22"/>
        <v>0</v>
      </c>
      <c r="Y46" s="26">
        <f t="shared" si="23"/>
        <v>0</v>
      </c>
      <c r="Z46" s="1">
        <f t="shared" si="24"/>
        <v>0</v>
      </c>
      <c r="AA46"/>
      <c r="AB46"/>
    </row>
    <row r="47" spans="1:28" x14ac:dyDescent="0.55000000000000004">
      <c r="A47" s="1">
        <f t="shared" si="11"/>
        <v>47</v>
      </c>
      <c r="B47" t="s">
        <v>38</v>
      </c>
      <c r="C47" t="s">
        <v>200</v>
      </c>
      <c r="D47" t="s">
        <v>133</v>
      </c>
      <c r="E47" t="s">
        <v>1964</v>
      </c>
      <c r="F47" t="s">
        <v>1969</v>
      </c>
      <c r="G47" t="s">
        <v>924</v>
      </c>
      <c r="H47" t="s">
        <v>608</v>
      </c>
      <c r="I47" t="s">
        <v>903</v>
      </c>
      <c r="J47" t="s">
        <v>1972</v>
      </c>
      <c r="K47" t="s">
        <v>927</v>
      </c>
      <c r="L47" t="s">
        <v>1083</v>
      </c>
      <c r="M47" t="s">
        <v>28</v>
      </c>
      <c r="N47" s="1">
        <f t="shared" si="12"/>
        <v>1</v>
      </c>
      <c r="O47" s="1">
        <f t="shared" si="13"/>
        <v>1</v>
      </c>
      <c r="P47" s="1">
        <f t="shared" si="14"/>
        <v>2</v>
      </c>
      <c r="Q47" s="1">
        <f t="shared" si="15"/>
        <v>0</v>
      </c>
      <c r="R47" s="1">
        <f t="shared" si="16"/>
        <v>1</v>
      </c>
      <c r="S47" s="1">
        <f t="shared" si="17"/>
        <v>0</v>
      </c>
      <c r="T47" s="1">
        <f t="shared" si="18"/>
        <v>1</v>
      </c>
      <c r="U47" s="26">
        <f t="shared" si="19"/>
        <v>1</v>
      </c>
      <c r="V47" s="26">
        <f t="shared" si="20"/>
        <v>0</v>
      </c>
      <c r="W47" s="1">
        <f t="shared" si="21"/>
        <v>1</v>
      </c>
      <c r="X47" s="26">
        <f t="shared" si="22"/>
        <v>1</v>
      </c>
      <c r="Y47" s="26">
        <f t="shared" si="23"/>
        <v>0</v>
      </c>
      <c r="Z47" s="1">
        <f t="shared" si="24"/>
        <v>1</v>
      </c>
      <c r="AA47"/>
      <c r="AB47"/>
    </row>
    <row r="48" spans="1:28" x14ac:dyDescent="0.55000000000000004">
      <c r="A48" s="1">
        <f t="shared" si="11"/>
        <v>48</v>
      </c>
      <c r="B48" t="s">
        <v>38</v>
      </c>
      <c r="C48" t="s">
        <v>200</v>
      </c>
      <c r="D48" t="s">
        <v>133</v>
      </c>
      <c r="E48" t="s">
        <v>1964</v>
      </c>
      <c r="F48" t="s">
        <v>1969</v>
      </c>
      <c r="G48" t="s">
        <v>918</v>
      </c>
      <c r="H48" t="s">
        <v>568</v>
      </c>
      <c r="I48" t="s">
        <v>925</v>
      </c>
      <c r="J48" t="s">
        <v>1973</v>
      </c>
      <c r="K48" t="s">
        <v>921</v>
      </c>
      <c r="L48" t="s">
        <v>917</v>
      </c>
      <c r="M48" t="s">
        <v>28</v>
      </c>
      <c r="N48" s="1">
        <f t="shared" si="12"/>
        <v>0</v>
      </c>
      <c r="O48" s="1">
        <f t="shared" si="13"/>
        <v>2</v>
      </c>
      <c r="P48" s="1">
        <f t="shared" si="14"/>
        <v>2</v>
      </c>
      <c r="Q48" s="1">
        <f t="shared" si="15"/>
        <v>1</v>
      </c>
      <c r="R48" s="1">
        <f t="shared" si="16"/>
        <v>1</v>
      </c>
      <c r="S48" s="1">
        <f t="shared" si="17"/>
        <v>1</v>
      </c>
      <c r="T48" s="1">
        <f t="shared" si="18"/>
        <v>1</v>
      </c>
      <c r="U48" s="26">
        <f t="shared" si="19"/>
        <v>0</v>
      </c>
      <c r="V48" s="26">
        <f t="shared" si="20"/>
        <v>0</v>
      </c>
      <c r="W48" s="1">
        <f t="shared" si="21"/>
        <v>1</v>
      </c>
      <c r="X48" s="26">
        <f t="shared" si="22"/>
        <v>1</v>
      </c>
      <c r="Y48" s="26">
        <f t="shared" si="23"/>
        <v>1</v>
      </c>
      <c r="Z48" s="1">
        <f t="shared" si="24"/>
        <v>1</v>
      </c>
      <c r="AA48"/>
      <c r="AB48"/>
    </row>
    <row r="49" spans="1:28" x14ac:dyDescent="0.55000000000000004">
      <c r="A49" s="1">
        <f t="shared" si="11"/>
        <v>49</v>
      </c>
      <c r="B49" t="s">
        <v>38</v>
      </c>
      <c r="C49" t="s">
        <v>200</v>
      </c>
      <c r="D49" t="s">
        <v>42</v>
      </c>
      <c r="E49" t="s">
        <v>1567</v>
      </c>
      <c r="F49" t="s">
        <v>985</v>
      </c>
      <c r="G49" t="s">
        <v>930</v>
      </c>
      <c r="H49" t="s">
        <v>590</v>
      </c>
      <c r="I49" t="s">
        <v>935</v>
      </c>
      <c r="J49" t="s">
        <v>1568</v>
      </c>
      <c r="K49" t="s">
        <v>976</v>
      </c>
      <c r="L49" t="s">
        <v>1103</v>
      </c>
      <c r="M49" t="s">
        <v>28</v>
      </c>
      <c r="N49" s="1">
        <f t="shared" si="12"/>
        <v>0</v>
      </c>
      <c r="O49" s="1">
        <f t="shared" si="13"/>
        <v>1</v>
      </c>
      <c r="P49" s="1">
        <f t="shared" si="14"/>
        <v>1</v>
      </c>
      <c r="Q49" s="1">
        <f t="shared" si="15"/>
        <v>1</v>
      </c>
      <c r="R49" s="1">
        <f t="shared" si="16"/>
        <v>1</v>
      </c>
      <c r="S49" s="1">
        <f t="shared" si="17"/>
        <v>1</v>
      </c>
      <c r="T49" s="1">
        <f t="shared" si="18"/>
        <v>1</v>
      </c>
      <c r="U49" s="26">
        <f t="shared" si="19"/>
        <v>0</v>
      </c>
      <c r="V49" s="26">
        <f t="shared" si="20"/>
        <v>0</v>
      </c>
      <c r="W49" s="1">
        <f t="shared" si="21"/>
        <v>1</v>
      </c>
      <c r="X49" s="26">
        <f t="shared" si="22"/>
        <v>1</v>
      </c>
      <c r="Y49" s="26">
        <f t="shared" si="23"/>
        <v>0</v>
      </c>
      <c r="Z49" s="1">
        <f t="shared" si="24"/>
        <v>0</v>
      </c>
      <c r="AA49"/>
      <c r="AB49"/>
    </row>
    <row r="50" spans="1:28" x14ac:dyDescent="0.55000000000000004">
      <c r="A50" s="1">
        <f t="shared" si="11"/>
        <v>50</v>
      </c>
      <c r="B50" t="s">
        <v>38</v>
      </c>
      <c r="C50" t="s">
        <v>132</v>
      </c>
      <c r="D50" t="s">
        <v>133</v>
      </c>
      <c r="E50" t="s">
        <v>1974</v>
      </c>
      <c r="F50" t="s">
        <v>985</v>
      </c>
      <c r="G50" t="s">
        <v>914</v>
      </c>
      <c r="H50" t="s">
        <v>579</v>
      </c>
      <c r="I50" t="s">
        <v>903</v>
      </c>
      <c r="J50" t="s">
        <v>1975</v>
      </c>
      <c r="K50" t="s">
        <v>901</v>
      </c>
      <c r="L50" t="s">
        <v>912</v>
      </c>
      <c r="M50" t="s">
        <v>28</v>
      </c>
      <c r="N50" s="1">
        <f t="shared" si="12"/>
        <v>2</v>
      </c>
      <c r="O50" s="1">
        <f t="shared" si="13"/>
        <v>1</v>
      </c>
      <c r="P50" s="1">
        <f t="shared" si="14"/>
        <v>3</v>
      </c>
      <c r="Q50" s="1">
        <f t="shared" si="15"/>
        <v>1</v>
      </c>
      <c r="R50" s="1">
        <f t="shared" si="16"/>
        <v>1</v>
      </c>
      <c r="S50" s="1">
        <f t="shared" si="17"/>
        <v>1</v>
      </c>
      <c r="T50" s="1">
        <f t="shared" si="18"/>
        <v>1</v>
      </c>
      <c r="U50" s="26">
        <f t="shared" si="19"/>
        <v>1</v>
      </c>
      <c r="V50" s="26">
        <f t="shared" si="20"/>
        <v>1</v>
      </c>
      <c r="W50" s="1">
        <f t="shared" si="21"/>
        <v>1</v>
      </c>
      <c r="X50" s="26">
        <f t="shared" si="22"/>
        <v>1</v>
      </c>
      <c r="Y50" s="26">
        <f t="shared" si="23"/>
        <v>0</v>
      </c>
      <c r="Z50" s="1">
        <f t="shared" si="24"/>
        <v>1</v>
      </c>
      <c r="AA50"/>
      <c r="AB50"/>
    </row>
    <row r="51" spans="1:28" x14ac:dyDescent="0.55000000000000004">
      <c r="A51" s="1">
        <f t="shared" si="11"/>
        <v>51</v>
      </c>
      <c r="B51" t="s">
        <v>38</v>
      </c>
      <c r="C51" t="s">
        <v>132</v>
      </c>
      <c r="D51" t="s">
        <v>133</v>
      </c>
      <c r="E51" t="s">
        <v>1974</v>
      </c>
      <c r="F51" t="s">
        <v>985</v>
      </c>
      <c r="G51" t="s">
        <v>935</v>
      </c>
      <c r="H51" t="s">
        <v>575</v>
      </c>
      <c r="I51" t="s">
        <v>898</v>
      </c>
      <c r="J51" t="s">
        <v>1976</v>
      </c>
      <c r="K51" t="s">
        <v>949</v>
      </c>
      <c r="L51" t="s">
        <v>1099</v>
      </c>
      <c r="M51" t="s">
        <v>28</v>
      </c>
      <c r="N51" s="1">
        <f t="shared" si="12"/>
        <v>1</v>
      </c>
      <c r="O51" s="1">
        <f t="shared" si="13"/>
        <v>0</v>
      </c>
      <c r="P51" s="1">
        <f t="shared" si="14"/>
        <v>1</v>
      </c>
      <c r="Q51" s="1">
        <f t="shared" si="15"/>
        <v>1</v>
      </c>
      <c r="R51" s="1">
        <f t="shared" si="16"/>
        <v>1</v>
      </c>
      <c r="S51" s="1">
        <f t="shared" si="17"/>
        <v>1</v>
      </c>
      <c r="T51" s="1">
        <f t="shared" si="18"/>
        <v>1</v>
      </c>
      <c r="U51" s="26">
        <f t="shared" si="19"/>
        <v>1</v>
      </c>
      <c r="V51" s="26">
        <f t="shared" si="20"/>
        <v>0</v>
      </c>
      <c r="W51" s="1">
        <f t="shared" si="21"/>
        <v>1</v>
      </c>
      <c r="X51" s="26">
        <f t="shared" si="22"/>
        <v>0</v>
      </c>
      <c r="Y51" s="26">
        <f t="shared" si="23"/>
        <v>0</v>
      </c>
      <c r="Z51" s="1">
        <f t="shared" si="24"/>
        <v>0</v>
      </c>
      <c r="AA51"/>
      <c r="AB51"/>
    </row>
    <row r="52" spans="1:28" x14ac:dyDescent="0.55000000000000004">
      <c r="A52" s="1">
        <f t="shared" si="11"/>
        <v>52</v>
      </c>
      <c r="B52" t="s">
        <v>38</v>
      </c>
      <c r="C52" t="s">
        <v>132</v>
      </c>
      <c r="D52" t="s">
        <v>133</v>
      </c>
      <c r="E52" t="s">
        <v>1974</v>
      </c>
      <c r="F52" t="s">
        <v>985</v>
      </c>
      <c r="G52" t="s">
        <v>925</v>
      </c>
      <c r="H52" t="s">
        <v>575</v>
      </c>
      <c r="I52" t="s">
        <v>909</v>
      </c>
      <c r="J52" t="s">
        <v>1977</v>
      </c>
      <c r="K52" t="s">
        <v>1082</v>
      </c>
      <c r="L52" t="s">
        <v>974</v>
      </c>
      <c r="M52" t="s">
        <v>28</v>
      </c>
      <c r="N52" s="1">
        <f t="shared" si="12"/>
        <v>1</v>
      </c>
      <c r="O52" s="1">
        <f t="shared" si="13"/>
        <v>0</v>
      </c>
      <c r="P52" s="1">
        <f t="shared" si="14"/>
        <v>1</v>
      </c>
      <c r="Q52" s="1">
        <f t="shared" si="15"/>
        <v>1</v>
      </c>
      <c r="R52" s="1">
        <f t="shared" si="16"/>
        <v>1</v>
      </c>
      <c r="S52" s="1">
        <f t="shared" si="17"/>
        <v>1</v>
      </c>
      <c r="T52" s="1">
        <f t="shared" si="18"/>
        <v>1</v>
      </c>
      <c r="U52" s="26">
        <f t="shared" si="19"/>
        <v>1</v>
      </c>
      <c r="V52" s="26">
        <f t="shared" si="20"/>
        <v>0</v>
      </c>
      <c r="W52" s="1">
        <f t="shared" si="21"/>
        <v>1</v>
      </c>
      <c r="X52" s="26">
        <f t="shared" si="22"/>
        <v>0</v>
      </c>
      <c r="Y52" s="26">
        <f t="shared" si="23"/>
        <v>0</v>
      </c>
      <c r="Z52" s="1">
        <f t="shared" si="24"/>
        <v>0</v>
      </c>
      <c r="AA52"/>
      <c r="AB52"/>
    </row>
    <row r="53" spans="1:28" x14ac:dyDescent="0.55000000000000004">
      <c r="A53" s="1">
        <f t="shared" si="11"/>
        <v>53</v>
      </c>
      <c r="B53" t="s">
        <v>38</v>
      </c>
      <c r="C53" t="s">
        <v>132</v>
      </c>
      <c r="D53" t="s">
        <v>133</v>
      </c>
      <c r="E53" t="s">
        <v>1974</v>
      </c>
      <c r="F53" t="s">
        <v>985</v>
      </c>
      <c r="G53" t="s">
        <v>918</v>
      </c>
      <c r="H53" t="s">
        <v>573</v>
      </c>
      <c r="I53" t="s">
        <v>924</v>
      </c>
      <c r="J53" t="s">
        <v>1978</v>
      </c>
      <c r="K53" t="s">
        <v>921</v>
      </c>
      <c r="L53" t="s">
        <v>1103</v>
      </c>
      <c r="M53" t="s">
        <v>28</v>
      </c>
      <c r="N53" s="1">
        <f t="shared" si="12"/>
        <v>2</v>
      </c>
      <c r="O53" s="1">
        <f t="shared" si="13"/>
        <v>0</v>
      </c>
      <c r="P53" s="1">
        <f t="shared" si="14"/>
        <v>2</v>
      </c>
      <c r="Q53" s="1">
        <f t="shared" si="15"/>
        <v>1</v>
      </c>
      <c r="R53" s="1">
        <f t="shared" si="16"/>
        <v>1</v>
      </c>
      <c r="S53" s="1">
        <f t="shared" si="17"/>
        <v>1</v>
      </c>
      <c r="T53" s="1">
        <f t="shared" si="18"/>
        <v>1</v>
      </c>
      <c r="U53" s="26">
        <f t="shared" si="19"/>
        <v>1</v>
      </c>
      <c r="V53" s="26">
        <f t="shared" si="20"/>
        <v>1</v>
      </c>
      <c r="W53" s="1">
        <f t="shared" si="21"/>
        <v>1</v>
      </c>
      <c r="X53" s="26">
        <f t="shared" si="22"/>
        <v>0</v>
      </c>
      <c r="Y53" s="26">
        <f t="shared" si="23"/>
        <v>0</v>
      </c>
      <c r="Z53" s="1">
        <f t="shared" si="24"/>
        <v>1</v>
      </c>
      <c r="AA53"/>
      <c r="AB53"/>
    </row>
    <row r="54" spans="1:28" x14ac:dyDescent="0.55000000000000004">
      <c r="A54" s="1">
        <f t="shared" si="11"/>
        <v>54</v>
      </c>
      <c r="B54" t="s">
        <v>38</v>
      </c>
      <c r="C54" t="s">
        <v>132</v>
      </c>
      <c r="D54" t="s">
        <v>42</v>
      </c>
      <c r="E54" t="s">
        <v>1569</v>
      </c>
      <c r="F54" t="s">
        <v>1570</v>
      </c>
      <c r="G54" t="s">
        <v>899</v>
      </c>
      <c r="H54" t="s">
        <v>581</v>
      </c>
      <c r="I54" t="s">
        <v>930</v>
      </c>
      <c r="J54" t="s">
        <v>1571</v>
      </c>
      <c r="K54" t="s">
        <v>973</v>
      </c>
      <c r="L54" t="s">
        <v>1078</v>
      </c>
      <c r="M54" t="s">
        <v>28</v>
      </c>
      <c r="N54" s="1">
        <f t="shared" si="12"/>
        <v>1</v>
      </c>
      <c r="O54" s="1">
        <f t="shared" si="13"/>
        <v>2</v>
      </c>
      <c r="P54" s="1">
        <f t="shared" si="14"/>
        <v>3</v>
      </c>
      <c r="Q54" s="1">
        <f t="shared" si="15"/>
        <v>1</v>
      </c>
      <c r="R54" s="1">
        <f t="shared" si="16"/>
        <v>1</v>
      </c>
      <c r="S54" s="1">
        <f t="shared" si="17"/>
        <v>1</v>
      </c>
      <c r="T54" s="1">
        <f t="shared" si="18"/>
        <v>1</v>
      </c>
      <c r="U54" s="26">
        <f t="shared" si="19"/>
        <v>1</v>
      </c>
      <c r="V54" s="26">
        <f t="shared" si="20"/>
        <v>0</v>
      </c>
      <c r="W54" s="1">
        <f t="shared" si="21"/>
        <v>1</v>
      </c>
      <c r="X54" s="26">
        <f t="shared" si="22"/>
        <v>1</v>
      </c>
      <c r="Y54" s="26">
        <f t="shared" si="23"/>
        <v>1</v>
      </c>
      <c r="Z54" s="1">
        <f t="shared" si="24"/>
        <v>1</v>
      </c>
      <c r="AA54"/>
      <c r="AB54"/>
    </row>
    <row r="55" spans="1:28" x14ac:dyDescent="0.55000000000000004">
      <c r="A55" s="1">
        <f t="shared" si="11"/>
        <v>55</v>
      </c>
      <c r="B55" t="s">
        <v>38</v>
      </c>
      <c r="C55" t="s">
        <v>132</v>
      </c>
      <c r="D55" t="s">
        <v>42</v>
      </c>
      <c r="E55" t="s">
        <v>1569</v>
      </c>
      <c r="F55" t="s">
        <v>985</v>
      </c>
      <c r="G55" t="s">
        <v>919</v>
      </c>
      <c r="H55" t="s">
        <v>608</v>
      </c>
      <c r="I55" t="s">
        <v>940</v>
      </c>
      <c r="J55" t="s">
        <v>1572</v>
      </c>
      <c r="K55" t="s">
        <v>968</v>
      </c>
      <c r="L55" t="s">
        <v>1122</v>
      </c>
      <c r="M55" t="s">
        <v>28</v>
      </c>
      <c r="N55" s="1">
        <f t="shared" si="12"/>
        <v>1</v>
      </c>
      <c r="O55" s="1">
        <f t="shared" si="13"/>
        <v>1</v>
      </c>
      <c r="P55" s="1">
        <f t="shared" si="14"/>
        <v>2</v>
      </c>
      <c r="Q55" s="1">
        <f t="shared" si="15"/>
        <v>0</v>
      </c>
      <c r="R55" s="1">
        <f t="shared" si="16"/>
        <v>1</v>
      </c>
      <c r="S55" s="1">
        <f t="shared" si="17"/>
        <v>0</v>
      </c>
      <c r="T55" s="1">
        <f t="shared" si="18"/>
        <v>1</v>
      </c>
      <c r="U55" s="26">
        <f t="shared" si="19"/>
        <v>1</v>
      </c>
      <c r="V55" s="26">
        <f t="shared" si="20"/>
        <v>0</v>
      </c>
      <c r="W55" s="1">
        <f t="shared" si="21"/>
        <v>1</v>
      </c>
      <c r="X55" s="26">
        <f t="shared" si="22"/>
        <v>1</v>
      </c>
      <c r="Y55" s="26">
        <f t="shared" si="23"/>
        <v>0</v>
      </c>
      <c r="Z55" s="1">
        <f t="shared" si="24"/>
        <v>1</v>
      </c>
      <c r="AA55"/>
      <c r="AB55"/>
    </row>
    <row r="56" spans="1:28" x14ac:dyDescent="0.55000000000000004">
      <c r="A56" s="1">
        <f t="shared" si="11"/>
        <v>56</v>
      </c>
      <c r="B56" t="s">
        <v>38</v>
      </c>
      <c r="C56" t="s">
        <v>132</v>
      </c>
      <c r="D56" t="s">
        <v>42</v>
      </c>
      <c r="E56" t="s">
        <v>1569</v>
      </c>
      <c r="F56" t="s">
        <v>985</v>
      </c>
      <c r="G56" t="s">
        <v>913</v>
      </c>
      <c r="H56" t="s">
        <v>708</v>
      </c>
      <c r="I56" t="s">
        <v>979</v>
      </c>
      <c r="J56" t="s">
        <v>1573</v>
      </c>
      <c r="K56" t="s">
        <v>916</v>
      </c>
      <c r="L56" t="s">
        <v>907</v>
      </c>
      <c r="M56" t="s">
        <v>28</v>
      </c>
      <c r="N56" s="1">
        <f t="shared" si="12"/>
        <v>0</v>
      </c>
      <c r="O56" s="1">
        <f t="shared" si="13"/>
        <v>0</v>
      </c>
      <c r="P56" s="1">
        <f t="shared" si="14"/>
        <v>0</v>
      </c>
      <c r="Q56" s="1">
        <f t="shared" si="15"/>
        <v>0</v>
      </c>
      <c r="R56" s="1">
        <f t="shared" si="16"/>
        <v>1</v>
      </c>
      <c r="S56" s="1">
        <f t="shared" si="17"/>
        <v>0</v>
      </c>
      <c r="T56" s="1">
        <f t="shared" si="18"/>
        <v>1</v>
      </c>
      <c r="U56" s="26">
        <f t="shared" si="19"/>
        <v>0</v>
      </c>
      <c r="V56" s="26">
        <f t="shared" si="20"/>
        <v>0</v>
      </c>
      <c r="W56" s="1">
        <f t="shared" si="21"/>
        <v>1</v>
      </c>
      <c r="X56" s="26">
        <f t="shared" si="22"/>
        <v>0</v>
      </c>
      <c r="Y56" s="26">
        <f t="shared" si="23"/>
        <v>0</v>
      </c>
      <c r="Z56" s="1">
        <f t="shared" si="24"/>
        <v>0</v>
      </c>
      <c r="AA56"/>
      <c r="AB56"/>
    </row>
    <row r="57" spans="1:28" x14ac:dyDescent="0.55000000000000004">
      <c r="A57" s="1">
        <f t="shared" si="11"/>
        <v>57</v>
      </c>
      <c r="B57" t="s">
        <v>38</v>
      </c>
      <c r="C57" t="s">
        <v>132</v>
      </c>
      <c r="D57" t="s">
        <v>42</v>
      </c>
      <c r="E57" t="s">
        <v>1569</v>
      </c>
      <c r="F57" t="s">
        <v>985</v>
      </c>
      <c r="G57" t="s">
        <v>908</v>
      </c>
      <c r="H57" t="s">
        <v>608</v>
      </c>
      <c r="I57" t="s">
        <v>904</v>
      </c>
      <c r="J57" t="s">
        <v>1574</v>
      </c>
      <c r="K57" t="s">
        <v>911</v>
      </c>
      <c r="L57" t="s">
        <v>917</v>
      </c>
      <c r="M57" t="s">
        <v>28</v>
      </c>
      <c r="N57" s="1">
        <f t="shared" si="12"/>
        <v>1</v>
      </c>
      <c r="O57" s="1">
        <f t="shared" si="13"/>
        <v>1</v>
      </c>
      <c r="P57" s="1">
        <f t="shared" si="14"/>
        <v>2</v>
      </c>
      <c r="Q57" s="1">
        <f t="shared" si="15"/>
        <v>0</v>
      </c>
      <c r="R57" s="1">
        <f t="shared" si="16"/>
        <v>1</v>
      </c>
      <c r="S57" s="1">
        <f t="shared" si="17"/>
        <v>0</v>
      </c>
      <c r="T57" s="1">
        <f t="shared" si="18"/>
        <v>1</v>
      </c>
      <c r="U57" s="26">
        <f t="shared" si="19"/>
        <v>1</v>
      </c>
      <c r="V57" s="26">
        <f t="shared" si="20"/>
        <v>0</v>
      </c>
      <c r="W57" s="1">
        <f t="shared" si="21"/>
        <v>1</v>
      </c>
      <c r="X57" s="26">
        <f t="shared" si="22"/>
        <v>1</v>
      </c>
      <c r="Y57" s="26">
        <f t="shared" si="23"/>
        <v>0</v>
      </c>
      <c r="Z57" s="1">
        <f t="shared" si="24"/>
        <v>1</v>
      </c>
      <c r="AA57"/>
      <c r="AB57"/>
    </row>
    <row r="58" spans="1:28" x14ac:dyDescent="0.55000000000000004">
      <c r="A58" s="1">
        <f t="shared" si="11"/>
        <v>58</v>
      </c>
      <c r="B58" t="s">
        <v>38</v>
      </c>
      <c r="C58" t="s">
        <v>132</v>
      </c>
      <c r="D58" t="s">
        <v>42</v>
      </c>
      <c r="E58" t="s">
        <v>1569</v>
      </c>
      <c r="F58" t="s">
        <v>985</v>
      </c>
      <c r="G58" t="s">
        <v>981</v>
      </c>
      <c r="H58" t="s">
        <v>573</v>
      </c>
      <c r="I58" t="s">
        <v>929</v>
      </c>
      <c r="J58" t="s">
        <v>1575</v>
      </c>
      <c r="K58" t="s">
        <v>1086</v>
      </c>
      <c r="L58" t="s">
        <v>1083</v>
      </c>
      <c r="M58" t="s">
        <v>28</v>
      </c>
      <c r="N58" s="1">
        <f t="shared" si="12"/>
        <v>2</v>
      </c>
      <c r="O58" s="1">
        <f t="shared" si="13"/>
        <v>0</v>
      </c>
      <c r="P58" s="1">
        <f t="shared" si="14"/>
        <v>2</v>
      </c>
      <c r="Q58" s="1">
        <f t="shared" si="15"/>
        <v>1</v>
      </c>
      <c r="R58" s="1">
        <f t="shared" si="16"/>
        <v>1</v>
      </c>
      <c r="S58" s="1">
        <f t="shared" si="17"/>
        <v>1</v>
      </c>
      <c r="T58" s="1">
        <f t="shared" si="18"/>
        <v>1</v>
      </c>
      <c r="U58" s="26">
        <f t="shared" si="19"/>
        <v>1</v>
      </c>
      <c r="V58" s="26">
        <f t="shared" si="20"/>
        <v>1</v>
      </c>
      <c r="W58" s="1">
        <f t="shared" si="21"/>
        <v>1</v>
      </c>
      <c r="X58" s="26">
        <f t="shared" si="22"/>
        <v>0</v>
      </c>
      <c r="Y58" s="26">
        <f t="shared" si="23"/>
        <v>0</v>
      </c>
      <c r="Z58" s="1">
        <f t="shared" si="24"/>
        <v>1</v>
      </c>
      <c r="AA58"/>
      <c r="AB58"/>
    </row>
    <row r="59" spans="1:28" x14ac:dyDescent="0.55000000000000004">
      <c r="A59" s="1">
        <f t="shared" si="11"/>
        <v>59</v>
      </c>
      <c r="B59" t="s">
        <v>38</v>
      </c>
      <c r="C59" t="s">
        <v>132</v>
      </c>
      <c r="D59" t="s">
        <v>42</v>
      </c>
      <c r="E59" t="s">
        <v>1569</v>
      </c>
      <c r="F59" t="s">
        <v>1565</v>
      </c>
      <c r="G59" t="s">
        <v>934</v>
      </c>
      <c r="H59" t="s">
        <v>581</v>
      </c>
      <c r="I59" t="s">
        <v>945</v>
      </c>
      <c r="J59" t="s">
        <v>1576</v>
      </c>
      <c r="K59" t="s">
        <v>937</v>
      </c>
      <c r="L59" t="s">
        <v>902</v>
      </c>
      <c r="M59" t="s">
        <v>28</v>
      </c>
      <c r="N59" s="1">
        <f t="shared" si="12"/>
        <v>1</v>
      </c>
      <c r="O59" s="1">
        <f t="shared" si="13"/>
        <v>2</v>
      </c>
      <c r="P59" s="1">
        <f t="shared" si="14"/>
        <v>3</v>
      </c>
      <c r="Q59" s="1">
        <f t="shared" si="15"/>
        <v>1</v>
      </c>
      <c r="R59" s="1">
        <f t="shared" si="16"/>
        <v>1</v>
      </c>
      <c r="S59" s="1">
        <f t="shared" si="17"/>
        <v>1</v>
      </c>
      <c r="T59" s="1">
        <f t="shared" si="18"/>
        <v>1</v>
      </c>
      <c r="U59" s="26">
        <f t="shared" si="19"/>
        <v>1</v>
      </c>
      <c r="V59" s="26">
        <f t="shared" si="20"/>
        <v>0</v>
      </c>
      <c r="W59" s="1">
        <f t="shared" si="21"/>
        <v>1</v>
      </c>
      <c r="X59" s="26">
        <f t="shared" si="22"/>
        <v>1</v>
      </c>
      <c r="Y59" s="26">
        <f t="shared" si="23"/>
        <v>1</v>
      </c>
      <c r="Z59" s="1">
        <f t="shared" si="24"/>
        <v>1</v>
      </c>
      <c r="AA59"/>
      <c r="AB59"/>
    </row>
    <row r="60" spans="1:28" x14ac:dyDescent="0.55000000000000004">
      <c r="A60" s="1">
        <f t="shared" si="11"/>
        <v>60</v>
      </c>
      <c r="B60" t="s">
        <v>38</v>
      </c>
      <c r="C60" t="s">
        <v>153</v>
      </c>
      <c r="D60" t="s">
        <v>174</v>
      </c>
      <c r="E60" t="s">
        <v>1342</v>
      </c>
      <c r="F60" t="s">
        <v>1073</v>
      </c>
      <c r="G60" t="s">
        <v>924</v>
      </c>
      <c r="H60" t="s">
        <v>608</v>
      </c>
      <c r="I60" t="s">
        <v>940</v>
      </c>
      <c r="J60" t="s">
        <v>1343</v>
      </c>
      <c r="K60" t="s">
        <v>927</v>
      </c>
      <c r="L60" t="s">
        <v>1078</v>
      </c>
      <c r="M60" t="s">
        <v>28</v>
      </c>
      <c r="N60" s="1">
        <f t="shared" si="12"/>
        <v>1</v>
      </c>
      <c r="O60" s="1">
        <f t="shared" si="13"/>
        <v>1</v>
      </c>
      <c r="P60" s="1">
        <f t="shared" si="14"/>
        <v>2</v>
      </c>
      <c r="Q60" s="1">
        <f t="shared" si="15"/>
        <v>0</v>
      </c>
      <c r="R60" s="1">
        <f t="shared" si="16"/>
        <v>1</v>
      </c>
      <c r="S60" s="1">
        <f t="shared" si="17"/>
        <v>0</v>
      </c>
      <c r="T60" s="1">
        <f t="shared" si="18"/>
        <v>1</v>
      </c>
      <c r="U60" s="26">
        <f t="shared" si="19"/>
        <v>1</v>
      </c>
      <c r="V60" s="26">
        <f t="shared" si="20"/>
        <v>0</v>
      </c>
      <c r="W60" s="1">
        <f t="shared" si="21"/>
        <v>1</v>
      </c>
      <c r="X60" s="26">
        <f t="shared" si="22"/>
        <v>1</v>
      </c>
      <c r="Y60" s="26">
        <f t="shared" si="23"/>
        <v>0</v>
      </c>
      <c r="Z60" s="1">
        <f t="shared" si="24"/>
        <v>1</v>
      </c>
      <c r="AA60"/>
      <c r="AB60"/>
    </row>
    <row r="61" spans="1:28" x14ac:dyDescent="0.55000000000000004">
      <c r="A61" s="1">
        <f t="shared" si="11"/>
        <v>61</v>
      </c>
      <c r="B61" t="s">
        <v>38</v>
      </c>
      <c r="C61" t="s">
        <v>153</v>
      </c>
      <c r="D61" t="s">
        <v>133</v>
      </c>
      <c r="E61" t="s">
        <v>1979</v>
      </c>
      <c r="F61" t="s">
        <v>1980</v>
      </c>
      <c r="G61" t="s">
        <v>913</v>
      </c>
      <c r="H61" t="s">
        <v>575</v>
      </c>
      <c r="I61" t="s">
        <v>981</v>
      </c>
      <c r="J61" t="s">
        <v>1981</v>
      </c>
      <c r="K61" t="s">
        <v>916</v>
      </c>
      <c r="L61" t="s">
        <v>966</v>
      </c>
      <c r="M61" t="s">
        <v>28</v>
      </c>
      <c r="N61" s="1">
        <f t="shared" si="12"/>
        <v>1</v>
      </c>
      <c r="O61" s="1">
        <f t="shared" si="13"/>
        <v>0</v>
      </c>
      <c r="P61" s="1">
        <f t="shared" si="14"/>
        <v>1</v>
      </c>
      <c r="Q61" s="1">
        <f t="shared" si="15"/>
        <v>1</v>
      </c>
      <c r="R61" s="1">
        <f t="shared" si="16"/>
        <v>1</v>
      </c>
      <c r="S61" s="1">
        <f t="shared" si="17"/>
        <v>1</v>
      </c>
      <c r="T61" s="1">
        <f t="shared" si="18"/>
        <v>1</v>
      </c>
      <c r="U61" s="26">
        <f t="shared" si="19"/>
        <v>1</v>
      </c>
      <c r="V61" s="26">
        <f t="shared" si="20"/>
        <v>0</v>
      </c>
      <c r="W61" s="1">
        <f t="shared" si="21"/>
        <v>1</v>
      </c>
      <c r="X61" s="26">
        <f t="shared" si="22"/>
        <v>0</v>
      </c>
      <c r="Y61" s="26">
        <f t="shared" si="23"/>
        <v>0</v>
      </c>
      <c r="Z61" s="1">
        <f t="shared" si="24"/>
        <v>0</v>
      </c>
      <c r="AA61"/>
      <c r="AB61"/>
    </row>
    <row r="62" spans="1:28" x14ac:dyDescent="0.55000000000000004">
      <c r="A62" s="1">
        <f t="shared" si="11"/>
        <v>62</v>
      </c>
      <c r="B62" t="s">
        <v>38</v>
      </c>
      <c r="C62" t="s">
        <v>153</v>
      </c>
      <c r="D62" t="s">
        <v>133</v>
      </c>
      <c r="E62" t="s">
        <v>1979</v>
      </c>
      <c r="F62" t="s">
        <v>1570</v>
      </c>
      <c r="G62" t="s">
        <v>899</v>
      </c>
      <c r="H62" t="s">
        <v>722</v>
      </c>
      <c r="I62" t="s">
        <v>934</v>
      </c>
      <c r="J62" t="s">
        <v>1982</v>
      </c>
      <c r="K62" t="s">
        <v>973</v>
      </c>
      <c r="L62" t="s">
        <v>984</v>
      </c>
      <c r="M62" t="s">
        <v>28</v>
      </c>
      <c r="N62" s="1">
        <f t="shared" si="12"/>
        <v>3</v>
      </c>
      <c r="O62" s="1">
        <f t="shared" si="13"/>
        <v>0</v>
      </c>
      <c r="P62" s="1">
        <f t="shared" si="14"/>
        <v>3</v>
      </c>
      <c r="Q62" s="1">
        <f t="shared" si="15"/>
        <v>1</v>
      </c>
      <c r="R62" s="1">
        <f t="shared" si="16"/>
        <v>1</v>
      </c>
      <c r="S62" s="1">
        <f t="shared" si="17"/>
        <v>1</v>
      </c>
      <c r="T62" s="1">
        <f t="shared" si="18"/>
        <v>0</v>
      </c>
      <c r="U62" s="26">
        <f t="shared" si="19"/>
        <v>1</v>
      </c>
      <c r="V62" s="26">
        <f t="shared" si="20"/>
        <v>1</v>
      </c>
      <c r="W62" s="1">
        <f t="shared" si="21"/>
        <v>1</v>
      </c>
      <c r="X62" s="26">
        <f t="shared" si="22"/>
        <v>0</v>
      </c>
      <c r="Y62" s="26">
        <f t="shared" si="23"/>
        <v>0</v>
      </c>
      <c r="Z62" s="1">
        <f t="shared" si="24"/>
        <v>1</v>
      </c>
      <c r="AA62"/>
      <c r="AB62"/>
    </row>
    <row r="63" spans="1:28" x14ac:dyDescent="0.55000000000000004">
      <c r="A63" s="1">
        <f t="shared" si="11"/>
        <v>63</v>
      </c>
      <c r="B63" t="s">
        <v>38</v>
      </c>
      <c r="C63" t="s">
        <v>153</v>
      </c>
      <c r="D63" t="s">
        <v>133</v>
      </c>
      <c r="E63" t="s">
        <v>1979</v>
      </c>
      <c r="F63" t="s">
        <v>985</v>
      </c>
      <c r="G63" t="s">
        <v>909</v>
      </c>
      <c r="H63" t="s">
        <v>881</v>
      </c>
      <c r="I63" t="s">
        <v>929</v>
      </c>
      <c r="J63" t="s">
        <v>1983</v>
      </c>
      <c r="K63" t="s">
        <v>965</v>
      </c>
      <c r="L63" t="s">
        <v>907</v>
      </c>
      <c r="M63" t="s">
        <v>28</v>
      </c>
      <c r="N63" s="1">
        <f t="shared" si="12"/>
        <v>3</v>
      </c>
      <c r="O63" s="1">
        <f t="shared" si="13"/>
        <v>3</v>
      </c>
      <c r="P63" s="1">
        <f t="shared" si="14"/>
        <v>6</v>
      </c>
      <c r="Q63" s="1">
        <f t="shared" si="15"/>
        <v>0</v>
      </c>
      <c r="R63" s="1">
        <f t="shared" si="16"/>
        <v>0</v>
      </c>
      <c r="S63" s="1">
        <f t="shared" si="17"/>
        <v>0</v>
      </c>
      <c r="T63" s="1">
        <f t="shared" si="18"/>
        <v>0</v>
      </c>
      <c r="U63" s="26">
        <f t="shared" si="19"/>
        <v>1</v>
      </c>
      <c r="V63" s="26">
        <f t="shared" si="20"/>
        <v>1</v>
      </c>
      <c r="W63" s="1">
        <f t="shared" si="21"/>
        <v>0</v>
      </c>
      <c r="X63" s="26">
        <f t="shared" si="22"/>
        <v>1</v>
      </c>
      <c r="Y63" s="26">
        <f t="shared" si="23"/>
        <v>1</v>
      </c>
      <c r="Z63" s="1">
        <f t="shared" si="24"/>
        <v>1</v>
      </c>
      <c r="AA63"/>
      <c r="AB63"/>
    </row>
    <row r="64" spans="1:28" x14ac:dyDescent="0.55000000000000004">
      <c r="A64" s="1">
        <f t="shared" si="11"/>
        <v>64</v>
      </c>
      <c r="B64" t="s">
        <v>38</v>
      </c>
      <c r="C64" t="s">
        <v>153</v>
      </c>
      <c r="D64" t="s">
        <v>133</v>
      </c>
      <c r="E64" t="s">
        <v>1979</v>
      </c>
      <c r="F64" t="s">
        <v>985</v>
      </c>
      <c r="G64" t="s">
        <v>904</v>
      </c>
      <c r="H64" t="s">
        <v>708</v>
      </c>
      <c r="I64" t="s">
        <v>914</v>
      </c>
      <c r="J64" t="s">
        <v>1984</v>
      </c>
      <c r="K64" t="s">
        <v>952</v>
      </c>
      <c r="L64" t="s">
        <v>902</v>
      </c>
      <c r="M64" t="s">
        <v>28</v>
      </c>
      <c r="N64" s="1">
        <f t="shared" si="12"/>
        <v>0</v>
      </c>
      <c r="O64" s="1">
        <f t="shared" si="13"/>
        <v>0</v>
      </c>
      <c r="P64" s="1">
        <f t="shared" si="14"/>
        <v>0</v>
      </c>
      <c r="Q64" s="1">
        <f t="shared" si="15"/>
        <v>0</v>
      </c>
      <c r="R64" s="1">
        <f t="shared" si="16"/>
        <v>1</v>
      </c>
      <c r="S64" s="1">
        <f t="shared" si="17"/>
        <v>0</v>
      </c>
      <c r="T64" s="1">
        <f t="shared" si="18"/>
        <v>1</v>
      </c>
      <c r="U64" s="26">
        <f t="shared" si="19"/>
        <v>0</v>
      </c>
      <c r="V64" s="26">
        <f t="shared" si="20"/>
        <v>0</v>
      </c>
      <c r="W64" s="1">
        <f t="shared" si="21"/>
        <v>1</v>
      </c>
      <c r="X64" s="26">
        <f t="shared" si="22"/>
        <v>0</v>
      </c>
      <c r="Y64" s="26">
        <f t="shared" si="23"/>
        <v>0</v>
      </c>
      <c r="Z64" s="1">
        <f t="shared" si="24"/>
        <v>0</v>
      </c>
      <c r="AA64"/>
      <c r="AB64"/>
    </row>
    <row r="65" spans="1:28" x14ac:dyDescent="0.55000000000000004">
      <c r="A65" s="1">
        <f t="shared" si="11"/>
        <v>65</v>
      </c>
      <c r="B65" t="s">
        <v>38</v>
      </c>
      <c r="C65" t="s">
        <v>153</v>
      </c>
      <c r="D65" t="s">
        <v>133</v>
      </c>
      <c r="E65" t="s">
        <v>1979</v>
      </c>
      <c r="F65" t="s">
        <v>985</v>
      </c>
      <c r="G65" t="s">
        <v>903</v>
      </c>
      <c r="H65" t="s">
        <v>579</v>
      </c>
      <c r="I65" t="s">
        <v>918</v>
      </c>
      <c r="J65" t="s">
        <v>1985</v>
      </c>
      <c r="K65" t="s">
        <v>906</v>
      </c>
      <c r="L65" t="s">
        <v>1122</v>
      </c>
      <c r="M65" t="s">
        <v>28</v>
      </c>
      <c r="N65" s="1">
        <f t="shared" si="12"/>
        <v>2</v>
      </c>
      <c r="O65" s="1">
        <f t="shared" si="13"/>
        <v>1</v>
      </c>
      <c r="P65" s="1">
        <f t="shared" si="14"/>
        <v>3</v>
      </c>
      <c r="Q65" s="1">
        <f t="shared" si="15"/>
        <v>1</v>
      </c>
      <c r="R65" s="1">
        <f t="shared" si="16"/>
        <v>1</v>
      </c>
      <c r="S65" s="1">
        <f t="shared" si="17"/>
        <v>1</v>
      </c>
      <c r="T65" s="1">
        <f t="shared" si="18"/>
        <v>1</v>
      </c>
      <c r="U65" s="26">
        <f t="shared" si="19"/>
        <v>1</v>
      </c>
      <c r="V65" s="26">
        <f t="shared" si="20"/>
        <v>1</v>
      </c>
      <c r="W65" s="1">
        <f t="shared" si="21"/>
        <v>1</v>
      </c>
      <c r="X65" s="26">
        <f t="shared" si="22"/>
        <v>1</v>
      </c>
      <c r="Y65" s="26">
        <f t="shared" si="23"/>
        <v>0</v>
      </c>
      <c r="Z65" s="1">
        <f t="shared" si="24"/>
        <v>1</v>
      </c>
      <c r="AA65"/>
      <c r="AB65"/>
    </row>
    <row r="66" spans="1:28" x14ac:dyDescent="0.55000000000000004">
      <c r="A66" s="1">
        <f t="shared" si="11"/>
        <v>66</v>
      </c>
      <c r="B66" t="s">
        <v>38</v>
      </c>
      <c r="C66" t="s">
        <v>153</v>
      </c>
      <c r="D66" t="s">
        <v>133</v>
      </c>
      <c r="E66" t="s">
        <v>1979</v>
      </c>
      <c r="F66" t="s">
        <v>985</v>
      </c>
      <c r="G66" t="s">
        <v>930</v>
      </c>
      <c r="H66" t="s">
        <v>575</v>
      </c>
      <c r="I66" t="s">
        <v>908</v>
      </c>
      <c r="J66" t="s">
        <v>1986</v>
      </c>
      <c r="K66" t="s">
        <v>976</v>
      </c>
      <c r="L66" t="s">
        <v>938</v>
      </c>
      <c r="M66" t="s">
        <v>28</v>
      </c>
      <c r="N66" s="1">
        <f t="shared" si="12"/>
        <v>1</v>
      </c>
      <c r="O66" s="1">
        <f t="shared" si="13"/>
        <v>0</v>
      </c>
      <c r="P66" s="1">
        <f t="shared" si="14"/>
        <v>1</v>
      </c>
      <c r="Q66" s="1">
        <f t="shared" si="15"/>
        <v>1</v>
      </c>
      <c r="R66" s="1">
        <f t="shared" si="16"/>
        <v>1</v>
      </c>
      <c r="S66" s="1">
        <f t="shared" si="17"/>
        <v>1</v>
      </c>
      <c r="T66" s="1">
        <f t="shared" si="18"/>
        <v>1</v>
      </c>
      <c r="U66" s="26">
        <f t="shared" si="19"/>
        <v>1</v>
      </c>
      <c r="V66" s="26">
        <f t="shared" si="20"/>
        <v>0</v>
      </c>
      <c r="W66" s="1">
        <f t="shared" si="21"/>
        <v>1</v>
      </c>
      <c r="X66" s="26">
        <f t="shared" si="22"/>
        <v>0</v>
      </c>
      <c r="Y66" s="26">
        <f t="shared" si="23"/>
        <v>0</v>
      </c>
      <c r="Z66" s="1">
        <f t="shared" si="24"/>
        <v>0</v>
      </c>
      <c r="AA66"/>
      <c r="AB66"/>
    </row>
    <row r="67" spans="1:28" x14ac:dyDescent="0.55000000000000004">
      <c r="A67" s="1">
        <f t="shared" ref="A67:A130" si="25">A66+1</f>
        <v>67</v>
      </c>
      <c r="B67" t="s">
        <v>38</v>
      </c>
      <c r="C67" t="s">
        <v>153</v>
      </c>
      <c r="D67" t="s">
        <v>133</v>
      </c>
      <c r="E67" t="s">
        <v>1979</v>
      </c>
      <c r="F67" t="s">
        <v>1565</v>
      </c>
      <c r="G67" t="s">
        <v>919</v>
      </c>
      <c r="H67" t="s">
        <v>575</v>
      </c>
      <c r="I67" t="s">
        <v>945</v>
      </c>
      <c r="J67" t="s">
        <v>1987</v>
      </c>
      <c r="K67" t="s">
        <v>968</v>
      </c>
      <c r="L67" t="s">
        <v>933</v>
      </c>
      <c r="M67" t="s">
        <v>28</v>
      </c>
      <c r="N67" s="1">
        <f t="shared" ref="N67:N130" si="26">VALUE(LEFT(H67,1))</f>
        <v>1</v>
      </c>
      <c r="O67" s="1">
        <f t="shared" ref="O67:O130" si="27">VALUE(RIGHT(H67,1))</f>
        <v>0</v>
      </c>
      <c r="P67" s="1">
        <f t="shared" ref="P67:P130" si="28">SUM(N67,O67)</f>
        <v>1</v>
      </c>
      <c r="Q67" s="1">
        <f t="shared" ref="Q67:Q130" si="29">IF(N67&lt;&gt;O67, 1, 0)</f>
        <v>1</v>
      </c>
      <c r="R67" s="1">
        <f t="shared" ref="R67:R130" si="30">IF(P67&lt;=4,1,0)</f>
        <v>1</v>
      </c>
      <c r="S67" s="1">
        <f t="shared" ref="S67:S130" si="31">IF(AND(Q67=1,R67=1),1,0)</f>
        <v>1</v>
      </c>
      <c r="T67" s="1">
        <f t="shared" ref="T67:T130" si="32">IF(N67&lt;=2,1,0)</f>
        <v>1</v>
      </c>
      <c r="U67" s="26">
        <f t="shared" ref="U67:U130" si="33">IF(AND(N67&gt;=1,N67&lt;=3),1,0)</f>
        <v>1</v>
      </c>
      <c r="V67" s="26">
        <f t="shared" ref="V67:V130" si="34">IF(AND(N67&gt;=2,N67&lt;=5),1,0)</f>
        <v>0</v>
      </c>
      <c r="W67" s="1">
        <f t="shared" ref="W67:W130" si="35">IF(O67&lt;=2,1,0)</f>
        <v>1</v>
      </c>
      <c r="X67" s="26">
        <f t="shared" ref="X67:X130" si="36">IF(AND(O67&gt;=1,O67&lt;=3),1,0)</f>
        <v>0</v>
      </c>
      <c r="Y67" s="26">
        <f t="shared" ref="Y67:Y130" si="37">IF(AND(O67&gt;=2,O67&lt;=5),1,0)</f>
        <v>0</v>
      </c>
      <c r="Z67" s="1">
        <f t="shared" ref="Z67:Z130" si="38">IF(P67&gt;=2,1,0)</f>
        <v>0</v>
      </c>
      <c r="AA67"/>
      <c r="AB67"/>
    </row>
    <row r="68" spans="1:28" x14ac:dyDescent="0.55000000000000004">
      <c r="A68" s="1">
        <f t="shared" si="25"/>
        <v>68</v>
      </c>
      <c r="B68" t="s">
        <v>38</v>
      </c>
      <c r="C68" t="s">
        <v>153</v>
      </c>
      <c r="D68" t="s">
        <v>133</v>
      </c>
      <c r="E68" t="s">
        <v>1979</v>
      </c>
      <c r="F68" t="s">
        <v>1565</v>
      </c>
      <c r="G68" t="s">
        <v>935</v>
      </c>
      <c r="H68" t="s">
        <v>664</v>
      </c>
      <c r="I68" t="s">
        <v>925</v>
      </c>
      <c r="J68" t="s">
        <v>1988</v>
      </c>
      <c r="K68" t="s">
        <v>949</v>
      </c>
      <c r="L68" t="s">
        <v>960</v>
      </c>
      <c r="M68" t="s">
        <v>28</v>
      </c>
      <c r="N68" s="1">
        <f t="shared" si="26"/>
        <v>2</v>
      </c>
      <c r="O68" s="1">
        <f t="shared" si="27"/>
        <v>2</v>
      </c>
      <c r="P68" s="1">
        <f t="shared" si="28"/>
        <v>4</v>
      </c>
      <c r="Q68" s="1">
        <f t="shared" si="29"/>
        <v>0</v>
      </c>
      <c r="R68" s="1">
        <f t="shared" si="30"/>
        <v>1</v>
      </c>
      <c r="S68" s="1">
        <f t="shared" si="31"/>
        <v>0</v>
      </c>
      <c r="T68" s="1">
        <f t="shared" si="32"/>
        <v>1</v>
      </c>
      <c r="U68" s="26">
        <f t="shared" si="33"/>
        <v>1</v>
      </c>
      <c r="V68" s="26">
        <f t="shared" si="34"/>
        <v>1</v>
      </c>
      <c r="W68" s="1">
        <f t="shared" si="35"/>
        <v>1</v>
      </c>
      <c r="X68" s="26">
        <f t="shared" si="36"/>
        <v>1</v>
      </c>
      <c r="Y68" s="26">
        <f t="shared" si="37"/>
        <v>1</v>
      </c>
      <c r="Z68" s="1">
        <f t="shared" si="38"/>
        <v>1</v>
      </c>
      <c r="AA68"/>
      <c r="AB68"/>
    </row>
    <row r="69" spans="1:28" x14ac:dyDescent="0.55000000000000004">
      <c r="A69" s="1">
        <f t="shared" si="25"/>
        <v>69</v>
      </c>
      <c r="B69" t="s">
        <v>38</v>
      </c>
      <c r="C69" t="s">
        <v>153</v>
      </c>
      <c r="D69" t="s">
        <v>133</v>
      </c>
      <c r="E69" t="s">
        <v>1979</v>
      </c>
      <c r="F69" t="s">
        <v>1989</v>
      </c>
      <c r="G69" t="s">
        <v>898</v>
      </c>
      <c r="H69" t="s">
        <v>739</v>
      </c>
      <c r="I69" t="s">
        <v>979</v>
      </c>
      <c r="J69" t="s">
        <v>1990</v>
      </c>
      <c r="K69" t="s">
        <v>901</v>
      </c>
      <c r="L69" t="s">
        <v>1095</v>
      </c>
      <c r="M69" t="s">
        <v>28</v>
      </c>
      <c r="N69" s="1">
        <f t="shared" si="26"/>
        <v>0</v>
      </c>
      <c r="O69" s="1">
        <f t="shared" si="27"/>
        <v>3</v>
      </c>
      <c r="P69" s="1">
        <f t="shared" si="28"/>
        <v>3</v>
      </c>
      <c r="Q69" s="1">
        <f t="shared" si="29"/>
        <v>1</v>
      </c>
      <c r="R69" s="1">
        <f t="shared" si="30"/>
        <v>1</v>
      </c>
      <c r="S69" s="1">
        <f t="shared" si="31"/>
        <v>1</v>
      </c>
      <c r="T69" s="1">
        <f t="shared" si="32"/>
        <v>1</v>
      </c>
      <c r="U69" s="26">
        <f t="shared" si="33"/>
        <v>0</v>
      </c>
      <c r="V69" s="26">
        <f t="shared" si="34"/>
        <v>0</v>
      </c>
      <c r="W69" s="1">
        <f t="shared" si="35"/>
        <v>0</v>
      </c>
      <c r="X69" s="26">
        <f t="shared" si="36"/>
        <v>1</v>
      </c>
      <c r="Y69" s="26">
        <f t="shared" si="37"/>
        <v>1</v>
      </c>
      <c r="Z69" s="1">
        <f t="shared" si="38"/>
        <v>1</v>
      </c>
      <c r="AA69"/>
      <c r="AB69"/>
    </row>
    <row r="70" spans="1:28" x14ac:dyDescent="0.55000000000000004">
      <c r="A70" s="1">
        <f t="shared" si="25"/>
        <v>70</v>
      </c>
      <c r="B70" t="s">
        <v>38</v>
      </c>
      <c r="C70" t="s">
        <v>84</v>
      </c>
      <c r="D70" t="s">
        <v>177</v>
      </c>
      <c r="E70" t="s">
        <v>1089</v>
      </c>
      <c r="F70" t="s">
        <v>1090</v>
      </c>
      <c r="G70" t="s">
        <v>908</v>
      </c>
      <c r="H70" t="s">
        <v>575</v>
      </c>
      <c r="I70" t="s">
        <v>919</v>
      </c>
      <c r="J70" t="s">
        <v>1091</v>
      </c>
      <c r="K70" t="s">
        <v>911</v>
      </c>
      <c r="L70" t="s">
        <v>1092</v>
      </c>
      <c r="M70" t="s">
        <v>28</v>
      </c>
      <c r="N70" s="1">
        <f t="shared" si="26"/>
        <v>1</v>
      </c>
      <c r="O70" s="1">
        <f t="shared" si="27"/>
        <v>0</v>
      </c>
      <c r="P70" s="1">
        <f t="shared" si="28"/>
        <v>1</v>
      </c>
      <c r="Q70" s="1">
        <f t="shared" si="29"/>
        <v>1</v>
      </c>
      <c r="R70" s="1">
        <f t="shared" si="30"/>
        <v>1</v>
      </c>
      <c r="S70" s="1">
        <f t="shared" si="31"/>
        <v>1</v>
      </c>
      <c r="T70" s="1">
        <f t="shared" si="32"/>
        <v>1</v>
      </c>
      <c r="U70" s="26">
        <f t="shared" si="33"/>
        <v>1</v>
      </c>
      <c r="V70" s="26">
        <f t="shared" si="34"/>
        <v>0</v>
      </c>
      <c r="W70" s="1">
        <f t="shared" si="35"/>
        <v>1</v>
      </c>
      <c r="X70" s="26">
        <f t="shared" si="36"/>
        <v>0</v>
      </c>
      <c r="Y70" s="26">
        <f t="shared" si="37"/>
        <v>0</v>
      </c>
      <c r="Z70" s="1">
        <f t="shared" si="38"/>
        <v>0</v>
      </c>
      <c r="AA70"/>
      <c r="AB70"/>
    </row>
    <row r="71" spans="1:28" x14ac:dyDescent="0.55000000000000004">
      <c r="A71" s="1">
        <f t="shared" si="25"/>
        <v>71</v>
      </c>
      <c r="B71" t="s">
        <v>38</v>
      </c>
      <c r="C71" t="s">
        <v>84</v>
      </c>
      <c r="D71" t="s">
        <v>177</v>
      </c>
      <c r="E71" t="s">
        <v>1089</v>
      </c>
      <c r="F71" t="s">
        <v>390</v>
      </c>
      <c r="G71" t="s">
        <v>903</v>
      </c>
      <c r="H71" t="s">
        <v>573</v>
      </c>
      <c r="I71" t="s">
        <v>981</v>
      </c>
      <c r="J71" t="s">
        <v>1093</v>
      </c>
      <c r="K71" t="s">
        <v>906</v>
      </c>
      <c r="L71" t="s">
        <v>974</v>
      </c>
      <c r="M71" t="s">
        <v>28</v>
      </c>
      <c r="N71" s="1">
        <f t="shared" si="26"/>
        <v>2</v>
      </c>
      <c r="O71" s="1">
        <f t="shared" si="27"/>
        <v>0</v>
      </c>
      <c r="P71" s="1">
        <f t="shared" si="28"/>
        <v>2</v>
      </c>
      <c r="Q71" s="1">
        <f t="shared" si="29"/>
        <v>1</v>
      </c>
      <c r="R71" s="1">
        <f t="shared" si="30"/>
        <v>1</v>
      </c>
      <c r="S71" s="1">
        <f t="shared" si="31"/>
        <v>1</v>
      </c>
      <c r="T71" s="1">
        <f t="shared" si="32"/>
        <v>1</v>
      </c>
      <c r="U71" s="26">
        <f t="shared" si="33"/>
        <v>1</v>
      </c>
      <c r="V71" s="26">
        <f t="shared" si="34"/>
        <v>1</v>
      </c>
      <c r="W71" s="1">
        <f t="shared" si="35"/>
        <v>1</v>
      </c>
      <c r="X71" s="26">
        <f t="shared" si="36"/>
        <v>0</v>
      </c>
      <c r="Y71" s="26">
        <f t="shared" si="37"/>
        <v>0</v>
      </c>
      <c r="Z71" s="1">
        <f t="shared" si="38"/>
        <v>1</v>
      </c>
      <c r="AA71"/>
      <c r="AB71"/>
    </row>
    <row r="72" spans="1:28" x14ac:dyDescent="0.55000000000000004">
      <c r="A72" s="1">
        <f t="shared" si="25"/>
        <v>72</v>
      </c>
      <c r="B72" t="s">
        <v>38</v>
      </c>
      <c r="C72" t="s">
        <v>84</v>
      </c>
      <c r="D72" t="s">
        <v>177</v>
      </c>
      <c r="E72" t="s">
        <v>1089</v>
      </c>
      <c r="F72" t="s">
        <v>390</v>
      </c>
      <c r="G72" t="s">
        <v>918</v>
      </c>
      <c r="H72" t="s">
        <v>590</v>
      </c>
      <c r="I72" t="s">
        <v>945</v>
      </c>
      <c r="J72" t="s">
        <v>1094</v>
      </c>
      <c r="K72" t="s">
        <v>921</v>
      </c>
      <c r="L72" t="s">
        <v>1095</v>
      </c>
      <c r="M72" t="s">
        <v>28</v>
      </c>
      <c r="N72" s="1">
        <f t="shared" si="26"/>
        <v>0</v>
      </c>
      <c r="O72" s="1">
        <f t="shared" si="27"/>
        <v>1</v>
      </c>
      <c r="P72" s="1">
        <f t="shared" si="28"/>
        <v>1</v>
      </c>
      <c r="Q72" s="1">
        <f t="shared" si="29"/>
        <v>1</v>
      </c>
      <c r="R72" s="1">
        <f t="shared" si="30"/>
        <v>1</v>
      </c>
      <c r="S72" s="1">
        <f t="shared" si="31"/>
        <v>1</v>
      </c>
      <c r="T72" s="1">
        <f t="shared" si="32"/>
        <v>1</v>
      </c>
      <c r="U72" s="26">
        <f t="shared" si="33"/>
        <v>0</v>
      </c>
      <c r="V72" s="26">
        <f t="shared" si="34"/>
        <v>0</v>
      </c>
      <c r="W72" s="1">
        <f t="shared" si="35"/>
        <v>1</v>
      </c>
      <c r="X72" s="26">
        <f t="shared" si="36"/>
        <v>1</v>
      </c>
      <c r="Y72" s="26">
        <f t="shared" si="37"/>
        <v>0</v>
      </c>
      <c r="Z72" s="1">
        <f t="shared" si="38"/>
        <v>0</v>
      </c>
      <c r="AA72"/>
      <c r="AB72"/>
    </row>
    <row r="73" spans="1:28" x14ac:dyDescent="0.55000000000000004">
      <c r="A73" s="1">
        <f t="shared" si="25"/>
        <v>73</v>
      </c>
      <c r="B73" t="s">
        <v>38</v>
      </c>
      <c r="C73" t="s">
        <v>84</v>
      </c>
      <c r="D73" t="s">
        <v>177</v>
      </c>
      <c r="E73" t="s">
        <v>1089</v>
      </c>
      <c r="F73" t="s">
        <v>390</v>
      </c>
      <c r="G73" t="s">
        <v>914</v>
      </c>
      <c r="H73" t="s">
        <v>664</v>
      </c>
      <c r="I73" t="s">
        <v>898</v>
      </c>
      <c r="J73" t="s">
        <v>1096</v>
      </c>
      <c r="K73" t="s">
        <v>901</v>
      </c>
      <c r="L73" t="s">
        <v>1097</v>
      </c>
      <c r="M73" t="s">
        <v>28</v>
      </c>
      <c r="N73" s="1">
        <f t="shared" si="26"/>
        <v>2</v>
      </c>
      <c r="O73" s="1">
        <f t="shared" si="27"/>
        <v>2</v>
      </c>
      <c r="P73" s="1">
        <f t="shared" si="28"/>
        <v>4</v>
      </c>
      <c r="Q73" s="1">
        <f t="shared" si="29"/>
        <v>0</v>
      </c>
      <c r="R73" s="1">
        <f t="shared" si="30"/>
        <v>1</v>
      </c>
      <c r="S73" s="1">
        <f t="shared" si="31"/>
        <v>0</v>
      </c>
      <c r="T73" s="1">
        <f t="shared" si="32"/>
        <v>1</v>
      </c>
      <c r="U73" s="26">
        <f t="shared" si="33"/>
        <v>1</v>
      </c>
      <c r="V73" s="26">
        <f t="shared" si="34"/>
        <v>1</v>
      </c>
      <c r="W73" s="1">
        <f t="shared" si="35"/>
        <v>1</v>
      </c>
      <c r="X73" s="26">
        <f t="shared" si="36"/>
        <v>1</v>
      </c>
      <c r="Y73" s="26">
        <f t="shared" si="37"/>
        <v>1</v>
      </c>
      <c r="Z73" s="1">
        <f t="shared" si="38"/>
        <v>1</v>
      </c>
      <c r="AA73"/>
      <c r="AB73"/>
    </row>
    <row r="74" spans="1:28" x14ac:dyDescent="0.55000000000000004">
      <c r="A74" s="1">
        <f t="shared" si="25"/>
        <v>74</v>
      </c>
      <c r="B74" t="s">
        <v>38</v>
      </c>
      <c r="C74" t="s">
        <v>84</v>
      </c>
      <c r="D74" t="s">
        <v>177</v>
      </c>
      <c r="E74" t="s">
        <v>1089</v>
      </c>
      <c r="F74" t="s">
        <v>390</v>
      </c>
      <c r="G74" t="s">
        <v>930</v>
      </c>
      <c r="H74" t="s">
        <v>608</v>
      </c>
      <c r="I74" t="s">
        <v>904</v>
      </c>
      <c r="J74" t="s">
        <v>1098</v>
      </c>
      <c r="K74" t="s">
        <v>976</v>
      </c>
      <c r="L74" t="s">
        <v>1099</v>
      </c>
      <c r="M74" t="s">
        <v>28</v>
      </c>
      <c r="N74" s="1">
        <f t="shared" si="26"/>
        <v>1</v>
      </c>
      <c r="O74" s="1">
        <f t="shared" si="27"/>
        <v>1</v>
      </c>
      <c r="P74" s="1">
        <f t="shared" si="28"/>
        <v>2</v>
      </c>
      <c r="Q74" s="1">
        <f t="shared" si="29"/>
        <v>0</v>
      </c>
      <c r="R74" s="1">
        <f t="shared" si="30"/>
        <v>1</v>
      </c>
      <c r="S74" s="1">
        <f t="shared" si="31"/>
        <v>0</v>
      </c>
      <c r="T74" s="1">
        <f t="shared" si="32"/>
        <v>1</v>
      </c>
      <c r="U74" s="26">
        <f t="shared" si="33"/>
        <v>1</v>
      </c>
      <c r="V74" s="26">
        <f t="shared" si="34"/>
        <v>0</v>
      </c>
      <c r="W74" s="1">
        <f t="shared" si="35"/>
        <v>1</v>
      </c>
      <c r="X74" s="26">
        <f t="shared" si="36"/>
        <v>1</v>
      </c>
      <c r="Y74" s="26">
        <f t="shared" si="37"/>
        <v>0</v>
      </c>
      <c r="Z74" s="1">
        <f t="shared" si="38"/>
        <v>1</v>
      </c>
      <c r="AA74"/>
      <c r="AB74"/>
    </row>
    <row r="75" spans="1:28" x14ac:dyDescent="0.55000000000000004">
      <c r="A75" s="1">
        <f t="shared" si="25"/>
        <v>75</v>
      </c>
      <c r="B75" t="s">
        <v>38</v>
      </c>
      <c r="C75" t="s">
        <v>84</v>
      </c>
      <c r="D75" t="s">
        <v>177</v>
      </c>
      <c r="E75" t="s">
        <v>1089</v>
      </c>
      <c r="F75" t="s">
        <v>390</v>
      </c>
      <c r="G75" t="s">
        <v>929</v>
      </c>
      <c r="H75" t="s">
        <v>590</v>
      </c>
      <c r="I75" t="s">
        <v>925</v>
      </c>
      <c r="J75" t="s">
        <v>1100</v>
      </c>
      <c r="K75" t="s">
        <v>932</v>
      </c>
      <c r="L75" t="s">
        <v>1078</v>
      </c>
      <c r="M75" t="s">
        <v>28</v>
      </c>
      <c r="N75" s="1">
        <f t="shared" si="26"/>
        <v>0</v>
      </c>
      <c r="O75" s="1">
        <f t="shared" si="27"/>
        <v>1</v>
      </c>
      <c r="P75" s="1">
        <f t="shared" si="28"/>
        <v>1</v>
      </c>
      <c r="Q75" s="1">
        <f t="shared" si="29"/>
        <v>1</v>
      </c>
      <c r="R75" s="1">
        <f t="shared" si="30"/>
        <v>1</v>
      </c>
      <c r="S75" s="1">
        <f t="shared" si="31"/>
        <v>1</v>
      </c>
      <c r="T75" s="1">
        <f t="shared" si="32"/>
        <v>1</v>
      </c>
      <c r="U75" s="26">
        <f t="shared" si="33"/>
        <v>0</v>
      </c>
      <c r="V75" s="26">
        <f t="shared" si="34"/>
        <v>0</v>
      </c>
      <c r="W75" s="1">
        <f t="shared" si="35"/>
        <v>1</v>
      </c>
      <c r="X75" s="26">
        <f t="shared" si="36"/>
        <v>1</v>
      </c>
      <c r="Y75" s="26">
        <f t="shared" si="37"/>
        <v>0</v>
      </c>
      <c r="Z75" s="1">
        <f t="shared" si="38"/>
        <v>0</v>
      </c>
      <c r="AA75"/>
      <c r="AB75"/>
    </row>
    <row r="76" spans="1:28" x14ac:dyDescent="0.55000000000000004">
      <c r="A76" s="1">
        <f t="shared" si="25"/>
        <v>76</v>
      </c>
      <c r="B76" t="s">
        <v>38</v>
      </c>
      <c r="C76" t="s">
        <v>84</v>
      </c>
      <c r="D76" t="s">
        <v>177</v>
      </c>
      <c r="E76" t="s">
        <v>1089</v>
      </c>
      <c r="F76" t="s">
        <v>390</v>
      </c>
      <c r="G76" t="s">
        <v>979</v>
      </c>
      <c r="H76" t="s">
        <v>573</v>
      </c>
      <c r="I76" t="s">
        <v>934</v>
      </c>
      <c r="J76" t="s">
        <v>1101</v>
      </c>
      <c r="K76" t="s">
        <v>1102</v>
      </c>
      <c r="L76" t="s">
        <v>1103</v>
      </c>
      <c r="M76" t="s">
        <v>28</v>
      </c>
      <c r="N76" s="1">
        <f t="shared" si="26"/>
        <v>2</v>
      </c>
      <c r="O76" s="1">
        <f t="shared" si="27"/>
        <v>0</v>
      </c>
      <c r="P76" s="1">
        <f t="shared" si="28"/>
        <v>2</v>
      </c>
      <c r="Q76" s="1">
        <f t="shared" si="29"/>
        <v>1</v>
      </c>
      <c r="R76" s="1">
        <f t="shared" si="30"/>
        <v>1</v>
      </c>
      <c r="S76" s="1">
        <f t="shared" si="31"/>
        <v>1</v>
      </c>
      <c r="T76" s="1">
        <f t="shared" si="32"/>
        <v>1</v>
      </c>
      <c r="U76" s="26">
        <f t="shared" si="33"/>
        <v>1</v>
      </c>
      <c r="V76" s="26">
        <f t="shared" si="34"/>
        <v>1</v>
      </c>
      <c r="W76" s="1">
        <f t="shared" si="35"/>
        <v>1</v>
      </c>
      <c r="X76" s="26">
        <f t="shared" si="36"/>
        <v>0</v>
      </c>
      <c r="Y76" s="26">
        <f t="shared" si="37"/>
        <v>0</v>
      </c>
      <c r="Z76" s="1">
        <f t="shared" si="38"/>
        <v>1</v>
      </c>
      <c r="AA76"/>
      <c r="AB76"/>
    </row>
    <row r="77" spans="1:28" x14ac:dyDescent="0.55000000000000004">
      <c r="A77" s="1">
        <f t="shared" si="25"/>
        <v>77</v>
      </c>
      <c r="B77" t="s">
        <v>38</v>
      </c>
      <c r="C77" t="s">
        <v>84</v>
      </c>
      <c r="D77" t="s">
        <v>177</v>
      </c>
      <c r="E77" t="s">
        <v>1089</v>
      </c>
      <c r="F77" t="s">
        <v>390</v>
      </c>
      <c r="G77" t="s">
        <v>909</v>
      </c>
      <c r="H77" t="s">
        <v>590</v>
      </c>
      <c r="I77" t="s">
        <v>935</v>
      </c>
      <c r="J77" t="s">
        <v>1104</v>
      </c>
      <c r="K77" t="s">
        <v>965</v>
      </c>
      <c r="L77" t="s">
        <v>954</v>
      </c>
      <c r="M77" t="s">
        <v>28</v>
      </c>
      <c r="N77" s="1">
        <f t="shared" si="26"/>
        <v>0</v>
      </c>
      <c r="O77" s="1">
        <f t="shared" si="27"/>
        <v>1</v>
      </c>
      <c r="P77" s="1">
        <f t="shared" si="28"/>
        <v>1</v>
      </c>
      <c r="Q77" s="1">
        <f t="shared" si="29"/>
        <v>1</v>
      </c>
      <c r="R77" s="1">
        <f t="shared" si="30"/>
        <v>1</v>
      </c>
      <c r="S77" s="1">
        <f t="shared" si="31"/>
        <v>1</v>
      </c>
      <c r="T77" s="1">
        <f t="shared" si="32"/>
        <v>1</v>
      </c>
      <c r="U77" s="26">
        <f t="shared" si="33"/>
        <v>0</v>
      </c>
      <c r="V77" s="26">
        <f t="shared" si="34"/>
        <v>0</v>
      </c>
      <c r="W77" s="1">
        <f t="shared" si="35"/>
        <v>1</v>
      </c>
      <c r="X77" s="26">
        <f t="shared" si="36"/>
        <v>1</v>
      </c>
      <c r="Y77" s="26">
        <f t="shared" si="37"/>
        <v>0</v>
      </c>
      <c r="Z77" s="1">
        <f t="shared" si="38"/>
        <v>0</v>
      </c>
      <c r="AA77"/>
      <c r="AB77"/>
    </row>
    <row r="78" spans="1:28" x14ac:dyDescent="0.55000000000000004">
      <c r="A78" s="1">
        <f t="shared" si="25"/>
        <v>78</v>
      </c>
      <c r="B78" t="s">
        <v>38</v>
      </c>
      <c r="C78" t="s">
        <v>84</v>
      </c>
      <c r="D78" t="s">
        <v>177</v>
      </c>
      <c r="E78" t="s">
        <v>1089</v>
      </c>
      <c r="F78" t="s">
        <v>390</v>
      </c>
      <c r="G78" t="s">
        <v>924</v>
      </c>
      <c r="H78" t="s">
        <v>579</v>
      </c>
      <c r="I78" t="s">
        <v>913</v>
      </c>
      <c r="J78" t="s">
        <v>1105</v>
      </c>
      <c r="K78" t="s">
        <v>927</v>
      </c>
      <c r="L78" t="s">
        <v>1106</v>
      </c>
      <c r="M78" t="s">
        <v>28</v>
      </c>
      <c r="N78" s="1">
        <f t="shared" si="26"/>
        <v>2</v>
      </c>
      <c r="O78" s="1">
        <f t="shared" si="27"/>
        <v>1</v>
      </c>
      <c r="P78" s="1">
        <f t="shared" si="28"/>
        <v>3</v>
      </c>
      <c r="Q78" s="1">
        <f t="shared" si="29"/>
        <v>1</v>
      </c>
      <c r="R78" s="1">
        <f t="shared" si="30"/>
        <v>1</v>
      </c>
      <c r="S78" s="1">
        <f t="shared" si="31"/>
        <v>1</v>
      </c>
      <c r="T78" s="1">
        <f t="shared" si="32"/>
        <v>1</v>
      </c>
      <c r="U78" s="26">
        <f t="shared" si="33"/>
        <v>1</v>
      </c>
      <c r="V78" s="26">
        <f t="shared" si="34"/>
        <v>1</v>
      </c>
      <c r="W78" s="1">
        <f t="shared" si="35"/>
        <v>1</v>
      </c>
      <c r="X78" s="26">
        <f t="shared" si="36"/>
        <v>1</v>
      </c>
      <c r="Y78" s="26">
        <f t="shared" si="37"/>
        <v>0</v>
      </c>
      <c r="Z78" s="1">
        <f t="shared" si="38"/>
        <v>1</v>
      </c>
      <c r="AA78"/>
      <c r="AB78"/>
    </row>
    <row r="79" spans="1:28" x14ac:dyDescent="0.55000000000000004">
      <c r="A79" s="1">
        <f t="shared" si="25"/>
        <v>79</v>
      </c>
      <c r="B79" t="s">
        <v>38</v>
      </c>
      <c r="C79" t="s">
        <v>84</v>
      </c>
      <c r="D79" t="s">
        <v>177</v>
      </c>
      <c r="E79" t="s">
        <v>1089</v>
      </c>
      <c r="F79" t="s">
        <v>218</v>
      </c>
      <c r="G79" t="s">
        <v>940</v>
      </c>
      <c r="H79" t="s">
        <v>579</v>
      </c>
      <c r="I79" t="s">
        <v>899</v>
      </c>
      <c r="J79" t="s">
        <v>1107</v>
      </c>
      <c r="K79" t="s">
        <v>942</v>
      </c>
      <c r="L79" t="s">
        <v>912</v>
      </c>
      <c r="M79" t="s">
        <v>28</v>
      </c>
      <c r="N79" s="1">
        <f t="shared" si="26"/>
        <v>2</v>
      </c>
      <c r="O79" s="1">
        <f t="shared" si="27"/>
        <v>1</v>
      </c>
      <c r="P79" s="1">
        <f t="shared" si="28"/>
        <v>3</v>
      </c>
      <c r="Q79" s="1">
        <f t="shared" si="29"/>
        <v>1</v>
      </c>
      <c r="R79" s="1">
        <f t="shared" si="30"/>
        <v>1</v>
      </c>
      <c r="S79" s="1">
        <f t="shared" si="31"/>
        <v>1</v>
      </c>
      <c r="T79" s="1">
        <f t="shared" si="32"/>
        <v>1</v>
      </c>
      <c r="U79" s="26">
        <f t="shared" si="33"/>
        <v>1</v>
      </c>
      <c r="V79" s="26">
        <f t="shared" si="34"/>
        <v>1</v>
      </c>
      <c r="W79" s="1">
        <f t="shared" si="35"/>
        <v>1</v>
      </c>
      <c r="X79" s="26">
        <f t="shared" si="36"/>
        <v>1</v>
      </c>
      <c r="Y79" s="26">
        <f t="shared" si="37"/>
        <v>0</v>
      </c>
      <c r="Z79" s="1">
        <f t="shared" si="38"/>
        <v>1</v>
      </c>
      <c r="AA79"/>
      <c r="AB79"/>
    </row>
    <row r="80" spans="1:28" x14ac:dyDescent="0.55000000000000004">
      <c r="A80" s="1">
        <f t="shared" si="25"/>
        <v>80</v>
      </c>
      <c r="B80" t="s">
        <v>38</v>
      </c>
      <c r="C80" t="s">
        <v>104</v>
      </c>
      <c r="D80" t="s">
        <v>133</v>
      </c>
      <c r="E80" t="s">
        <v>1991</v>
      </c>
      <c r="F80" t="s">
        <v>342</v>
      </c>
      <c r="G80" t="s">
        <v>981</v>
      </c>
      <c r="H80" t="s">
        <v>708</v>
      </c>
      <c r="I80" t="s">
        <v>914</v>
      </c>
      <c r="J80" t="s">
        <v>1992</v>
      </c>
      <c r="K80" t="s">
        <v>1086</v>
      </c>
      <c r="L80" t="s">
        <v>933</v>
      </c>
      <c r="M80" t="s">
        <v>28</v>
      </c>
      <c r="N80" s="1">
        <f t="shared" si="26"/>
        <v>0</v>
      </c>
      <c r="O80" s="1">
        <f t="shared" si="27"/>
        <v>0</v>
      </c>
      <c r="P80" s="1">
        <f t="shared" si="28"/>
        <v>0</v>
      </c>
      <c r="Q80" s="1">
        <f t="shared" si="29"/>
        <v>0</v>
      </c>
      <c r="R80" s="1">
        <f t="shared" si="30"/>
        <v>1</v>
      </c>
      <c r="S80" s="1">
        <f t="shared" si="31"/>
        <v>0</v>
      </c>
      <c r="T80" s="1">
        <f t="shared" si="32"/>
        <v>1</v>
      </c>
      <c r="U80" s="26">
        <f t="shared" si="33"/>
        <v>0</v>
      </c>
      <c r="V80" s="26">
        <f t="shared" si="34"/>
        <v>0</v>
      </c>
      <c r="W80" s="1">
        <f t="shared" si="35"/>
        <v>1</v>
      </c>
      <c r="X80" s="26">
        <f t="shared" si="36"/>
        <v>0</v>
      </c>
      <c r="Y80" s="26">
        <f t="shared" si="37"/>
        <v>0</v>
      </c>
      <c r="Z80" s="1">
        <f t="shared" si="38"/>
        <v>0</v>
      </c>
      <c r="AA80"/>
      <c r="AB80"/>
    </row>
    <row r="81" spans="1:28" x14ac:dyDescent="0.55000000000000004">
      <c r="A81" s="1">
        <f t="shared" si="25"/>
        <v>81</v>
      </c>
      <c r="B81" t="s">
        <v>38</v>
      </c>
      <c r="C81" t="s">
        <v>104</v>
      </c>
      <c r="D81" t="s">
        <v>42</v>
      </c>
      <c r="E81" t="s">
        <v>1577</v>
      </c>
      <c r="F81" t="s">
        <v>1578</v>
      </c>
      <c r="G81" t="s">
        <v>908</v>
      </c>
      <c r="H81" t="s">
        <v>579</v>
      </c>
      <c r="I81" t="s">
        <v>924</v>
      </c>
      <c r="J81" t="s">
        <v>1579</v>
      </c>
      <c r="K81" t="s">
        <v>911</v>
      </c>
      <c r="L81" t="s">
        <v>1103</v>
      </c>
      <c r="M81" t="s">
        <v>28</v>
      </c>
      <c r="N81" s="1">
        <f t="shared" si="26"/>
        <v>2</v>
      </c>
      <c r="O81" s="1">
        <f t="shared" si="27"/>
        <v>1</v>
      </c>
      <c r="P81" s="1">
        <f t="shared" si="28"/>
        <v>3</v>
      </c>
      <c r="Q81" s="1">
        <f t="shared" si="29"/>
        <v>1</v>
      </c>
      <c r="R81" s="1">
        <f t="shared" si="30"/>
        <v>1</v>
      </c>
      <c r="S81" s="1">
        <f t="shared" si="31"/>
        <v>1</v>
      </c>
      <c r="T81" s="1">
        <f t="shared" si="32"/>
        <v>1</v>
      </c>
      <c r="U81" s="26">
        <f t="shared" si="33"/>
        <v>1</v>
      </c>
      <c r="V81" s="26">
        <f t="shared" si="34"/>
        <v>1</v>
      </c>
      <c r="W81" s="1">
        <f t="shared" si="35"/>
        <v>1</v>
      </c>
      <c r="X81" s="26">
        <f t="shared" si="36"/>
        <v>1</v>
      </c>
      <c r="Y81" s="26">
        <f t="shared" si="37"/>
        <v>0</v>
      </c>
      <c r="Z81" s="1">
        <f t="shared" si="38"/>
        <v>1</v>
      </c>
      <c r="AA81"/>
      <c r="AB81"/>
    </row>
    <row r="82" spans="1:28" x14ac:dyDescent="0.55000000000000004">
      <c r="A82" s="1">
        <f t="shared" si="25"/>
        <v>82</v>
      </c>
      <c r="B82" t="s">
        <v>38</v>
      </c>
      <c r="C82" t="s">
        <v>104</v>
      </c>
      <c r="D82" t="s">
        <v>42</v>
      </c>
      <c r="E82" t="s">
        <v>1577</v>
      </c>
      <c r="F82" t="s">
        <v>1580</v>
      </c>
      <c r="G82" t="s">
        <v>913</v>
      </c>
      <c r="H82" t="s">
        <v>575</v>
      </c>
      <c r="I82" t="s">
        <v>898</v>
      </c>
      <c r="J82" t="s">
        <v>1581</v>
      </c>
      <c r="K82" t="s">
        <v>916</v>
      </c>
      <c r="L82" t="s">
        <v>1122</v>
      </c>
      <c r="M82" t="s">
        <v>28</v>
      </c>
      <c r="N82" s="1">
        <f t="shared" si="26"/>
        <v>1</v>
      </c>
      <c r="O82" s="1">
        <f t="shared" si="27"/>
        <v>0</v>
      </c>
      <c r="P82" s="1">
        <f t="shared" si="28"/>
        <v>1</v>
      </c>
      <c r="Q82" s="1">
        <f t="shared" si="29"/>
        <v>1</v>
      </c>
      <c r="R82" s="1">
        <f t="shared" si="30"/>
        <v>1</v>
      </c>
      <c r="S82" s="1">
        <f t="shared" si="31"/>
        <v>1</v>
      </c>
      <c r="T82" s="1">
        <f t="shared" si="32"/>
        <v>1</v>
      </c>
      <c r="U82" s="26">
        <f t="shared" si="33"/>
        <v>1</v>
      </c>
      <c r="V82" s="26">
        <f t="shared" si="34"/>
        <v>0</v>
      </c>
      <c r="W82" s="1">
        <f t="shared" si="35"/>
        <v>1</v>
      </c>
      <c r="X82" s="26">
        <f t="shared" si="36"/>
        <v>0</v>
      </c>
      <c r="Y82" s="26">
        <f t="shared" si="37"/>
        <v>0</v>
      </c>
      <c r="Z82" s="1">
        <f t="shared" si="38"/>
        <v>0</v>
      </c>
      <c r="AA82"/>
      <c r="AB82"/>
    </row>
    <row r="83" spans="1:28" x14ac:dyDescent="0.55000000000000004">
      <c r="A83" s="1">
        <f t="shared" si="25"/>
        <v>83</v>
      </c>
      <c r="B83" t="s">
        <v>38</v>
      </c>
      <c r="C83" t="s">
        <v>104</v>
      </c>
      <c r="D83" t="s">
        <v>42</v>
      </c>
      <c r="E83" t="s">
        <v>1577</v>
      </c>
      <c r="F83" t="s">
        <v>342</v>
      </c>
      <c r="G83" t="s">
        <v>935</v>
      </c>
      <c r="H83" t="s">
        <v>575</v>
      </c>
      <c r="I83" t="s">
        <v>940</v>
      </c>
      <c r="J83" t="s">
        <v>1582</v>
      </c>
      <c r="K83" t="s">
        <v>949</v>
      </c>
      <c r="L83" t="s">
        <v>1092</v>
      </c>
      <c r="M83" t="s">
        <v>28</v>
      </c>
      <c r="N83" s="1">
        <f t="shared" si="26"/>
        <v>1</v>
      </c>
      <c r="O83" s="1">
        <f t="shared" si="27"/>
        <v>0</v>
      </c>
      <c r="P83" s="1">
        <f t="shared" si="28"/>
        <v>1</v>
      </c>
      <c r="Q83" s="1">
        <f t="shared" si="29"/>
        <v>1</v>
      </c>
      <c r="R83" s="1">
        <f t="shared" si="30"/>
        <v>1</v>
      </c>
      <c r="S83" s="1">
        <f t="shared" si="31"/>
        <v>1</v>
      </c>
      <c r="T83" s="1">
        <f t="shared" si="32"/>
        <v>1</v>
      </c>
      <c r="U83" s="26">
        <f t="shared" si="33"/>
        <v>1</v>
      </c>
      <c r="V83" s="26">
        <f t="shared" si="34"/>
        <v>0</v>
      </c>
      <c r="W83" s="1">
        <f t="shared" si="35"/>
        <v>1</v>
      </c>
      <c r="X83" s="26">
        <f t="shared" si="36"/>
        <v>0</v>
      </c>
      <c r="Y83" s="26">
        <f t="shared" si="37"/>
        <v>0</v>
      </c>
      <c r="Z83" s="1">
        <f t="shared" si="38"/>
        <v>0</v>
      </c>
      <c r="AA83"/>
      <c r="AB83"/>
    </row>
    <row r="84" spans="1:28" x14ac:dyDescent="0.55000000000000004">
      <c r="A84" s="1">
        <f t="shared" si="25"/>
        <v>84</v>
      </c>
      <c r="B84" t="s">
        <v>38</v>
      </c>
      <c r="C84" t="s">
        <v>104</v>
      </c>
      <c r="D84" t="s">
        <v>42</v>
      </c>
      <c r="E84" t="s">
        <v>1577</v>
      </c>
      <c r="F84" t="s">
        <v>342</v>
      </c>
      <c r="G84" t="s">
        <v>925</v>
      </c>
      <c r="H84" t="s">
        <v>664</v>
      </c>
      <c r="I84" t="s">
        <v>979</v>
      </c>
      <c r="J84" t="s">
        <v>1583</v>
      </c>
      <c r="K84" t="s">
        <v>1082</v>
      </c>
      <c r="L84" t="s">
        <v>984</v>
      </c>
      <c r="M84" t="s">
        <v>28</v>
      </c>
      <c r="N84" s="1">
        <f t="shared" si="26"/>
        <v>2</v>
      </c>
      <c r="O84" s="1">
        <f t="shared" si="27"/>
        <v>2</v>
      </c>
      <c r="P84" s="1">
        <f t="shared" si="28"/>
        <v>4</v>
      </c>
      <c r="Q84" s="1">
        <f t="shared" si="29"/>
        <v>0</v>
      </c>
      <c r="R84" s="1">
        <f t="shared" si="30"/>
        <v>1</v>
      </c>
      <c r="S84" s="1">
        <f t="shared" si="31"/>
        <v>0</v>
      </c>
      <c r="T84" s="1">
        <f t="shared" si="32"/>
        <v>1</v>
      </c>
      <c r="U84" s="26">
        <f t="shared" si="33"/>
        <v>1</v>
      </c>
      <c r="V84" s="26">
        <f t="shared" si="34"/>
        <v>1</v>
      </c>
      <c r="W84" s="1">
        <f t="shared" si="35"/>
        <v>1</v>
      </c>
      <c r="X84" s="26">
        <f t="shared" si="36"/>
        <v>1</v>
      </c>
      <c r="Y84" s="26">
        <f t="shared" si="37"/>
        <v>1</v>
      </c>
      <c r="Z84" s="1">
        <f t="shared" si="38"/>
        <v>1</v>
      </c>
      <c r="AA84"/>
      <c r="AB84"/>
    </row>
    <row r="85" spans="1:28" x14ac:dyDescent="0.55000000000000004">
      <c r="A85" s="1">
        <f t="shared" si="25"/>
        <v>85</v>
      </c>
      <c r="B85" t="s">
        <v>38</v>
      </c>
      <c r="C85" t="s">
        <v>104</v>
      </c>
      <c r="D85" t="s">
        <v>42</v>
      </c>
      <c r="E85" t="s">
        <v>1577</v>
      </c>
      <c r="F85" t="s">
        <v>342</v>
      </c>
      <c r="G85" t="s">
        <v>918</v>
      </c>
      <c r="H85" t="s">
        <v>573</v>
      </c>
      <c r="I85" t="s">
        <v>899</v>
      </c>
      <c r="J85" t="s">
        <v>1584</v>
      </c>
      <c r="K85" t="s">
        <v>921</v>
      </c>
      <c r="L85" t="s">
        <v>966</v>
      </c>
      <c r="M85" t="s">
        <v>28</v>
      </c>
      <c r="N85" s="1">
        <f t="shared" si="26"/>
        <v>2</v>
      </c>
      <c r="O85" s="1">
        <f t="shared" si="27"/>
        <v>0</v>
      </c>
      <c r="P85" s="1">
        <f t="shared" si="28"/>
        <v>2</v>
      </c>
      <c r="Q85" s="1">
        <f t="shared" si="29"/>
        <v>1</v>
      </c>
      <c r="R85" s="1">
        <f t="shared" si="30"/>
        <v>1</v>
      </c>
      <c r="S85" s="1">
        <f t="shared" si="31"/>
        <v>1</v>
      </c>
      <c r="T85" s="1">
        <f t="shared" si="32"/>
        <v>1</v>
      </c>
      <c r="U85" s="26">
        <f t="shared" si="33"/>
        <v>1</v>
      </c>
      <c r="V85" s="26">
        <f t="shared" si="34"/>
        <v>1</v>
      </c>
      <c r="W85" s="1">
        <f t="shared" si="35"/>
        <v>1</v>
      </c>
      <c r="X85" s="26">
        <f t="shared" si="36"/>
        <v>0</v>
      </c>
      <c r="Y85" s="26">
        <f t="shared" si="37"/>
        <v>0</v>
      </c>
      <c r="Z85" s="1">
        <f t="shared" si="38"/>
        <v>1</v>
      </c>
      <c r="AA85"/>
      <c r="AB85"/>
    </row>
    <row r="86" spans="1:28" x14ac:dyDescent="0.55000000000000004">
      <c r="A86" s="1">
        <f t="shared" si="25"/>
        <v>86</v>
      </c>
      <c r="B86" t="s">
        <v>38</v>
      </c>
      <c r="C86" t="s">
        <v>104</v>
      </c>
      <c r="D86" t="s">
        <v>42</v>
      </c>
      <c r="E86" t="s">
        <v>1577</v>
      </c>
      <c r="F86" t="s">
        <v>342</v>
      </c>
      <c r="G86" t="s">
        <v>945</v>
      </c>
      <c r="H86" t="s">
        <v>590</v>
      </c>
      <c r="I86" t="s">
        <v>909</v>
      </c>
      <c r="J86" t="s">
        <v>1585</v>
      </c>
      <c r="K86" t="s">
        <v>1346</v>
      </c>
      <c r="L86" t="s">
        <v>960</v>
      </c>
      <c r="M86" t="s">
        <v>28</v>
      </c>
      <c r="N86" s="1">
        <f t="shared" si="26"/>
        <v>0</v>
      </c>
      <c r="O86" s="1">
        <f t="shared" si="27"/>
        <v>1</v>
      </c>
      <c r="P86" s="1">
        <f t="shared" si="28"/>
        <v>1</v>
      </c>
      <c r="Q86" s="1">
        <f t="shared" si="29"/>
        <v>1</v>
      </c>
      <c r="R86" s="1">
        <f t="shared" si="30"/>
        <v>1</v>
      </c>
      <c r="S86" s="1">
        <f t="shared" si="31"/>
        <v>1</v>
      </c>
      <c r="T86" s="1">
        <f t="shared" si="32"/>
        <v>1</v>
      </c>
      <c r="U86" s="26">
        <f t="shared" si="33"/>
        <v>0</v>
      </c>
      <c r="V86" s="26">
        <f t="shared" si="34"/>
        <v>0</v>
      </c>
      <c r="W86" s="1">
        <f t="shared" si="35"/>
        <v>1</v>
      </c>
      <c r="X86" s="26">
        <f t="shared" si="36"/>
        <v>1</v>
      </c>
      <c r="Y86" s="26">
        <f t="shared" si="37"/>
        <v>0</v>
      </c>
      <c r="Z86" s="1">
        <f t="shared" si="38"/>
        <v>0</v>
      </c>
      <c r="AA86"/>
      <c r="AB86"/>
    </row>
    <row r="87" spans="1:28" x14ac:dyDescent="0.55000000000000004">
      <c r="A87" s="1">
        <f t="shared" si="25"/>
        <v>87</v>
      </c>
      <c r="B87" t="s">
        <v>38</v>
      </c>
      <c r="C87" t="s">
        <v>104</v>
      </c>
      <c r="D87" t="s">
        <v>42</v>
      </c>
      <c r="E87" t="s">
        <v>1577</v>
      </c>
      <c r="F87" t="s">
        <v>923</v>
      </c>
      <c r="G87" t="s">
        <v>904</v>
      </c>
      <c r="H87" t="s">
        <v>575</v>
      </c>
      <c r="I87" t="s">
        <v>929</v>
      </c>
      <c r="J87" t="s">
        <v>1586</v>
      </c>
      <c r="K87" t="s">
        <v>952</v>
      </c>
      <c r="L87" t="s">
        <v>928</v>
      </c>
      <c r="M87" t="s">
        <v>28</v>
      </c>
      <c r="N87" s="1">
        <f t="shared" si="26"/>
        <v>1</v>
      </c>
      <c r="O87" s="1">
        <f t="shared" si="27"/>
        <v>0</v>
      </c>
      <c r="P87" s="1">
        <f t="shared" si="28"/>
        <v>1</v>
      </c>
      <c r="Q87" s="1">
        <f t="shared" si="29"/>
        <v>1</v>
      </c>
      <c r="R87" s="1">
        <f t="shared" si="30"/>
        <v>1</v>
      </c>
      <c r="S87" s="1">
        <f t="shared" si="31"/>
        <v>1</v>
      </c>
      <c r="T87" s="1">
        <f t="shared" si="32"/>
        <v>1</v>
      </c>
      <c r="U87" s="26">
        <f t="shared" si="33"/>
        <v>1</v>
      </c>
      <c r="V87" s="26">
        <f t="shared" si="34"/>
        <v>0</v>
      </c>
      <c r="W87" s="1">
        <f t="shared" si="35"/>
        <v>1</v>
      </c>
      <c r="X87" s="26">
        <f t="shared" si="36"/>
        <v>0</v>
      </c>
      <c r="Y87" s="26">
        <f t="shared" si="37"/>
        <v>0</v>
      </c>
      <c r="Z87" s="1">
        <f t="shared" si="38"/>
        <v>0</v>
      </c>
      <c r="AA87"/>
      <c r="AB87"/>
    </row>
    <row r="88" spans="1:28" x14ac:dyDescent="0.55000000000000004">
      <c r="A88" s="1">
        <f t="shared" si="25"/>
        <v>88</v>
      </c>
      <c r="B88" t="s">
        <v>38</v>
      </c>
      <c r="C88" t="s">
        <v>104</v>
      </c>
      <c r="D88" t="s">
        <v>42</v>
      </c>
      <c r="E88" t="s">
        <v>1577</v>
      </c>
      <c r="F88" t="s">
        <v>923</v>
      </c>
      <c r="G88" t="s">
        <v>919</v>
      </c>
      <c r="H88" t="s">
        <v>1285</v>
      </c>
      <c r="I88" t="s">
        <v>930</v>
      </c>
      <c r="J88" t="s">
        <v>1587</v>
      </c>
      <c r="K88" t="s">
        <v>968</v>
      </c>
      <c r="L88" t="s">
        <v>907</v>
      </c>
      <c r="M88" t="s">
        <v>28</v>
      </c>
      <c r="N88" s="1">
        <f t="shared" si="26"/>
        <v>3</v>
      </c>
      <c r="O88" s="1">
        <f t="shared" si="27"/>
        <v>4</v>
      </c>
      <c r="P88" s="1">
        <f t="shared" si="28"/>
        <v>7</v>
      </c>
      <c r="Q88" s="1">
        <f t="shared" si="29"/>
        <v>1</v>
      </c>
      <c r="R88" s="1">
        <f t="shared" si="30"/>
        <v>0</v>
      </c>
      <c r="S88" s="1">
        <f t="shared" si="31"/>
        <v>0</v>
      </c>
      <c r="T88" s="1">
        <f t="shared" si="32"/>
        <v>0</v>
      </c>
      <c r="U88" s="26">
        <f t="shared" si="33"/>
        <v>1</v>
      </c>
      <c r="V88" s="26">
        <f t="shared" si="34"/>
        <v>1</v>
      </c>
      <c r="W88" s="1">
        <f t="shared" si="35"/>
        <v>0</v>
      </c>
      <c r="X88" s="26">
        <f t="shared" si="36"/>
        <v>0</v>
      </c>
      <c r="Y88" s="26">
        <f t="shared" si="37"/>
        <v>1</v>
      </c>
      <c r="Z88" s="1">
        <f t="shared" si="38"/>
        <v>1</v>
      </c>
      <c r="AA88"/>
      <c r="AB88"/>
    </row>
    <row r="89" spans="1:28" x14ac:dyDescent="0.55000000000000004">
      <c r="A89" s="1">
        <f t="shared" si="25"/>
        <v>89</v>
      </c>
      <c r="B89" t="s">
        <v>38</v>
      </c>
      <c r="C89" t="s">
        <v>104</v>
      </c>
      <c r="D89" t="s">
        <v>42</v>
      </c>
      <c r="E89" t="s">
        <v>1577</v>
      </c>
      <c r="F89" t="s">
        <v>923</v>
      </c>
      <c r="G89" t="s">
        <v>934</v>
      </c>
      <c r="H89" t="s">
        <v>579</v>
      </c>
      <c r="I89" t="s">
        <v>903</v>
      </c>
      <c r="J89" t="s">
        <v>1588</v>
      </c>
      <c r="K89" t="s">
        <v>937</v>
      </c>
      <c r="L89" t="s">
        <v>922</v>
      </c>
      <c r="M89" t="s">
        <v>28</v>
      </c>
      <c r="N89" s="1">
        <f t="shared" si="26"/>
        <v>2</v>
      </c>
      <c r="O89" s="1">
        <f t="shared" si="27"/>
        <v>1</v>
      </c>
      <c r="P89" s="1">
        <f t="shared" si="28"/>
        <v>3</v>
      </c>
      <c r="Q89" s="1">
        <f t="shared" si="29"/>
        <v>1</v>
      </c>
      <c r="R89" s="1">
        <f t="shared" si="30"/>
        <v>1</v>
      </c>
      <c r="S89" s="1">
        <f t="shared" si="31"/>
        <v>1</v>
      </c>
      <c r="T89" s="1">
        <f t="shared" si="32"/>
        <v>1</v>
      </c>
      <c r="U89" s="26">
        <f t="shared" si="33"/>
        <v>1</v>
      </c>
      <c r="V89" s="26">
        <f t="shared" si="34"/>
        <v>1</v>
      </c>
      <c r="W89" s="1">
        <f t="shared" si="35"/>
        <v>1</v>
      </c>
      <c r="X89" s="26">
        <f t="shared" si="36"/>
        <v>1</v>
      </c>
      <c r="Y89" s="26">
        <f t="shared" si="37"/>
        <v>0</v>
      </c>
      <c r="Z89" s="1">
        <f t="shared" si="38"/>
        <v>1</v>
      </c>
      <c r="AA89"/>
      <c r="AB89"/>
    </row>
    <row r="90" spans="1:28" x14ac:dyDescent="0.55000000000000004">
      <c r="A90" s="1">
        <f t="shared" si="25"/>
        <v>90</v>
      </c>
      <c r="B90" t="s">
        <v>38</v>
      </c>
      <c r="C90" t="s">
        <v>200</v>
      </c>
      <c r="D90" t="s">
        <v>177</v>
      </c>
      <c r="E90" t="s">
        <v>1108</v>
      </c>
      <c r="F90" t="s">
        <v>390</v>
      </c>
      <c r="G90" t="s">
        <v>979</v>
      </c>
      <c r="H90" t="s">
        <v>881</v>
      </c>
      <c r="I90" t="s">
        <v>981</v>
      </c>
      <c r="J90" t="s">
        <v>1109</v>
      </c>
      <c r="K90" t="s">
        <v>1102</v>
      </c>
      <c r="L90" t="s">
        <v>1078</v>
      </c>
      <c r="M90" t="s">
        <v>28</v>
      </c>
      <c r="N90" s="1">
        <f t="shared" si="26"/>
        <v>3</v>
      </c>
      <c r="O90" s="1">
        <f t="shared" si="27"/>
        <v>3</v>
      </c>
      <c r="P90" s="1">
        <f t="shared" si="28"/>
        <v>6</v>
      </c>
      <c r="Q90" s="1">
        <f t="shared" si="29"/>
        <v>0</v>
      </c>
      <c r="R90" s="1">
        <f t="shared" si="30"/>
        <v>0</v>
      </c>
      <c r="S90" s="1">
        <f t="shared" si="31"/>
        <v>0</v>
      </c>
      <c r="T90" s="1">
        <f t="shared" si="32"/>
        <v>0</v>
      </c>
      <c r="U90" s="26">
        <f t="shared" si="33"/>
        <v>1</v>
      </c>
      <c r="V90" s="26">
        <f t="shared" si="34"/>
        <v>1</v>
      </c>
      <c r="W90" s="1">
        <f t="shared" si="35"/>
        <v>0</v>
      </c>
      <c r="X90" s="26">
        <f t="shared" si="36"/>
        <v>1</v>
      </c>
      <c r="Y90" s="26">
        <f t="shared" si="37"/>
        <v>1</v>
      </c>
      <c r="Z90" s="1">
        <f t="shared" si="38"/>
        <v>1</v>
      </c>
      <c r="AA90"/>
      <c r="AB90"/>
    </row>
    <row r="91" spans="1:28" x14ac:dyDescent="0.55000000000000004">
      <c r="A91" s="1">
        <f t="shared" si="25"/>
        <v>91</v>
      </c>
      <c r="B91" t="s">
        <v>38</v>
      </c>
      <c r="C91" t="s">
        <v>111</v>
      </c>
      <c r="D91" t="s">
        <v>174</v>
      </c>
      <c r="E91" t="s">
        <v>1344</v>
      </c>
      <c r="F91" t="s">
        <v>390</v>
      </c>
      <c r="G91" t="s">
        <v>898</v>
      </c>
      <c r="H91" t="s">
        <v>608</v>
      </c>
      <c r="I91" t="s">
        <v>904</v>
      </c>
      <c r="J91" t="s">
        <v>1345</v>
      </c>
      <c r="K91" t="s">
        <v>1346</v>
      </c>
      <c r="L91" t="s">
        <v>984</v>
      </c>
      <c r="M91" t="s">
        <v>28</v>
      </c>
      <c r="N91" s="1">
        <f t="shared" si="26"/>
        <v>1</v>
      </c>
      <c r="O91" s="1">
        <f t="shared" si="27"/>
        <v>1</v>
      </c>
      <c r="P91" s="1">
        <f t="shared" si="28"/>
        <v>2</v>
      </c>
      <c r="Q91" s="1">
        <f t="shared" si="29"/>
        <v>0</v>
      </c>
      <c r="R91" s="1">
        <f t="shared" si="30"/>
        <v>1</v>
      </c>
      <c r="S91" s="1">
        <f t="shared" si="31"/>
        <v>0</v>
      </c>
      <c r="T91" s="1">
        <f t="shared" si="32"/>
        <v>1</v>
      </c>
      <c r="U91" s="26">
        <f t="shared" si="33"/>
        <v>1</v>
      </c>
      <c r="V91" s="26">
        <f t="shared" si="34"/>
        <v>0</v>
      </c>
      <c r="W91" s="1">
        <f t="shared" si="35"/>
        <v>1</v>
      </c>
      <c r="X91" s="26">
        <f t="shared" si="36"/>
        <v>1</v>
      </c>
      <c r="Y91" s="26">
        <f t="shared" si="37"/>
        <v>0</v>
      </c>
      <c r="Z91" s="1">
        <f t="shared" si="38"/>
        <v>1</v>
      </c>
      <c r="AA91"/>
      <c r="AB91"/>
    </row>
    <row r="92" spans="1:28" x14ac:dyDescent="0.55000000000000004">
      <c r="A92" s="1">
        <f t="shared" si="25"/>
        <v>92</v>
      </c>
      <c r="B92" t="s">
        <v>38</v>
      </c>
      <c r="C92" t="s">
        <v>111</v>
      </c>
      <c r="D92" t="s">
        <v>133</v>
      </c>
      <c r="E92" t="s">
        <v>1993</v>
      </c>
      <c r="F92" t="s">
        <v>1994</v>
      </c>
      <c r="G92" t="s">
        <v>908</v>
      </c>
      <c r="H92" t="s">
        <v>590</v>
      </c>
      <c r="I92" t="s">
        <v>913</v>
      </c>
      <c r="J92" t="s">
        <v>1995</v>
      </c>
      <c r="K92" t="s">
        <v>911</v>
      </c>
      <c r="L92" t="s">
        <v>974</v>
      </c>
      <c r="M92" t="s">
        <v>28</v>
      </c>
      <c r="N92" s="1">
        <f t="shared" si="26"/>
        <v>0</v>
      </c>
      <c r="O92" s="1">
        <f t="shared" si="27"/>
        <v>1</v>
      </c>
      <c r="P92" s="1">
        <f t="shared" si="28"/>
        <v>1</v>
      </c>
      <c r="Q92" s="1">
        <f t="shared" si="29"/>
        <v>1</v>
      </c>
      <c r="R92" s="1">
        <f t="shared" si="30"/>
        <v>1</v>
      </c>
      <c r="S92" s="1">
        <f t="shared" si="31"/>
        <v>1</v>
      </c>
      <c r="T92" s="1">
        <f t="shared" si="32"/>
        <v>1</v>
      </c>
      <c r="U92" s="26">
        <f t="shared" si="33"/>
        <v>0</v>
      </c>
      <c r="V92" s="26">
        <f t="shared" si="34"/>
        <v>0</v>
      </c>
      <c r="W92" s="1">
        <f t="shared" si="35"/>
        <v>1</v>
      </c>
      <c r="X92" s="26">
        <f t="shared" si="36"/>
        <v>1</v>
      </c>
      <c r="Y92" s="26">
        <f t="shared" si="37"/>
        <v>0</v>
      </c>
      <c r="Z92" s="1">
        <f t="shared" si="38"/>
        <v>0</v>
      </c>
      <c r="AA92"/>
      <c r="AB92"/>
    </row>
    <row r="93" spans="1:28" x14ac:dyDescent="0.55000000000000004">
      <c r="A93" s="1">
        <f t="shared" si="25"/>
        <v>93</v>
      </c>
      <c r="B93" t="s">
        <v>38</v>
      </c>
      <c r="C93" t="s">
        <v>111</v>
      </c>
      <c r="D93" t="s">
        <v>133</v>
      </c>
      <c r="E93" t="s">
        <v>1993</v>
      </c>
      <c r="F93" t="s">
        <v>342</v>
      </c>
      <c r="G93" t="s">
        <v>935</v>
      </c>
      <c r="H93" t="s">
        <v>579</v>
      </c>
      <c r="I93" t="s">
        <v>981</v>
      </c>
      <c r="J93" t="s">
        <v>1996</v>
      </c>
      <c r="K93" t="s">
        <v>949</v>
      </c>
      <c r="L93" t="s">
        <v>922</v>
      </c>
      <c r="M93" t="s">
        <v>28</v>
      </c>
      <c r="N93" s="1">
        <f t="shared" si="26"/>
        <v>2</v>
      </c>
      <c r="O93" s="1">
        <f t="shared" si="27"/>
        <v>1</v>
      </c>
      <c r="P93" s="1">
        <f t="shared" si="28"/>
        <v>3</v>
      </c>
      <c r="Q93" s="1">
        <f t="shared" si="29"/>
        <v>1</v>
      </c>
      <c r="R93" s="1">
        <f t="shared" si="30"/>
        <v>1</v>
      </c>
      <c r="S93" s="1">
        <f t="shared" si="31"/>
        <v>1</v>
      </c>
      <c r="T93" s="1">
        <f t="shared" si="32"/>
        <v>1</v>
      </c>
      <c r="U93" s="26">
        <f t="shared" si="33"/>
        <v>1</v>
      </c>
      <c r="V93" s="26">
        <f t="shared" si="34"/>
        <v>1</v>
      </c>
      <c r="W93" s="1">
        <f t="shared" si="35"/>
        <v>1</v>
      </c>
      <c r="X93" s="26">
        <f t="shared" si="36"/>
        <v>1</v>
      </c>
      <c r="Y93" s="26">
        <f t="shared" si="37"/>
        <v>0</v>
      </c>
      <c r="Z93" s="1">
        <f t="shared" si="38"/>
        <v>1</v>
      </c>
      <c r="AA93"/>
      <c r="AB93"/>
    </row>
    <row r="94" spans="1:28" x14ac:dyDescent="0.55000000000000004">
      <c r="A94" s="1">
        <f t="shared" si="25"/>
        <v>94</v>
      </c>
      <c r="B94" t="s">
        <v>38</v>
      </c>
      <c r="C94" t="s">
        <v>111</v>
      </c>
      <c r="D94" t="s">
        <v>133</v>
      </c>
      <c r="E94" t="s">
        <v>1993</v>
      </c>
      <c r="F94" t="s">
        <v>342</v>
      </c>
      <c r="G94" t="s">
        <v>899</v>
      </c>
      <c r="H94" t="s">
        <v>608</v>
      </c>
      <c r="I94" t="s">
        <v>979</v>
      </c>
      <c r="J94" t="s">
        <v>1997</v>
      </c>
      <c r="K94" t="s">
        <v>973</v>
      </c>
      <c r="L94" t="s">
        <v>944</v>
      </c>
      <c r="M94" t="s">
        <v>28</v>
      </c>
      <c r="N94" s="1">
        <f t="shared" si="26"/>
        <v>1</v>
      </c>
      <c r="O94" s="1">
        <f t="shared" si="27"/>
        <v>1</v>
      </c>
      <c r="P94" s="1">
        <f t="shared" si="28"/>
        <v>2</v>
      </c>
      <c r="Q94" s="1">
        <f t="shared" si="29"/>
        <v>0</v>
      </c>
      <c r="R94" s="1">
        <f t="shared" si="30"/>
        <v>1</v>
      </c>
      <c r="S94" s="1">
        <f t="shared" si="31"/>
        <v>0</v>
      </c>
      <c r="T94" s="1">
        <f t="shared" si="32"/>
        <v>1</v>
      </c>
      <c r="U94" s="26">
        <f t="shared" si="33"/>
        <v>1</v>
      </c>
      <c r="V94" s="26">
        <f t="shared" si="34"/>
        <v>0</v>
      </c>
      <c r="W94" s="1">
        <f t="shared" si="35"/>
        <v>1</v>
      </c>
      <c r="X94" s="26">
        <f t="shared" si="36"/>
        <v>1</v>
      </c>
      <c r="Y94" s="26">
        <f t="shared" si="37"/>
        <v>0</v>
      </c>
      <c r="Z94" s="1">
        <f t="shared" si="38"/>
        <v>1</v>
      </c>
      <c r="AA94"/>
      <c r="AB94"/>
    </row>
    <row r="95" spans="1:28" x14ac:dyDescent="0.55000000000000004">
      <c r="A95" s="1">
        <f t="shared" si="25"/>
        <v>95</v>
      </c>
      <c r="B95" t="s">
        <v>38</v>
      </c>
      <c r="C95" t="s">
        <v>111</v>
      </c>
      <c r="D95" t="s">
        <v>133</v>
      </c>
      <c r="E95" t="s">
        <v>1993</v>
      </c>
      <c r="F95" t="s">
        <v>342</v>
      </c>
      <c r="G95" t="s">
        <v>929</v>
      </c>
      <c r="H95" t="s">
        <v>573</v>
      </c>
      <c r="I95" t="s">
        <v>903</v>
      </c>
      <c r="J95" t="s">
        <v>1998</v>
      </c>
      <c r="K95" t="s">
        <v>932</v>
      </c>
      <c r="L95" t="s">
        <v>902</v>
      </c>
      <c r="M95" t="s">
        <v>28</v>
      </c>
      <c r="N95" s="1">
        <f t="shared" si="26"/>
        <v>2</v>
      </c>
      <c r="O95" s="1">
        <f t="shared" si="27"/>
        <v>0</v>
      </c>
      <c r="P95" s="1">
        <f t="shared" si="28"/>
        <v>2</v>
      </c>
      <c r="Q95" s="1">
        <f t="shared" si="29"/>
        <v>1</v>
      </c>
      <c r="R95" s="1">
        <f t="shared" si="30"/>
        <v>1</v>
      </c>
      <c r="S95" s="1">
        <f t="shared" si="31"/>
        <v>1</v>
      </c>
      <c r="T95" s="1">
        <f t="shared" si="32"/>
        <v>1</v>
      </c>
      <c r="U95" s="26">
        <f t="shared" si="33"/>
        <v>1</v>
      </c>
      <c r="V95" s="26">
        <f t="shared" si="34"/>
        <v>1</v>
      </c>
      <c r="W95" s="1">
        <f t="shared" si="35"/>
        <v>1</v>
      </c>
      <c r="X95" s="26">
        <f t="shared" si="36"/>
        <v>0</v>
      </c>
      <c r="Y95" s="26">
        <f t="shared" si="37"/>
        <v>0</v>
      </c>
      <c r="Z95" s="1">
        <f t="shared" si="38"/>
        <v>1</v>
      </c>
      <c r="AA95"/>
      <c r="AB95"/>
    </row>
    <row r="96" spans="1:28" x14ac:dyDescent="0.55000000000000004">
      <c r="A96" s="1">
        <f t="shared" si="25"/>
        <v>96</v>
      </c>
      <c r="B96" t="s">
        <v>38</v>
      </c>
      <c r="C96" t="s">
        <v>111</v>
      </c>
      <c r="D96" t="s">
        <v>133</v>
      </c>
      <c r="E96" t="s">
        <v>1993</v>
      </c>
      <c r="F96" t="s">
        <v>923</v>
      </c>
      <c r="G96" t="s">
        <v>924</v>
      </c>
      <c r="H96" t="s">
        <v>575</v>
      </c>
      <c r="I96" t="s">
        <v>919</v>
      </c>
      <c r="J96" t="s">
        <v>1999</v>
      </c>
      <c r="K96" t="s">
        <v>927</v>
      </c>
      <c r="L96" t="s">
        <v>960</v>
      </c>
      <c r="M96" t="s">
        <v>28</v>
      </c>
      <c r="N96" s="1">
        <f t="shared" si="26"/>
        <v>1</v>
      </c>
      <c r="O96" s="1">
        <f t="shared" si="27"/>
        <v>0</v>
      </c>
      <c r="P96" s="1">
        <f t="shared" si="28"/>
        <v>1</v>
      </c>
      <c r="Q96" s="1">
        <f t="shared" si="29"/>
        <v>1</v>
      </c>
      <c r="R96" s="1">
        <f t="shared" si="30"/>
        <v>1</v>
      </c>
      <c r="S96" s="1">
        <f t="shared" si="31"/>
        <v>1</v>
      </c>
      <c r="T96" s="1">
        <f t="shared" si="32"/>
        <v>1</v>
      </c>
      <c r="U96" s="26">
        <f t="shared" si="33"/>
        <v>1</v>
      </c>
      <c r="V96" s="26">
        <f t="shared" si="34"/>
        <v>0</v>
      </c>
      <c r="W96" s="1">
        <f t="shared" si="35"/>
        <v>1</v>
      </c>
      <c r="X96" s="26">
        <f t="shared" si="36"/>
        <v>0</v>
      </c>
      <c r="Y96" s="26">
        <f t="shared" si="37"/>
        <v>0</v>
      </c>
      <c r="Z96" s="1">
        <f t="shared" si="38"/>
        <v>0</v>
      </c>
      <c r="AA96"/>
      <c r="AB96"/>
    </row>
    <row r="97" spans="1:28" x14ac:dyDescent="0.55000000000000004">
      <c r="A97" s="1">
        <f t="shared" si="25"/>
        <v>97</v>
      </c>
      <c r="B97" t="s">
        <v>38</v>
      </c>
      <c r="C97" t="s">
        <v>111</v>
      </c>
      <c r="D97" t="s">
        <v>133</v>
      </c>
      <c r="E97" t="s">
        <v>1993</v>
      </c>
      <c r="F97" t="s">
        <v>923</v>
      </c>
      <c r="G97" t="s">
        <v>914</v>
      </c>
      <c r="H97" t="s">
        <v>590</v>
      </c>
      <c r="I97" t="s">
        <v>945</v>
      </c>
      <c r="J97" t="s">
        <v>2000</v>
      </c>
      <c r="K97" t="s">
        <v>901</v>
      </c>
      <c r="L97" t="s">
        <v>1122</v>
      </c>
      <c r="M97" t="s">
        <v>28</v>
      </c>
      <c r="N97" s="1">
        <f t="shared" si="26"/>
        <v>0</v>
      </c>
      <c r="O97" s="1">
        <f t="shared" si="27"/>
        <v>1</v>
      </c>
      <c r="P97" s="1">
        <f t="shared" si="28"/>
        <v>1</v>
      </c>
      <c r="Q97" s="1">
        <f t="shared" si="29"/>
        <v>1</v>
      </c>
      <c r="R97" s="1">
        <f t="shared" si="30"/>
        <v>1</v>
      </c>
      <c r="S97" s="1">
        <f t="shared" si="31"/>
        <v>1</v>
      </c>
      <c r="T97" s="1">
        <f t="shared" si="32"/>
        <v>1</v>
      </c>
      <c r="U97" s="26">
        <f t="shared" si="33"/>
        <v>0</v>
      </c>
      <c r="V97" s="26">
        <f t="shared" si="34"/>
        <v>0</v>
      </c>
      <c r="W97" s="1">
        <f t="shared" si="35"/>
        <v>1</v>
      </c>
      <c r="X97" s="26">
        <f t="shared" si="36"/>
        <v>1</v>
      </c>
      <c r="Y97" s="26">
        <f t="shared" si="37"/>
        <v>0</v>
      </c>
      <c r="Z97" s="1">
        <f t="shared" si="38"/>
        <v>0</v>
      </c>
      <c r="AA97"/>
      <c r="AB97"/>
    </row>
    <row r="98" spans="1:28" x14ac:dyDescent="0.55000000000000004">
      <c r="A98" s="1">
        <f t="shared" si="25"/>
        <v>98</v>
      </c>
      <c r="B98" t="s">
        <v>38</v>
      </c>
      <c r="C98" t="s">
        <v>111</v>
      </c>
      <c r="D98" t="s">
        <v>133</v>
      </c>
      <c r="E98" t="s">
        <v>1993</v>
      </c>
      <c r="F98" t="s">
        <v>950</v>
      </c>
      <c r="G98" t="s">
        <v>930</v>
      </c>
      <c r="H98" t="s">
        <v>573</v>
      </c>
      <c r="I98" t="s">
        <v>934</v>
      </c>
      <c r="J98" t="s">
        <v>2001</v>
      </c>
      <c r="K98" t="s">
        <v>976</v>
      </c>
      <c r="L98" t="s">
        <v>912</v>
      </c>
      <c r="M98" t="s">
        <v>28</v>
      </c>
      <c r="N98" s="1">
        <f t="shared" si="26"/>
        <v>2</v>
      </c>
      <c r="O98" s="1">
        <f t="shared" si="27"/>
        <v>0</v>
      </c>
      <c r="P98" s="1">
        <f t="shared" si="28"/>
        <v>2</v>
      </c>
      <c r="Q98" s="1">
        <f t="shared" si="29"/>
        <v>1</v>
      </c>
      <c r="R98" s="1">
        <f t="shared" si="30"/>
        <v>1</v>
      </c>
      <c r="S98" s="1">
        <f t="shared" si="31"/>
        <v>1</v>
      </c>
      <c r="T98" s="1">
        <f t="shared" si="32"/>
        <v>1</v>
      </c>
      <c r="U98" s="26">
        <f t="shared" si="33"/>
        <v>1</v>
      </c>
      <c r="V98" s="26">
        <f t="shared" si="34"/>
        <v>1</v>
      </c>
      <c r="W98" s="1">
        <f t="shared" si="35"/>
        <v>1</v>
      </c>
      <c r="X98" s="26">
        <f t="shared" si="36"/>
        <v>0</v>
      </c>
      <c r="Y98" s="26">
        <f t="shared" si="37"/>
        <v>0</v>
      </c>
      <c r="Z98" s="1">
        <f t="shared" si="38"/>
        <v>1</v>
      </c>
      <c r="AA98"/>
      <c r="AB98"/>
    </row>
    <row r="99" spans="1:28" x14ac:dyDescent="0.55000000000000004">
      <c r="A99" s="1">
        <f t="shared" si="25"/>
        <v>99</v>
      </c>
      <c r="B99" t="s">
        <v>38</v>
      </c>
      <c r="C99" t="s">
        <v>111</v>
      </c>
      <c r="D99" t="s">
        <v>42</v>
      </c>
      <c r="E99" t="s">
        <v>1589</v>
      </c>
      <c r="F99" t="s">
        <v>342</v>
      </c>
      <c r="G99" t="s">
        <v>909</v>
      </c>
      <c r="H99" t="s">
        <v>708</v>
      </c>
      <c r="I99" t="s">
        <v>918</v>
      </c>
      <c r="J99" t="s">
        <v>1590</v>
      </c>
      <c r="K99" t="s">
        <v>965</v>
      </c>
      <c r="L99" t="s">
        <v>938</v>
      </c>
      <c r="M99" t="s">
        <v>28</v>
      </c>
      <c r="N99" s="1">
        <f t="shared" si="26"/>
        <v>0</v>
      </c>
      <c r="O99" s="1">
        <f t="shared" si="27"/>
        <v>0</v>
      </c>
      <c r="P99" s="1">
        <f t="shared" si="28"/>
        <v>0</v>
      </c>
      <c r="Q99" s="1">
        <f t="shared" si="29"/>
        <v>0</v>
      </c>
      <c r="R99" s="1">
        <f t="shared" si="30"/>
        <v>1</v>
      </c>
      <c r="S99" s="1">
        <f t="shared" si="31"/>
        <v>0</v>
      </c>
      <c r="T99" s="1">
        <f t="shared" si="32"/>
        <v>1</v>
      </c>
      <c r="U99" s="26">
        <f t="shared" si="33"/>
        <v>0</v>
      </c>
      <c r="V99" s="26">
        <f t="shared" si="34"/>
        <v>0</v>
      </c>
      <c r="W99" s="1">
        <f t="shared" si="35"/>
        <v>1</v>
      </c>
      <c r="X99" s="26">
        <f t="shared" si="36"/>
        <v>0</v>
      </c>
      <c r="Y99" s="26">
        <f t="shared" si="37"/>
        <v>0</v>
      </c>
      <c r="Z99" s="1">
        <f t="shared" si="38"/>
        <v>0</v>
      </c>
      <c r="AA99"/>
      <c r="AB99"/>
    </row>
    <row r="100" spans="1:28" x14ac:dyDescent="0.55000000000000004">
      <c r="A100" s="1">
        <f t="shared" si="25"/>
        <v>100</v>
      </c>
      <c r="B100" t="s">
        <v>38</v>
      </c>
      <c r="C100" t="s">
        <v>111</v>
      </c>
      <c r="D100" t="s">
        <v>42</v>
      </c>
      <c r="E100" t="s">
        <v>1589</v>
      </c>
      <c r="F100" t="s">
        <v>342</v>
      </c>
      <c r="G100" t="s">
        <v>925</v>
      </c>
      <c r="H100" t="s">
        <v>568</v>
      </c>
      <c r="I100" t="s">
        <v>940</v>
      </c>
      <c r="J100" t="s">
        <v>1591</v>
      </c>
      <c r="K100" t="s">
        <v>1346</v>
      </c>
      <c r="L100" t="s">
        <v>933</v>
      </c>
      <c r="M100" t="s">
        <v>28</v>
      </c>
      <c r="N100" s="1">
        <f t="shared" si="26"/>
        <v>0</v>
      </c>
      <c r="O100" s="1">
        <f t="shared" si="27"/>
        <v>2</v>
      </c>
      <c r="P100" s="1">
        <f t="shared" si="28"/>
        <v>2</v>
      </c>
      <c r="Q100" s="1">
        <f t="shared" si="29"/>
        <v>1</v>
      </c>
      <c r="R100" s="1">
        <f t="shared" si="30"/>
        <v>1</v>
      </c>
      <c r="S100" s="1">
        <f t="shared" si="31"/>
        <v>1</v>
      </c>
      <c r="T100" s="1">
        <f t="shared" si="32"/>
        <v>1</v>
      </c>
      <c r="U100" s="26">
        <f t="shared" si="33"/>
        <v>0</v>
      </c>
      <c r="V100" s="26">
        <f t="shared" si="34"/>
        <v>0</v>
      </c>
      <c r="W100" s="1">
        <f t="shared" si="35"/>
        <v>1</v>
      </c>
      <c r="X100" s="26">
        <f t="shared" si="36"/>
        <v>1</v>
      </c>
      <c r="Y100" s="26">
        <f t="shared" si="37"/>
        <v>1</v>
      </c>
      <c r="Z100" s="1">
        <f t="shared" si="38"/>
        <v>1</v>
      </c>
      <c r="AA100"/>
      <c r="AB100"/>
    </row>
    <row r="101" spans="1:28" x14ac:dyDescent="0.55000000000000004">
      <c r="A101" s="1">
        <f t="shared" si="25"/>
        <v>101</v>
      </c>
      <c r="B101" t="s">
        <v>38</v>
      </c>
      <c r="C101" t="s">
        <v>115</v>
      </c>
      <c r="D101" t="s">
        <v>177</v>
      </c>
      <c r="E101" t="s">
        <v>1110</v>
      </c>
      <c r="F101" t="s">
        <v>390</v>
      </c>
      <c r="G101" t="s">
        <v>981</v>
      </c>
      <c r="H101" t="s">
        <v>565</v>
      </c>
      <c r="I101" t="s">
        <v>899</v>
      </c>
      <c r="J101" t="s">
        <v>1111</v>
      </c>
      <c r="K101" t="s">
        <v>1086</v>
      </c>
      <c r="L101" t="s">
        <v>960</v>
      </c>
      <c r="M101" t="s">
        <v>28</v>
      </c>
      <c r="N101" s="1">
        <f t="shared" si="26"/>
        <v>2</v>
      </c>
      <c r="O101" s="1">
        <f t="shared" si="27"/>
        <v>3</v>
      </c>
      <c r="P101" s="1">
        <f t="shared" si="28"/>
        <v>5</v>
      </c>
      <c r="Q101" s="1">
        <f t="shared" si="29"/>
        <v>1</v>
      </c>
      <c r="R101" s="1">
        <f t="shared" si="30"/>
        <v>0</v>
      </c>
      <c r="S101" s="1">
        <f t="shared" si="31"/>
        <v>0</v>
      </c>
      <c r="T101" s="1">
        <f t="shared" si="32"/>
        <v>1</v>
      </c>
      <c r="U101" s="26">
        <f t="shared" si="33"/>
        <v>1</v>
      </c>
      <c r="V101" s="26">
        <f t="shared" si="34"/>
        <v>1</v>
      </c>
      <c r="W101" s="1">
        <f t="shared" si="35"/>
        <v>0</v>
      </c>
      <c r="X101" s="26">
        <f t="shared" si="36"/>
        <v>1</v>
      </c>
      <c r="Y101" s="26">
        <f t="shared" si="37"/>
        <v>1</v>
      </c>
      <c r="Z101" s="1">
        <f t="shared" si="38"/>
        <v>1</v>
      </c>
      <c r="AA101"/>
      <c r="AB101"/>
    </row>
    <row r="102" spans="1:28" x14ac:dyDescent="0.55000000000000004">
      <c r="A102" s="1">
        <f t="shared" si="25"/>
        <v>102</v>
      </c>
      <c r="B102" t="s">
        <v>38</v>
      </c>
      <c r="C102" t="s">
        <v>115</v>
      </c>
      <c r="D102" t="s">
        <v>177</v>
      </c>
      <c r="E102" t="s">
        <v>1110</v>
      </c>
      <c r="F102" t="s">
        <v>390</v>
      </c>
      <c r="G102" t="s">
        <v>945</v>
      </c>
      <c r="H102" t="s">
        <v>579</v>
      </c>
      <c r="I102" t="s">
        <v>979</v>
      </c>
      <c r="J102" t="s">
        <v>1112</v>
      </c>
      <c r="K102" t="s">
        <v>947</v>
      </c>
      <c r="L102" t="s">
        <v>907</v>
      </c>
      <c r="M102" t="s">
        <v>28</v>
      </c>
      <c r="N102" s="1">
        <f t="shared" si="26"/>
        <v>2</v>
      </c>
      <c r="O102" s="1">
        <f t="shared" si="27"/>
        <v>1</v>
      </c>
      <c r="P102" s="1">
        <f t="shared" si="28"/>
        <v>3</v>
      </c>
      <c r="Q102" s="1">
        <f t="shared" si="29"/>
        <v>1</v>
      </c>
      <c r="R102" s="1">
        <f t="shared" si="30"/>
        <v>1</v>
      </c>
      <c r="S102" s="1">
        <f t="shared" si="31"/>
        <v>1</v>
      </c>
      <c r="T102" s="1">
        <f t="shared" si="32"/>
        <v>1</v>
      </c>
      <c r="U102" s="26">
        <f t="shared" si="33"/>
        <v>1</v>
      </c>
      <c r="V102" s="26">
        <f t="shared" si="34"/>
        <v>1</v>
      </c>
      <c r="W102" s="1">
        <f t="shared" si="35"/>
        <v>1</v>
      </c>
      <c r="X102" s="26">
        <f t="shared" si="36"/>
        <v>1</v>
      </c>
      <c r="Y102" s="26">
        <f t="shared" si="37"/>
        <v>0</v>
      </c>
      <c r="Z102" s="1">
        <f t="shared" si="38"/>
        <v>1</v>
      </c>
      <c r="AA102"/>
      <c r="AB102"/>
    </row>
    <row r="103" spans="1:28" x14ac:dyDescent="0.55000000000000004">
      <c r="A103" s="1">
        <f t="shared" si="25"/>
        <v>103</v>
      </c>
      <c r="B103" t="s">
        <v>38</v>
      </c>
      <c r="C103" t="s">
        <v>126</v>
      </c>
      <c r="D103" t="s">
        <v>177</v>
      </c>
      <c r="E103" t="s">
        <v>1110</v>
      </c>
      <c r="F103" t="s">
        <v>218</v>
      </c>
      <c r="G103" t="s">
        <v>940</v>
      </c>
      <c r="H103" t="s">
        <v>579</v>
      </c>
      <c r="I103" t="s">
        <v>930</v>
      </c>
      <c r="J103" t="s">
        <v>1113</v>
      </c>
      <c r="K103" t="s">
        <v>942</v>
      </c>
      <c r="L103" t="s">
        <v>1078</v>
      </c>
      <c r="M103" t="s">
        <v>28</v>
      </c>
      <c r="N103" s="1">
        <f t="shared" si="26"/>
        <v>2</v>
      </c>
      <c r="O103" s="1">
        <f t="shared" si="27"/>
        <v>1</v>
      </c>
      <c r="P103" s="1">
        <f t="shared" si="28"/>
        <v>3</v>
      </c>
      <c r="Q103" s="1">
        <f t="shared" si="29"/>
        <v>1</v>
      </c>
      <c r="R103" s="1">
        <f t="shared" si="30"/>
        <v>1</v>
      </c>
      <c r="S103" s="1">
        <f t="shared" si="31"/>
        <v>1</v>
      </c>
      <c r="T103" s="1">
        <f t="shared" si="32"/>
        <v>1</v>
      </c>
      <c r="U103" s="26">
        <f t="shared" si="33"/>
        <v>1</v>
      </c>
      <c r="V103" s="26">
        <f t="shared" si="34"/>
        <v>1</v>
      </c>
      <c r="W103" s="1">
        <f t="shared" si="35"/>
        <v>1</v>
      </c>
      <c r="X103" s="26">
        <f t="shared" si="36"/>
        <v>1</v>
      </c>
      <c r="Y103" s="26">
        <f t="shared" si="37"/>
        <v>0</v>
      </c>
      <c r="Z103" s="1">
        <f t="shared" si="38"/>
        <v>1</v>
      </c>
      <c r="AA103"/>
      <c r="AB103"/>
    </row>
    <row r="104" spans="1:28" x14ac:dyDescent="0.55000000000000004">
      <c r="A104" s="1">
        <f t="shared" si="25"/>
        <v>104</v>
      </c>
      <c r="B104" t="s">
        <v>38</v>
      </c>
      <c r="C104" t="s">
        <v>114</v>
      </c>
      <c r="D104" t="s">
        <v>133</v>
      </c>
      <c r="E104" t="s">
        <v>2002</v>
      </c>
      <c r="F104" t="s">
        <v>342</v>
      </c>
      <c r="G104" t="s">
        <v>909</v>
      </c>
      <c r="H104" t="s">
        <v>581</v>
      </c>
      <c r="I104" t="s">
        <v>930</v>
      </c>
      <c r="J104" t="s">
        <v>1944</v>
      </c>
      <c r="K104" t="s">
        <v>965</v>
      </c>
      <c r="L104" t="s">
        <v>928</v>
      </c>
      <c r="M104" t="s">
        <v>28</v>
      </c>
      <c r="N104" s="1">
        <f t="shared" si="26"/>
        <v>1</v>
      </c>
      <c r="O104" s="1">
        <f t="shared" si="27"/>
        <v>2</v>
      </c>
      <c r="P104" s="1">
        <f t="shared" si="28"/>
        <v>3</v>
      </c>
      <c r="Q104" s="1">
        <f t="shared" si="29"/>
        <v>1</v>
      </c>
      <c r="R104" s="1">
        <f t="shared" si="30"/>
        <v>1</v>
      </c>
      <c r="S104" s="1">
        <f t="shared" si="31"/>
        <v>1</v>
      </c>
      <c r="T104" s="1">
        <f t="shared" si="32"/>
        <v>1</v>
      </c>
      <c r="U104" s="26">
        <f t="shared" si="33"/>
        <v>1</v>
      </c>
      <c r="V104" s="26">
        <f t="shared" si="34"/>
        <v>0</v>
      </c>
      <c r="W104" s="1">
        <f t="shared" si="35"/>
        <v>1</v>
      </c>
      <c r="X104" s="26">
        <f t="shared" si="36"/>
        <v>1</v>
      </c>
      <c r="Y104" s="26">
        <f t="shared" si="37"/>
        <v>1</v>
      </c>
      <c r="Z104" s="1">
        <f t="shared" si="38"/>
        <v>1</v>
      </c>
      <c r="AA104"/>
      <c r="AB104"/>
    </row>
    <row r="105" spans="1:28" x14ac:dyDescent="0.55000000000000004">
      <c r="A105" s="1">
        <f t="shared" si="25"/>
        <v>105</v>
      </c>
      <c r="B105" t="s">
        <v>38</v>
      </c>
      <c r="C105" t="s">
        <v>114</v>
      </c>
      <c r="D105" t="s">
        <v>42</v>
      </c>
      <c r="E105" t="s">
        <v>1592</v>
      </c>
      <c r="F105" t="s">
        <v>342</v>
      </c>
      <c r="G105" t="s">
        <v>899</v>
      </c>
      <c r="H105" t="s">
        <v>570</v>
      </c>
      <c r="I105" t="s">
        <v>935</v>
      </c>
      <c r="J105" t="s">
        <v>1593</v>
      </c>
      <c r="K105" t="s">
        <v>973</v>
      </c>
      <c r="L105" t="s">
        <v>1103</v>
      </c>
      <c r="M105" t="s">
        <v>28</v>
      </c>
      <c r="N105" s="1">
        <f t="shared" si="26"/>
        <v>3</v>
      </c>
      <c r="O105" s="1">
        <f t="shared" si="27"/>
        <v>1</v>
      </c>
      <c r="P105" s="1">
        <f t="shared" si="28"/>
        <v>4</v>
      </c>
      <c r="Q105" s="1">
        <f t="shared" si="29"/>
        <v>1</v>
      </c>
      <c r="R105" s="1">
        <f t="shared" si="30"/>
        <v>1</v>
      </c>
      <c r="S105" s="1">
        <f t="shared" si="31"/>
        <v>1</v>
      </c>
      <c r="T105" s="1">
        <f t="shared" si="32"/>
        <v>0</v>
      </c>
      <c r="U105" s="26">
        <f t="shared" si="33"/>
        <v>1</v>
      </c>
      <c r="V105" s="26">
        <f t="shared" si="34"/>
        <v>1</v>
      </c>
      <c r="W105" s="1">
        <f t="shared" si="35"/>
        <v>1</v>
      </c>
      <c r="X105" s="26">
        <f t="shared" si="36"/>
        <v>1</v>
      </c>
      <c r="Y105" s="26">
        <f t="shared" si="37"/>
        <v>0</v>
      </c>
      <c r="Z105" s="1">
        <f t="shared" si="38"/>
        <v>1</v>
      </c>
      <c r="AA105"/>
      <c r="AB105"/>
    </row>
    <row r="106" spans="1:28" x14ac:dyDescent="0.55000000000000004">
      <c r="A106" s="1">
        <f t="shared" si="25"/>
        <v>106</v>
      </c>
      <c r="B106" t="s">
        <v>38</v>
      </c>
      <c r="C106" t="s">
        <v>114</v>
      </c>
      <c r="D106" t="s">
        <v>42</v>
      </c>
      <c r="E106" t="s">
        <v>1592</v>
      </c>
      <c r="F106" t="s">
        <v>342</v>
      </c>
      <c r="G106" t="s">
        <v>945</v>
      </c>
      <c r="H106" t="s">
        <v>575</v>
      </c>
      <c r="I106" t="s">
        <v>925</v>
      </c>
      <c r="J106" t="s">
        <v>1594</v>
      </c>
      <c r="K106" t="s">
        <v>947</v>
      </c>
      <c r="L106" t="s">
        <v>1092</v>
      </c>
      <c r="M106" t="s">
        <v>28</v>
      </c>
      <c r="N106" s="1">
        <f t="shared" si="26"/>
        <v>1</v>
      </c>
      <c r="O106" s="1">
        <f t="shared" si="27"/>
        <v>0</v>
      </c>
      <c r="P106" s="1">
        <f t="shared" si="28"/>
        <v>1</v>
      </c>
      <c r="Q106" s="1">
        <f t="shared" si="29"/>
        <v>1</v>
      </c>
      <c r="R106" s="1">
        <f t="shared" si="30"/>
        <v>1</v>
      </c>
      <c r="S106" s="1">
        <f t="shared" si="31"/>
        <v>1</v>
      </c>
      <c r="T106" s="1">
        <f t="shared" si="32"/>
        <v>1</v>
      </c>
      <c r="U106" s="26">
        <f t="shared" si="33"/>
        <v>1</v>
      </c>
      <c r="V106" s="26">
        <f t="shared" si="34"/>
        <v>0</v>
      </c>
      <c r="W106" s="1">
        <f t="shared" si="35"/>
        <v>1</v>
      </c>
      <c r="X106" s="26">
        <f t="shared" si="36"/>
        <v>0</v>
      </c>
      <c r="Y106" s="26">
        <f t="shared" si="37"/>
        <v>0</v>
      </c>
      <c r="Z106" s="1">
        <f t="shared" si="38"/>
        <v>0</v>
      </c>
      <c r="AA106"/>
      <c r="AB106"/>
    </row>
    <row r="107" spans="1:28" x14ac:dyDescent="0.55000000000000004">
      <c r="A107" s="1">
        <f t="shared" si="25"/>
        <v>107</v>
      </c>
      <c r="B107" t="s">
        <v>38</v>
      </c>
      <c r="C107" t="s">
        <v>114</v>
      </c>
      <c r="D107" t="s">
        <v>42</v>
      </c>
      <c r="E107" t="s">
        <v>1592</v>
      </c>
      <c r="F107" t="s">
        <v>342</v>
      </c>
      <c r="G107" t="s">
        <v>918</v>
      </c>
      <c r="H107" t="s">
        <v>608</v>
      </c>
      <c r="I107" t="s">
        <v>929</v>
      </c>
      <c r="J107" t="s">
        <v>1595</v>
      </c>
      <c r="K107" t="s">
        <v>921</v>
      </c>
      <c r="L107" t="s">
        <v>974</v>
      </c>
      <c r="M107" t="s">
        <v>28</v>
      </c>
      <c r="N107" s="1">
        <f t="shared" si="26"/>
        <v>1</v>
      </c>
      <c r="O107" s="1">
        <f t="shared" si="27"/>
        <v>1</v>
      </c>
      <c r="P107" s="1">
        <f t="shared" si="28"/>
        <v>2</v>
      </c>
      <c r="Q107" s="1">
        <f t="shared" si="29"/>
        <v>0</v>
      </c>
      <c r="R107" s="1">
        <f t="shared" si="30"/>
        <v>1</v>
      </c>
      <c r="S107" s="1">
        <f t="shared" si="31"/>
        <v>0</v>
      </c>
      <c r="T107" s="1">
        <f t="shared" si="32"/>
        <v>1</v>
      </c>
      <c r="U107" s="26">
        <f t="shared" si="33"/>
        <v>1</v>
      </c>
      <c r="V107" s="26">
        <f t="shared" si="34"/>
        <v>0</v>
      </c>
      <c r="W107" s="1">
        <f t="shared" si="35"/>
        <v>1</v>
      </c>
      <c r="X107" s="26">
        <f t="shared" si="36"/>
        <v>1</v>
      </c>
      <c r="Y107" s="26">
        <f t="shared" si="37"/>
        <v>0</v>
      </c>
      <c r="Z107" s="1">
        <f t="shared" si="38"/>
        <v>1</v>
      </c>
      <c r="AA107"/>
      <c r="AB107"/>
    </row>
    <row r="108" spans="1:28" x14ac:dyDescent="0.55000000000000004">
      <c r="A108" s="1">
        <f t="shared" si="25"/>
        <v>108</v>
      </c>
      <c r="B108" t="s">
        <v>38</v>
      </c>
      <c r="C108" t="s">
        <v>114</v>
      </c>
      <c r="D108" t="s">
        <v>42</v>
      </c>
      <c r="E108" t="s">
        <v>1592</v>
      </c>
      <c r="F108" t="s">
        <v>342</v>
      </c>
      <c r="G108" t="s">
        <v>903</v>
      </c>
      <c r="H108" t="s">
        <v>579</v>
      </c>
      <c r="I108" t="s">
        <v>908</v>
      </c>
      <c r="J108" t="s">
        <v>1596</v>
      </c>
      <c r="K108" t="s">
        <v>906</v>
      </c>
      <c r="L108" t="s">
        <v>1106</v>
      </c>
      <c r="M108" t="s">
        <v>28</v>
      </c>
      <c r="N108" s="1">
        <f t="shared" si="26"/>
        <v>2</v>
      </c>
      <c r="O108" s="1">
        <f t="shared" si="27"/>
        <v>1</v>
      </c>
      <c r="P108" s="1">
        <f t="shared" si="28"/>
        <v>3</v>
      </c>
      <c r="Q108" s="1">
        <f t="shared" si="29"/>
        <v>1</v>
      </c>
      <c r="R108" s="1">
        <f t="shared" si="30"/>
        <v>1</v>
      </c>
      <c r="S108" s="1">
        <f t="shared" si="31"/>
        <v>1</v>
      </c>
      <c r="T108" s="1">
        <f t="shared" si="32"/>
        <v>1</v>
      </c>
      <c r="U108" s="26">
        <f t="shared" si="33"/>
        <v>1</v>
      </c>
      <c r="V108" s="26">
        <f t="shared" si="34"/>
        <v>1</v>
      </c>
      <c r="W108" s="1">
        <f t="shared" si="35"/>
        <v>1</v>
      </c>
      <c r="X108" s="26">
        <f t="shared" si="36"/>
        <v>1</v>
      </c>
      <c r="Y108" s="26">
        <f t="shared" si="37"/>
        <v>0</v>
      </c>
      <c r="Z108" s="1">
        <f t="shared" si="38"/>
        <v>1</v>
      </c>
      <c r="AA108"/>
      <c r="AB108"/>
    </row>
    <row r="109" spans="1:28" x14ac:dyDescent="0.55000000000000004">
      <c r="A109" s="1">
        <f t="shared" si="25"/>
        <v>109</v>
      </c>
      <c r="B109" t="s">
        <v>38</v>
      </c>
      <c r="C109" t="s">
        <v>114</v>
      </c>
      <c r="D109" t="s">
        <v>42</v>
      </c>
      <c r="E109" t="s">
        <v>1592</v>
      </c>
      <c r="F109" t="s">
        <v>342</v>
      </c>
      <c r="G109" t="s">
        <v>913</v>
      </c>
      <c r="H109" t="s">
        <v>581</v>
      </c>
      <c r="I109" t="s">
        <v>919</v>
      </c>
      <c r="J109" t="s">
        <v>814</v>
      </c>
      <c r="K109" t="s">
        <v>916</v>
      </c>
      <c r="L109" t="s">
        <v>954</v>
      </c>
      <c r="M109" t="s">
        <v>28</v>
      </c>
      <c r="N109" s="1">
        <f t="shared" si="26"/>
        <v>1</v>
      </c>
      <c r="O109" s="1">
        <f t="shared" si="27"/>
        <v>2</v>
      </c>
      <c r="P109" s="1">
        <f t="shared" si="28"/>
        <v>3</v>
      </c>
      <c r="Q109" s="1">
        <f t="shared" si="29"/>
        <v>1</v>
      </c>
      <c r="R109" s="1">
        <f t="shared" si="30"/>
        <v>1</v>
      </c>
      <c r="S109" s="1">
        <f t="shared" si="31"/>
        <v>1</v>
      </c>
      <c r="T109" s="1">
        <f t="shared" si="32"/>
        <v>1</v>
      </c>
      <c r="U109" s="26">
        <f t="shared" si="33"/>
        <v>1</v>
      </c>
      <c r="V109" s="26">
        <f t="shared" si="34"/>
        <v>0</v>
      </c>
      <c r="W109" s="1">
        <f t="shared" si="35"/>
        <v>1</v>
      </c>
      <c r="X109" s="26">
        <f t="shared" si="36"/>
        <v>1</v>
      </c>
      <c r="Y109" s="26">
        <f t="shared" si="37"/>
        <v>1</v>
      </c>
      <c r="Z109" s="1">
        <f t="shared" si="38"/>
        <v>1</v>
      </c>
      <c r="AA109"/>
      <c r="AB109"/>
    </row>
    <row r="110" spans="1:28" x14ac:dyDescent="0.55000000000000004">
      <c r="A110" s="1">
        <f t="shared" si="25"/>
        <v>110</v>
      </c>
      <c r="B110" t="s">
        <v>38</v>
      </c>
      <c r="C110" t="s">
        <v>114</v>
      </c>
      <c r="D110" t="s">
        <v>42</v>
      </c>
      <c r="E110" t="s">
        <v>1592</v>
      </c>
      <c r="F110" t="s">
        <v>923</v>
      </c>
      <c r="G110" t="s">
        <v>934</v>
      </c>
      <c r="H110" t="s">
        <v>590</v>
      </c>
      <c r="I110" t="s">
        <v>904</v>
      </c>
      <c r="J110" t="s">
        <v>1597</v>
      </c>
      <c r="K110" t="s">
        <v>937</v>
      </c>
      <c r="L110" t="s">
        <v>966</v>
      </c>
      <c r="M110" t="s">
        <v>28</v>
      </c>
      <c r="N110" s="1">
        <f t="shared" si="26"/>
        <v>0</v>
      </c>
      <c r="O110" s="1">
        <f t="shared" si="27"/>
        <v>1</v>
      </c>
      <c r="P110" s="1">
        <f t="shared" si="28"/>
        <v>1</v>
      </c>
      <c r="Q110" s="1">
        <f t="shared" si="29"/>
        <v>1</v>
      </c>
      <c r="R110" s="1">
        <f t="shared" si="30"/>
        <v>1</v>
      </c>
      <c r="S110" s="1">
        <f t="shared" si="31"/>
        <v>1</v>
      </c>
      <c r="T110" s="1">
        <f t="shared" si="32"/>
        <v>1</v>
      </c>
      <c r="U110" s="26">
        <f t="shared" si="33"/>
        <v>0</v>
      </c>
      <c r="V110" s="26">
        <f t="shared" si="34"/>
        <v>0</v>
      </c>
      <c r="W110" s="1">
        <f t="shared" si="35"/>
        <v>1</v>
      </c>
      <c r="X110" s="26">
        <f t="shared" si="36"/>
        <v>1</v>
      </c>
      <c r="Y110" s="26">
        <f t="shared" si="37"/>
        <v>0</v>
      </c>
      <c r="Z110" s="1">
        <f t="shared" si="38"/>
        <v>0</v>
      </c>
      <c r="AA110"/>
      <c r="AB110"/>
    </row>
    <row r="111" spans="1:28" x14ac:dyDescent="0.55000000000000004">
      <c r="A111" s="1">
        <f t="shared" si="25"/>
        <v>111</v>
      </c>
      <c r="B111" t="s">
        <v>38</v>
      </c>
      <c r="C111" t="s">
        <v>114</v>
      </c>
      <c r="D111" t="s">
        <v>42</v>
      </c>
      <c r="E111" t="s">
        <v>1592</v>
      </c>
      <c r="F111" t="s">
        <v>923</v>
      </c>
      <c r="G111" t="s">
        <v>924</v>
      </c>
      <c r="H111" t="s">
        <v>608</v>
      </c>
      <c r="I111" t="s">
        <v>898</v>
      </c>
      <c r="J111" t="s">
        <v>1598</v>
      </c>
      <c r="K111" t="s">
        <v>927</v>
      </c>
      <c r="L111" t="s">
        <v>933</v>
      </c>
      <c r="M111" t="s">
        <v>28</v>
      </c>
      <c r="N111" s="1">
        <f t="shared" si="26"/>
        <v>1</v>
      </c>
      <c r="O111" s="1">
        <f t="shared" si="27"/>
        <v>1</v>
      </c>
      <c r="P111" s="1">
        <f t="shared" si="28"/>
        <v>2</v>
      </c>
      <c r="Q111" s="1">
        <f t="shared" si="29"/>
        <v>0</v>
      </c>
      <c r="R111" s="1">
        <f t="shared" si="30"/>
        <v>1</v>
      </c>
      <c r="S111" s="1">
        <f t="shared" si="31"/>
        <v>0</v>
      </c>
      <c r="T111" s="1">
        <f t="shared" si="32"/>
        <v>1</v>
      </c>
      <c r="U111" s="26">
        <f t="shared" si="33"/>
        <v>1</v>
      </c>
      <c r="V111" s="26">
        <f t="shared" si="34"/>
        <v>0</v>
      </c>
      <c r="W111" s="1">
        <f t="shared" si="35"/>
        <v>1</v>
      </c>
      <c r="X111" s="26">
        <f t="shared" si="36"/>
        <v>1</v>
      </c>
      <c r="Y111" s="26">
        <f t="shared" si="37"/>
        <v>0</v>
      </c>
      <c r="Z111" s="1">
        <f t="shared" si="38"/>
        <v>1</v>
      </c>
      <c r="AA111"/>
      <c r="AB111"/>
    </row>
    <row r="112" spans="1:28" x14ac:dyDescent="0.55000000000000004">
      <c r="A112" s="1">
        <f t="shared" si="25"/>
        <v>112</v>
      </c>
      <c r="B112" t="s">
        <v>38</v>
      </c>
      <c r="C112" t="s">
        <v>114</v>
      </c>
      <c r="D112" t="s">
        <v>42</v>
      </c>
      <c r="E112" t="s">
        <v>1592</v>
      </c>
      <c r="F112" t="s">
        <v>923</v>
      </c>
      <c r="G112" t="s">
        <v>979</v>
      </c>
      <c r="H112" t="s">
        <v>708</v>
      </c>
      <c r="I112" t="s">
        <v>914</v>
      </c>
      <c r="J112" t="s">
        <v>1599</v>
      </c>
      <c r="K112" t="s">
        <v>1102</v>
      </c>
      <c r="L112" t="s">
        <v>960</v>
      </c>
      <c r="M112" t="s">
        <v>28</v>
      </c>
      <c r="N112" s="1">
        <f t="shared" si="26"/>
        <v>0</v>
      </c>
      <c r="O112" s="1">
        <f t="shared" si="27"/>
        <v>0</v>
      </c>
      <c r="P112" s="1">
        <f t="shared" si="28"/>
        <v>0</v>
      </c>
      <c r="Q112" s="1">
        <f t="shared" si="29"/>
        <v>0</v>
      </c>
      <c r="R112" s="1">
        <f t="shared" si="30"/>
        <v>1</v>
      </c>
      <c r="S112" s="1">
        <f t="shared" si="31"/>
        <v>0</v>
      </c>
      <c r="T112" s="1">
        <f t="shared" si="32"/>
        <v>1</v>
      </c>
      <c r="U112" s="26">
        <f t="shared" si="33"/>
        <v>0</v>
      </c>
      <c r="V112" s="26">
        <f t="shared" si="34"/>
        <v>0</v>
      </c>
      <c r="W112" s="1">
        <f t="shared" si="35"/>
        <v>1</v>
      </c>
      <c r="X112" s="26">
        <f t="shared" si="36"/>
        <v>0</v>
      </c>
      <c r="Y112" s="26">
        <f t="shared" si="37"/>
        <v>0</v>
      </c>
      <c r="Z112" s="1">
        <f t="shared" si="38"/>
        <v>0</v>
      </c>
      <c r="AA112"/>
      <c r="AB112"/>
    </row>
    <row r="113" spans="1:28" x14ac:dyDescent="0.55000000000000004">
      <c r="A113" s="1">
        <f t="shared" si="25"/>
        <v>113</v>
      </c>
      <c r="B113" t="s">
        <v>38</v>
      </c>
      <c r="C113" t="s">
        <v>114</v>
      </c>
      <c r="D113" t="s">
        <v>42</v>
      </c>
      <c r="E113" t="s">
        <v>1592</v>
      </c>
      <c r="F113" t="s">
        <v>950</v>
      </c>
      <c r="G113" t="s">
        <v>940</v>
      </c>
      <c r="H113" t="s">
        <v>570</v>
      </c>
      <c r="I113" t="s">
        <v>981</v>
      </c>
      <c r="J113" t="s">
        <v>1600</v>
      </c>
      <c r="K113" t="s">
        <v>942</v>
      </c>
      <c r="L113" t="s">
        <v>1122</v>
      </c>
      <c r="M113" t="s">
        <v>28</v>
      </c>
      <c r="N113" s="1">
        <f t="shared" si="26"/>
        <v>3</v>
      </c>
      <c r="O113" s="1">
        <f t="shared" si="27"/>
        <v>1</v>
      </c>
      <c r="P113" s="1">
        <f t="shared" si="28"/>
        <v>4</v>
      </c>
      <c r="Q113" s="1">
        <f t="shared" si="29"/>
        <v>1</v>
      </c>
      <c r="R113" s="1">
        <f t="shared" si="30"/>
        <v>1</v>
      </c>
      <c r="S113" s="1">
        <f t="shared" si="31"/>
        <v>1</v>
      </c>
      <c r="T113" s="1">
        <f t="shared" si="32"/>
        <v>0</v>
      </c>
      <c r="U113" s="26">
        <f t="shared" si="33"/>
        <v>1</v>
      </c>
      <c r="V113" s="26">
        <f t="shared" si="34"/>
        <v>1</v>
      </c>
      <c r="W113" s="1">
        <f t="shared" si="35"/>
        <v>1</v>
      </c>
      <c r="X113" s="26">
        <f t="shared" si="36"/>
        <v>1</v>
      </c>
      <c r="Y113" s="26">
        <f t="shared" si="37"/>
        <v>0</v>
      </c>
      <c r="Z113" s="1">
        <f t="shared" si="38"/>
        <v>1</v>
      </c>
      <c r="AA113"/>
      <c r="AB113"/>
    </row>
    <row r="114" spans="1:28" x14ac:dyDescent="0.55000000000000004">
      <c r="A114" s="1">
        <f t="shared" si="25"/>
        <v>114</v>
      </c>
      <c r="B114" t="s">
        <v>38</v>
      </c>
      <c r="C114" t="s">
        <v>115</v>
      </c>
      <c r="D114" t="s">
        <v>174</v>
      </c>
      <c r="E114" t="s">
        <v>1347</v>
      </c>
      <c r="F114" t="s">
        <v>390</v>
      </c>
      <c r="G114" t="s">
        <v>930</v>
      </c>
      <c r="H114" t="s">
        <v>579</v>
      </c>
      <c r="I114" t="s">
        <v>918</v>
      </c>
      <c r="J114" t="s">
        <v>1348</v>
      </c>
      <c r="K114" t="s">
        <v>976</v>
      </c>
      <c r="L114" t="s">
        <v>917</v>
      </c>
      <c r="M114" t="s">
        <v>28</v>
      </c>
      <c r="N114" s="1">
        <f t="shared" si="26"/>
        <v>2</v>
      </c>
      <c r="O114" s="1">
        <f t="shared" si="27"/>
        <v>1</v>
      </c>
      <c r="P114" s="1">
        <f t="shared" si="28"/>
        <v>3</v>
      </c>
      <c r="Q114" s="1">
        <f t="shared" si="29"/>
        <v>1</v>
      </c>
      <c r="R114" s="1">
        <f t="shared" si="30"/>
        <v>1</v>
      </c>
      <c r="S114" s="1">
        <f t="shared" si="31"/>
        <v>1</v>
      </c>
      <c r="T114" s="1">
        <f t="shared" si="32"/>
        <v>1</v>
      </c>
      <c r="U114" s="26">
        <f t="shared" si="33"/>
        <v>1</v>
      </c>
      <c r="V114" s="26">
        <f t="shared" si="34"/>
        <v>1</v>
      </c>
      <c r="W114" s="1">
        <f t="shared" si="35"/>
        <v>1</v>
      </c>
      <c r="X114" s="26">
        <f t="shared" si="36"/>
        <v>1</v>
      </c>
      <c r="Y114" s="26">
        <f t="shared" si="37"/>
        <v>0</v>
      </c>
      <c r="Z114" s="1">
        <f t="shared" si="38"/>
        <v>1</v>
      </c>
      <c r="AA114"/>
      <c r="AB114"/>
    </row>
    <row r="115" spans="1:28" x14ac:dyDescent="0.55000000000000004">
      <c r="A115" s="1">
        <f t="shared" si="25"/>
        <v>115</v>
      </c>
      <c r="B115" t="s">
        <v>38</v>
      </c>
      <c r="C115" t="s">
        <v>115</v>
      </c>
      <c r="D115" t="s">
        <v>174</v>
      </c>
      <c r="E115" t="s">
        <v>1347</v>
      </c>
      <c r="F115" t="s">
        <v>390</v>
      </c>
      <c r="G115" t="s">
        <v>935</v>
      </c>
      <c r="H115" t="s">
        <v>608</v>
      </c>
      <c r="I115" t="s">
        <v>913</v>
      </c>
      <c r="J115" t="s">
        <v>1349</v>
      </c>
      <c r="K115" t="s">
        <v>949</v>
      </c>
      <c r="L115" t="s">
        <v>1099</v>
      </c>
      <c r="M115" t="s">
        <v>28</v>
      </c>
      <c r="N115" s="1">
        <f t="shared" si="26"/>
        <v>1</v>
      </c>
      <c r="O115" s="1">
        <f t="shared" si="27"/>
        <v>1</v>
      </c>
      <c r="P115" s="1">
        <f t="shared" si="28"/>
        <v>2</v>
      </c>
      <c r="Q115" s="1">
        <f t="shared" si="29"/>
        <v>0</v>
      </c>
      <c r="R115" s="1">
        <f t="shared" si="30"/>
        <v>1</v>
      </c>
      <c r="S115" s="1">
        <f t="shared" si="31"/>
        <v>0</v>
      </c>
      <c r="T115" s="1">
        <f t="shared" si="32"/>
        <v>1</v>
      </c>
      <c r="U115" s="26">
        <f t="shared" si="33"/>
        <v>1</v>
      </c>
      <c r="V115" s="26">
        <f t="shared" si="34"/>
        <v>0</v>
      </c>
      <c r="W115" s="1">
        <f t="shared" si="35"/>
        <v>1</v>
      </c>
      <c r="X115" s="26">
        <f t="shared" si="36"/>
        <v>1</v>
      </c>
      <c r="Y115" s="26">
        <f t="shared" si="37"/>
        <v>0</v>
      </c>
      <c r="Z115" s="1">
        <f t="shared" si="38"/>
        <v>1</v>
      </c>
      <c r="AA115"/>
      <c r="AB115"/>
    </row>
    <row r="116" spans="1:28" x14ac:dyDescent="0.55000000000000004">
      <c r="A116" s="1">
        <f t="shared" si="25"/>
        <v>116</v>
      </c>
      <c r="B116" t="s">
        <v>38</v>
      </c>
      <c r="C116" t="s">
        <v>115</v>
      </c>
      <c r="D116" t="s">
        <v>174</v>
      </c>
      <c r="E116" t="s">
        <v>1347</v>
      </c>
      <c r="F116" t="s">
        <v>390</v>
      </c>
      <c r="G116" t="s">
        <v>925</v>
      </c>
      <c r="H116" t="s">
        <v>590</v>
      </c>
      <c r="I116" t="s">
        <v>934</v>
      </c>
      <c r="J116" t="s">
        <v>1350</v>
      </c>
      <c r="K116" t="s">
        <v>1082</v>
      </c>
      <c r="L116" t="s">
        <v>1122</v>
      </c>
      <c r="M116" t="s">
        <v>28</v>
      </c>
      <c r="N116" s="1">
        <f t="shared" si="26"/>
        <v>0</v>
      </c>
      <c r="O116" s="1">
        <f t="shared" si="27"/>
        <v>1</v>
      </c>
      <c r="P116" s="1">
        <f t="shared" si="28"/>
        <v>1</v>
      </c>
      <c r="Q116" s="1">
        <f t="shared" si="29"/>
        <v>1</v>
      </c>
      <c r="R116" s="1">
        <f t="shared" si="30"/>
        <v>1</v>
      </c>
      <c r="S116" s="1">
        <f t="shared" si="31"/>
        <v>1</v>
      </c>
      <c r="T116" s="1">
        <f t="shared" si="32"/>
        <v>1</v>
      </c>
      <c r="U116" s="26">
        <f t="shared" si="33"/>
        <v>0</v>
      </c>
      <c r="V116" s="26">
        <f t="shared" si="34"/>
        <v>0</v>
      </c>
      <c r="W116" s="1">
        <f t="shared" si="35"/>
        <v>1</v>
      </c>
      <c r="X116" s="26">
        <f t="shared" si="36"/>
        <v>1</v>
      </c>
      <c r="Y116" s="26">
        <f t="shared" si="37"/>
        <v>0</v>
      </c>
      <c r="Z116" s="1">
        <f t="shared" si="38"/>
        <v>0</v>
      </c>
      <c r="AA116"/>
      <c r="AB116"/>
    </row>
    <row r="117" spans="1:28" x14ac:dyDescent="0.55000000000000004">
      <c r="A117" s="1">
        <f t="shared" si="25"/>
        <v>117</v>
      </c>
      <c r="B117" t="s">
        <v>38</v>
      </c>
      <c r="C117" t="s">
        <v>115</v>
      </c>
      <c r="D117" t="s">
        <v>174</v>
      </c>
      <c r="E117" t="s">
        <v>1347</v>
      </c>
      <c r="F117" t="s">
        <v>390</v>
      </c>
      <c r="G117" t="s">
        <v>919</v>
      </c>
      <c r="H117" t="s">
        <v>575</v>
      </c>
      <c r="I117" t="s">
        <v>903</v>
      </c>
      <c r="J117" t="s">
        <v>1351</v>
      </c>
      <c r="K117" t="s">
        <v>968</v>
      </c>
      <c r="L117" t="s">
        <v>1095</v>
      </c>
      <c r="M117" t="s">
        <v>28</v>
      </c>
      <c r="N117" s="1">
        <f t="shared" si="26"/>
        <v>1</v>
      </c>
      <c r="O117" s="1">
        <f t="shared" si="27"/>
        <v>0</v>
      </c>
      <c r="P117" s="1">
        <f t="shared" si="28"/>
        <v>1</v>
      </c>
      <c r="Q117" s="1">
        <f t="shared" si="29"/>
        <v>1</v>
      </c>
      <c r="R117" s="1">
        <f t="shared" si="30"/>
        <v>1</v>
      </c>
      <c r="S117" s="1">
        <f t="shared" si="31"/>
        <v>1</v>
      </c>
      <c r="T117" s="1">
        <f t="shared" si="32"/>
        <v>1</v>
      </c>
      <c r="U117" s="26">
        <f t="shared" si="33"/>
        <v>1</v>
      </c>
      <c r="V117" s="26">
        <f t="shared" si="34"/>
        <v>0</v>
      </c>
      <c r="W117" s="1">
        <f t="shared" si="35"/>
        <v>1</v>
      </c>
      <c r="X117" s="26">
        <f t="shared" si="36"/>
        <v>0</v>
      </c>
      <c r="Y117" s="26">
        <f t="shared" si="37"/>
        <v>0</v>
      </c>
      <c r="Z117" s="1">
        <f t="shared" si="38"/>
        <v>0</v>
      </c>
      <c r="AA117"/>
      <c r="AB117"/>
    </row>
    <row r="118" spans="1:28" x14ac:dyDescent="0.55000000000000004">
      <c r="A118" s="1">
        <f t="shared" si="25"/>
        <v>118</v>
      </c>
      <c r="B118" t="s">
        <v>38</v>
      </c>
      <c r="C118" t="s">
        <v>115</v>
      </c>
      <c r="D118" t="s">
        <v>174</v>
      </c>
      <c r="E118" t="s">
        <v>1347</v>
      </c>
      <c r="F118" t="s">
        <v>390</v>
      </c>
      <c r="G118" t="s">
        <v>914</v>
      </c>
      <c r="H118" t="s">
        <v>575</v>
      </c>
      <c r="I118" t="s">
        <v>924</v>
      </c>
      <c r="J118" t="s">
        <v>1352</v>
      </c>
      <c r="K118" t="s">
        <v>901</v>
      </c>
      <c r="L118" t="s">
        <v>902</v>
      </c>
      <c r="M118" t="s">
        <v>28</v>
      </c>
      <c r="N118" s="1">
        <f t="shared" si="26"/>
        <v>1</v>
      </c>
      <c r="O118" s="1">
        <f t="shared" si="27"/>
        <v>0</v>
      </c>
      <c r="P118" s="1">
        <f t="shared" si="28"/>
        <v>1</v>
      </c>
      <c r="Q118" s="1">
        <f t="shared" si="29"/>
        <v>1</v>
      </c>
      <c r="R118" s="1">
        <f t="shared" si="30"/>
        <v>1</v>
      </c>
      <c r="S118" s="1">
        <f t="shared" si="31"/>
        <v>1</v>
      </c>
      <c r="T118" s="1">
        <f t="shared" si="32"/>
        <v>1</v>
      </c>
      <c r="U118" s="26">
        <f t="shared" si="33"/>
        <v>1</v>
      </c>
      <c r="V118" s="26">
        <f t="shared" si="34"/>
        <v>0</v>
      </c>
      <c r="W118" s="1">
        <f t="shared" si="35"/>
        <v>1</v>
      </c>
      <c r="X118" s="26">
        <f t="shared" si="36"/>
        <v>0</v>
      </c>
      <c r="Y118" s="26">
        <f t="shared" si="37"/>
        <v>0</v>
      </c>
      <c r="Z118" s="1">
        <f t="shared" si="38"/>
        <v>0</v>
      </c>
      <c r="AA118"/>
      <c r="AB118"/>
    </row>
    <row r="119" spans="1:28" x14ac:dyDescent="0.55000000000000004">
      <c r="A119" s="1">
        <f t="shared" si="25"/>
        <v>119</v>
      </c>
      <c r="B119" t="s">
        <v>38</v>
      </c>
      <c r="C119" t="s">
        <v>115</v>
      </c>
      <c r="D119" t="s">
        <v>174</v>
      </c>
      <c r="E119" t="s">
        <v>1347</v>
      </c>
      <c r="F119" t="s">
        <v>218</v>
      </c>
      <c r="G119" t="s">
        <v>940</v>
      </c>
      <c r="H119" t="s">
        <v>575</v>
      </c>
      <c r="I119" t="s">
        <v>908</v>
      </c>
      <c r="J119" t="s">
        <v>1353</v>
      </c>
      <c r="K119" t="s">
        <v>942</v>
      </c>
      <c r="L119" t="s">
        <v>984</v>
      </c>
      <c r="M119" t="s">
        <v>28</v>
      </c>
      <c r="N119" s="1">
        <f t="shared" si="26"/>
        <v>1</v>
      </c>
      <c r="O119" s="1">
        <f t="shared" si="27"/>
        <v>0</v>
      </c>
      <c r="P119" s="1">
        <f t="shared" si="28"/>
        <v>1</v>
      </c>
      <c r="Q119" s="1">
        <f t="shared" si="29"/>
        <v>1</v>
      </c>
      <c r="R119" s="1">
        <f t="shared" si="30"/>
        <v>1</v>
      </c>
      <c r="S119" s="1">
        <f t="shared" si="31"/>
        <v>1</v>
      </c>
      <c r="T119" s="1">
        <f t="shared" si="32"/>
        <v>1</v>
      </c>
      <c r="U119" s="26">
        <f t="shared" si="33"/>
        <v>1</v>
      </c>
      <c r="V119" s="26">
        <f t="shared" si="34"/>
        <v>0</v>
      </c>
      <c r="W119" s="1">
        <f t="shared" si="35"/>
        <v>1</v>
      </c>
      <c r="X119" s="26">
        <f t="shared" si="36"/>
        <v>0</v>
      </c>
      <c r="Y119" s="26">
        <f t="shared" si="37"/>
        <v>0</v>
      </c>
      <c r="Z119" s="1">
        <f t="shared" si="38"/>
        <v>0</v>
      </c>
      <c r="AA119"/>
      <c r="AB119"/>
    </row>
    <row r="120" spans="1:28" x14ac:dyDescent="0.55000000000000004">
      <c r="A120" s="1">
        <f t="shared" si="25"/>
        <v>120</v>
      </c>
      <c r="B120" t="s">
        <v>38</v>
      </c>
      <c r="C120" t="s">
        <v>115</v>
      </c>
      <c r="D120" t="s">
        <v>174</v>
      </c>
      <c r="E120" t="s">
        <v>1347</v>
      </c>
      <c r="F120" t="s">
        <v>218</v>
      </c>
      <c r="G120" t="s">
        <v>898</v>
      </c>
      <c r="H120" t="s">
        <v>722</v>
      </c>
      <c r="I120" t="s">
        <v>929</v>
      </c>
      <c r="J120" t="s">
        <v>1354</v>
      </c>
      <c r="K120" t="s">
        <v>1346</v>
      </c>
      <c r="L120" t="s">
        <v>922</v>
      </c>
      <c r="M120" t="s">
        <v>28</v>
      </c>
      <c r="N120" s="1">
        <f t="shared" si="26"/>
        <v>3</v>
      </c>
      <c r="O120" s="1">
        <f t="shared" si="27"/>
        <v>0</v>
      </c>
      <c r="P120" s="1">
        <f t="shared" si="28"/>
        <v>3</v>
      </c>
      <c r="Q120" s="1">
        <f t="shared" si="29"/>
        <v>1</v>
      </c>
      <c r="R120" s="1">
        <f t="shared" si="30"/>
        <v>1</v>
      </c>
      <c r="S120" s="1">
        <f t="shared" si="31"/>
        <v>1</v>
      </c>
      <c r="T120" s="1">
        <f t="shared" si="32"/>
        <v>0</v>
      </c>
      <c r="U120" s="26">
        <f t="shared" si="33"/>
        <v>1</v>
      </c>
      <c r="V120" s="26">
        <f t="shared" si="34"/>
        <v>1</v>
      </c>
      <c r="W120" s="1">
        <f t="shared" si="35"/>
        <v>1</v>
      </c>
      <c r="X120" s="26">
        <f t="shared" si="36"/>
        <v>0</v>
      </c>
      <c r="Y120" s="26">
        <f t="shared" si="37"/>
        <v>0</v>
      </c>
      <c r="Z120" s="1">
        <f t="shared" si="38"/>
        <v>1</v>
      </c>
      <c r="AA120"/>
      <c r="AB120"/>
    </row>
    <row r="121" spans="1:28" x14ac:dyDescent="0.55000000000000004">
      <c r="A121" s="1">
        <f t="shared" si="25"/>
        <v>121</v>
      </c>
      <c r="B121" t="s">
        <v>38</v>
      </c>
      <c r="C121" t="s">
        <v>115</v>
      </c>
      <c r="D121" t="s">
        <v>133</v>
      </c>
      <c r="E121" t="s">
        <v>2003</v>
      </c>
      <c r="F121" t="s">
        <v>342</v>
      </c>
      <c r="G121" t="s">
        <v>904</v>
      </c>
      <c r="H121" t="s">
        <v>608</v>
      </c>
      <c r="I121" t="s">
        <v>909</v>
      </c>
      <c r="J121" t="s">
        <v>2004</v>
      </c>
      <c r="K121" t="s">
        <v>952</v>
      </c>
      <c r="L121" t="s">
        <v>1078</v>
      </c>
      <c r="M121" t="s">
        <v>28</v>
      </c>
      <c r="N121" s="1">
        <f t="shared" si="26"/>
        <v>1</v>
      </c>
      <c r="O121" s="1">
        <f t="shared" si="27"/>
        <v>1</v>
      </c>
      <c r="P121" s="1">
        <f t="shared" si="28"/>
        <v>2</v>
      </c>
      <c r="Q121" s="1">
        <f t="shared" si="29"/>
        <v>0</v>
      </c>
      <c r="R121" s="1">
        <f t="shared" si="30"/>
        <v>1</v>
      </c>
      <c r="S121" s="1">
        <f t="shared" si="31"/>
        <v>0</v>
      </c>
      <c r="T121" s="1">
        <f t="shared" si="32"/>
        <v>1</v>
      </c>
      <c r="U121" s="26">
        <f t="shared" si="33"/>
        <v>1</v>
      </c>
      <c r="V121" s="26">
        <f t="shared" si="34"/>
        <v>0</v>
      </c>
      <c r="W121" s="1">
        <f t="shared" si="35"/>
        <v>1</v>
      </c>
      <c r="X121" s="26">
        <f t="shared" si="36"/>
        <v>1</v>
      </c>
      <c r="Y121" s="26">
        <f t="shared" si="37"/>
        <v>0</v>
      </c>
      <c r="Z121" s="1">
        <f t="shared" si="38"/>
        <v>1</v>
      </c>
      <c r="AA121"/>
      <c r="AB121"/>
    </row>
    <row r="122" spans="1:28" x14ac:dyDescent="0.55000000000000004">
      <c r="A122" s="1">
        <f t="shared" si="25"/>
        <v>122</v>
      </c>
      <c r="B122" t="s">
        <v>38</v>
      </c>
      <c r="C122" t="s">
        <v>116</v>
      </c>
      <c r="D122" t="s">
        <v>216</v>
      </c>
      <c r="E122" t="s">
        <v>896</v>
      </c>
      <c r="F122" t="s">
        <v>897</v>
      </c>
      <c r="G122" t="s">
        <v>898</v>
      </c>
      <c r="H122" t="s">
        <v>568</v>
      </c>
      <c r="I122" t="s">
        <v>899</v>
      </c>
      <c r="J122" t="s">
        <v>900</v>
      </c>
      <c r="K122" t="s">
        <v>901</v>
      </c>
      <c r="L122" t="s">
        <v>902</v>
      </c>
      <c r="M122" t="s">
        <v>28</v>
      </c>
      <c r="N122" s="1">
        <f t="shared" si="26"/>
        <v>0</v>
      </c>
      <c r="O122" s="1">
        <f t="shared" si="27"/>
        <v>2</v>
      </c>
      <c r="P122" s="1">
        <f t="shared" si="28"/>
        <v>2</v>
      </c>
      <c r="Q122" s="1">
        <f t="shared" si="29"/>
        <v>1</v>
      </c>
      <c r="R122" s="1">
        <f t="shared" si="30"/>
        <v>1</v>
      </c>
      <c r="S122" s="1">
        <f t="shared" si="31"/>
        <v>1</v>
      </c>
      <c r="T122" s="1">
        <f t="shared" si="32"/>
        <v>1</v>
      </c>
      <c r="U122" s="26">
        <f t="shared" si="33"/>
        <v>0</v>
      </c>
      <c r="V122" s="26">
        <f t="shared" si="34"/>
        <v>0</v>
      </c>
      <c r="W122" s="1">
        <f t="shared" si="35"/>
        <v>1</v>
      </c>
      <c r="X122" s="26">
        <f t="shared" si="36"/>
        <v>1</v>
      </c>
      <c r="Y122" s="26">
        <f t="shared" si="37"/>
        <v>1</v>
      </c>
      <c r="Z122" s="1">
        <f t="shared" si="38"/>
        <v>1</v>
      </c>
      <c r="AA122"/>
      <c r="AB122"/>
    </row>
    <row r="123" spans="1:28" x14ac:dyDescent="0.55000000000000004">
      <c r="A123" s="1">
        <f t="shared" si="25"/>
        <v>123</v>
      </c>
      <c r="B123" t="s">
        <v>38</v>
      </c>
      <c r="C123" t="s">
        <v>116</v>
      </c>
      <c r="D123" t="s">
        <v>216</v>
      </c>
      <c r="E123" t="s">
        <v>896</v>
      </c>
      <c r="F123" t="s">
        <v>342</v>
      </c>
      <c r="G123" t="s">
        <v>903</v>
      </c>
      <c r="H123" t="s">
        <v>581</v>
      </c>
      <c r="I123" t="s">
        <v>904</v>
      </c>
      <c r="J123" t="s">
        <v>905</v>
      </c>
      <c r="K123" t="s">
        <v>906</v>
      </c>
      <c r="L123" t="s">
        <v>907</v>
      </c>
      <c r="M123" t="s">
        <v>28</v>
      </c>
      <c r="N123" s="1">
        <f t="shared" si="26"/>
        <v>1</v>
      </c>
      <c r="O123" s="1">
        <f t="shared" si="27"/>
        <v>2</v>
      </c>
      <c r="P123" s="1">
        <f t="shared" si="28"/>
        <v>3</v>
      </c>
      <c r="Q123" s="1">
        <f t="shared" si="29"/>
        <v>1</v>
      </c>
      <c r="R123" s="1">
        <f t="shared" si="30"/>
        <v>1</v>
      </c>
      <c r="S123" s="1">
        <f t="shared" si="31"/>
        <v>1</v>
      </c>
      <c r="T123" s="1">
        <f t="shared" si="32"/>
        <v>1</v>
      </c>
      <c r="U123" s="26">
        <f t="shared" si="33"/>
        <v>1</v>
      </c>
      <c r="V123" s="26">
        <f t="shared" si="34"/>
        <v>0</v>
      </c>
      <c r="W123" s="1">
        <f t="shared" si="35"/>
        <v>1</v>
      </c>
      <c r="X123" s="26">
        <f t="shared" si="36"/>
        <v>1</v>
      </c>
      <c r="Y123" s="26">
        <f t="shared" si="37"/>
        <v>1</v>
      </c>
      <c r="Z123" s="1">
        <f t="shared" si="38"/>
        <v>1</v>
      </c>
      <c r="AA123"/>
      <c r="AB123"/>
    </row>
    <row r="124" spans="1:28" x14ac:dyDescent="0.55000000000000004">
      <c r="A124" s="1">
        <f t="shared" si="25"/>
        <v>124</v>
      </c>
      <c r="B124" t="s">
        <v>38</v>
      </c>
      <c r="C124" t="s">
        <v>116</v>
      </c>
      <c r="D124" t="s">
        <v>216</v>
      </c>
      <c r="E124" t="s">
        <v>896</v>
      </c>
      <c r="F124" t="s">
        <v>342</v>
      </c>
      <c r="G124" t="s">
        <v>908</v>
      </c>
      <c r="H124" t="s">
        <v>590</v>
      </c>
      <c r="I124" t="s">
        <v>909</v>
      </c>
      <c r="J124" t="s">
        <v>910</v>
      </c>
      <c r="K124" t="s">
        <v>911</v>
      </c>
      <c r="L124" t="s">
        <v>912</v>
      </c>
      <c r="M124" t="s">
        <v>28</v>
      </c>
      <c r="N124" s="1">
        <f t="shared" si="26"/>
        <v>0</v>
      </c>
      <c r="O124" s="1">
        <f t="shared" si="27"/>
        <v>1</v>
      </c>
      <c r="P124" s="1">
        <f t="shared" si="28"/>
        <v>1</v>
      </c>
      <c r="Q124" s="1">
        <f t="shared" si="29"/>
        <v>1</v>
      </c>
      <c r="R124" s="1">
        <f t="shared" si="30"/>
        <v>1</v>
      </c>
      <c r="S124" s="1">
        <f t="shared" si="31"/>
        <v>1</v>
      </c>
      <c r="T124" s="1">
        <f t="shared" si="32"/>
        <v>1</v>
      </c>
      <c r="U124" s="26">
        <f t="shared" si="33"/>
        <v>0</v>
      </c>
      <c r="V124" s="26">
        <f t="shared" si="34"/>
        <v>0</v>
      </c>
      <c r="W124" s="1">
        <f t="shared" si="35"/>
        <v>1</v>
      </c>
      <c r="X124" s="26">
        <f t="shared" si="36"/>
        <v>1</v>
      </c>
      <c r="Y124" s="26">
        <f t="shared" si="37"/>
        <v>0</v>
      </c>
      <c r="Z124" s="1">
        <f t="shared" si="38"/>
        <v>0</v>
      </c>
      <c r="AA124"/>
      <c r="AB124"/>
    </row>
    <row r="125" spans="1:28" x14ac:dyDescent="0.55000000000000004">
      <c r="A125" s="1">
        <f t="shared" si="25"/>
        <v>125</v>
      </c>
      <c r="B125" t="s">
        <v>38</v>
      </c>
      <c r="C125" t="s">
        <v>116</v>
      </c>
      <c r="D125" t="s">
        <v>216</v>
      </c>
      <c r="E125" t="s">
        <v>896</v>
      </c>
      <c r="F125" t="s">
        <v>342</v>
      </c>
      <c r="G125" t="s">
        <v>913</v>
      </c>
      <c r="H125" t="s">
        <v>590</v>
      </c>
      <c r="I125" t="s">
        <v>914</v>
      </c>
      <c r="J125" t="s">
        <v>915</v>
      </c>
      <c r="K125" t="s">
        <v>916</v>
      </c>
      <c r="L125" t="s">
        <v>917</v>
      </c>
      <c r="M125" t="s">
        <v>28</v>
      </c>
      <c r="N125" s="1">
        <f t="shared" si="26"/>
        <v>0</v>
      </c>
      <c r="O125" s="1">
        <f t="shared" si="27"/>
        <v>1</v>
      </c>
      <c r="P125" s="1">
        <f t="shared" si="28"/>
        <v>1</v>
      </c>
      <c r="Q125" s="1">
        <f t="shared" si="29"/>
        <v>1</v>
      </c>
      <c r="R125" s="1">
        <f t="shared" si="30"/>
        <v>1</v>
      </c>
      <c r="S125" s="1">
        <f t="shared" si="31"/>
        <v>1</v>
      </c>
      <c r="T125" s="1">
        <f t="shared" si="32"/>
        <v>1</v>
      </c>
      <c r="U125" s="26">
        <f t="shared" si="33"/>
        <v>0</v>
      </c>
      <c r="V125" s="26">
        <f t="shared" si="34"/>
        <v>0</v>
      </c>
      <c r="W125" s="1">
        <f t="shared" si="35"/>
        <v>1</v>
      </c>
      <c r="X125" s="26">
        <f t="shared" si="36"/>
        <v>1</v>
      </c>
      <c r="Y125" s="26">
        <f t="shared" si="37"/>
        <v>0</v>
      </c>
      <c r="Z125" s="1">
        <f t="shared" si="38"/>
        <v>0</v>
      </c>
      <c r="AA125"/>
      <c r="AB125"/>
    </row>
    <row r="126" spans="1:28" x14ac:dyDescent="0.55000000000000004">
      <c r="A126" s="1">
        <f t="shared" si="25"/>
        <v>126</v>
      </c>
      <c r="B126" t="s">
        <v>38</v>
      </c>
      <c r="C126" t="s">
        <v>116</v>
      </c>
      <c r="D126" t="s">
        <v>216</v>
      </c>
      <c r="E126" t="s">
        <v>896</v>
      </c>
      <c r="F126" t="s">
        <v>342</v>
      </c>
      <c r="G126" t="s">
        <v>918</v>
      </c>
      <c r="H126" t="s">
        <v>739</v>
      </c>
      <c r="I126" t="s">
        <v>919</v>
      </c>
      <c r="J126" t="s">
        <v>920</v>
      </c>
      <c r="K126" t="s">
        <v>921</v>
      </c>
      <c r="L126" t="s">
        <v>922</v>
      </c>
      <c r="M126" t="s">
        <v>28</v>
      </c>
      <c r="N126" s="1">
        <f t="shared" si="26"/>
        <v>0</v>
      </c>
      <c r="O126" s="1">
        <f t="shared" si="27"/>
        <v>3</v>
      </c>
      <c r="P126" s="1">
        <f t="shared" si="28"/>
        <v>3</v>
      </c>
      <c r="Q126" s="1">
        <f t="shared" si="29"/>
        <v>1</v>
      </c>
      <c r="R126" s="1">
        <f t="shared" si="30"/>
        <v>1</v>
      </c>
      <c r="S126" s="1">
        <f t="shared" si="31"/>
        <v>1</v>
      </c>
      <c r="T126" s="1">
        <f t="shared" si="32"/>
        <v>1</v>
      </c>
      <c r="U126" s="26">
        <f t="shared" si="33"/>
        <v>0</v>
      </c>
      <c r="V126" s="26">
        <f t="shared" si="34"/>
        <v>0</v>
      </c>
      <c r="W126" s="1">
        <f t="shared" si="35"/>
        <v>0</v>
      </c>
      <c r="X126" s="26">
        <f t="shared" si="36"/>
        <v>1</v>
      </c>
      <c r="Y126" s="26">
        <f t="shared" si="37"/>
        <v>1</v>
      </c>
      <c r="Z126" s="1">
        <f t="shared" si="38"/>
        <v>1</v>
      </c>
      <c r="AA126"/>
      <c r="AB126"/>
    </row>
    <row r="127" spans="1:28" x14ac:dyDescent="0.55000000000000004">
      <c r="A127" s="1">
        <f t="shared" si="25"/>
        <v>127</v>
      </c>
      <c r="B127" t="s">
        <v>38</v>
      </c>
      <c r="C127" t="s">
        <v>116</v>
      </c>
      <c r="D127" t="s">
        <v>216</v>
      </c>
      <c r="E127" t="s">
        <v>896</v>
      </c>
      <c r="F127" t="s">
        <v>923</v>
      </c>
      <c r="G127" t="s">
        <v>924</v>
      </c>
      <c r="H127" t="s">
        <v>581</v>
      </c>
      <c r="I127" t="s">
        <v>925</v>
      </c>
      <c r="J127" t="s">
        <v>926</v>
      </c>
      <c r="K127" t="s">
        <v>927</v>
      </c>
      <c r="L127" t="s">
        <v>928</v>
      </c>
      <c r="M127" t="s">
        <v>28</v>
      </c>
      <c r="N127" s="1">
        <f t="shared" si="26"/>
        <v>1</v>
      </c>
      <c r="O127" s="1">
        <f t="shared" si="27"/>
        <v>2</v>
      </c>
      <c r="P127" s="1">
        <f t="shared" si="28"/>
        <v>3</v>
      </c>
      <c r="Q127" s="1">
        <f t="shared" si="29"/>
        <v>1</v>
      </c>
      <c r="R127" s="1">
        <f t="shared" si="30"/>
        <v>1</v>
      </c>
      <c r="S127" s="1">
        <f t="shared" si="31"/>
        <v>1</v>
      </c>
      <c r="T127" s="1">
        <f t="shared" si="32"/>
        <v>1</v>
      </c>
      <c r="U127" s="26">
        <f t="shared" si="33"/>
        <v>1</v>
      </c>
      <c r="V127" s="26">
        <f t="shared" si="34"/>
        <v>0</v>
      </c>
      <c r="W127" s="1">
        <f t="shared" si="35"/>
        <v>1</v>
      </c>
      <c r="X127" s="26">
        <f t="shared" si="36"/>
        <v>1</v>
      </c>
      <c r="Y127" s="26">
        <f t="shared" si="37"/>
        <v>1</v>
      </c>
      <c r="Z127" s="1">
        <f t="shared" si="38"/>
        <v>1</v>
      </c>
      <c r="AA127"/>
      <c r="AB127"/>
    </row>
    <row r="128" spans="1:28" x14ac:dyDescent="0.55000000000000004">
      <c r="A128" s="1">
        <f t="shared" si="25"/>
        <v>128</v>
      </c>
      <c r="B128" t="s">
        <v>38</v>
      </c>
      <c r="C128" t="s">
        <v>116</v>
      </c>
      <c r="D128" t="s">
        <v>216</v>
      </c>
      <c r="E128" t="s">
        <v>896</v>
      </c>
      <c r="F128" t="s">
        <v>923</v>
      </c>
      <c r="G128" t="s">
        <v>929</v>
      </c>
      <c r="H128" t="s">
        <v>579</v>
      </c>
      <c r="I128" t="s">
        <v>930</v>
      </c>
      <c r="J128" t="s">
        <v>931</v>
      </c>
      <c r="K128" t="s">
        <v>932</v>
      </c>
      <c r="L128" t="s">
        <v>933</v>
      </c>
      <c r="M128" t="s">
        <v>28</v>
      </c>
      <c r="N128" s="1">
        <f t="shared" si="26"/>
        <v>2</v>
      </c>
      <c r="O128" s="1">
        <f t="shared" si="27"/>
        <v>1</v>
      </c>
      <c r="P128" s="1">
        <f t="shared" si="28"/>
        <v>3</v>
      </c>
      <c r="Q128" s="1">
        <f t="shared" si="29"/>
        <v>1</v>
      </c>
      <c r="R128" s="1">
        <f t="shared" si="30"/>
        <v>1</v>
      </c>
      <c r="S128" s="1">
        <f t="shared" si="31"/>
        <v>1</v>
      </c>
      <c r="T128" s="1">
        <f t="shared" si="32"/>
        <v>1</v>
      </c>
      <c r="U128" s="26">
        <f t="shared" si="33"/>
        <v>1</v>
      </c>
      <c r="V128" s="26">
        <f t="shared" si="34"/>
        <v>1</v>
      </c>
      <c r="W128" s="1">
        <f t="shared" si="35"/>
        <v>1</v>
      </c>
      <c r="X128" s="26">
        <f t="shared" si="36"/>
        <v>1</v>
      </c>
      <c r="Y128" s="26">
        <f t="shared" si="37"/>
        <v>0</v>
      </c>
      <c r="Z128" s="1">
        <f t="shared" si="38"/>
        <v>1</v>
      </c>
      <c r="AA128"/>
      <c r="AB128"/>
    </row>
    <row r="129" spans="1:28" x14ac:dyDescent="0.55000000000000004">
      <c r="A129" s="1">
        <f t="shared" si="25"/>
        <v>129</v>
      </c>
      <c r="B129" t="s">
        <v>38</v>
      </c>
      <c r="C129" t="s">
        <v>116</v>
      </c>
      <c r="D129" t="s">
        <v>216</v>
      </c>
      <c r="E129" t="s">
        <v>896</v>
      </c>
      <c r="F129" t="s">
        <v>923</v>
      </c>
      <c r="G129" t="s">
        <v>934</v>
      </c>
      <c r="H129" t="s">
        <v>708</v>
      </c>
      <c r="I129" t="s">
        <v>935</v>
      </c>
      <c r="J129" t="s">
        <v>936</v>
      </c>
      <c r="K129" t="s">
        <v>937</v>
      </c>
      <c r="L129" t="s">
        <v>938</v>
      </c>
      <c r="M129" t="s">
        <v>28</v>
      </c>
      <c r="N129" s="1">
        <f t="shared" si="26"/>
        <v>0</v>
      </c>
      <c r="O129" s="1">
        <f t="shared" si="27"/>
        <v>0</v>
      </c>
      <c r="P129" s="1">
        <f t="shared" si="28"/>
        <v>0</v>
      </c>
      <c r="Q129" s="1">
        <f t="shared" si="29"/>
        <v>0</v>
      </c>
      <c r="R129" s="1">
        <f t="shared" si="30"/>
        <v>1</v>
      </c>
      <c r="S129" s="1">
        <f t="shared" si="31"/>
        <v>0</v>
      </c>
      <c r="T129" s="1">
        <f t="shared" si="32"/>
        <v>1</v>
      </c>
      <c r="U129" s="26">
        <f t="shared" si="33"/>
        <v>0</v>
      </c>
      <c r="V129" s="26">
        <f t="shared" si="34"/>
        <v>0</v>
      </c>
      <c r="W129" s="1">
        <f t="shared" si="35"/>
        <v>1</v>
      </c>
      <c r="X129" s="26">
        <f t="shared" si="36"/>
        <v>0</v>
      </c>
      <c r="Y129" s="26">
        <f t="shared" si="37"/>
        <v>0</v>
      </c>
      <c r="Z129" s="1">
        <f t="shared" si="38"/>
        <v>0</v>
      </c>
      <c r="AA129"/>
      <c r="AB129"/>
    </row>
    <row r="130" spans="1:28" x14ac:dyDescent="0.55000000000000004">
      <c r="A130" s="1">
        <f t="shared" si="25"/>
        <v>130</v>
      </c>
      <c r="B130" t="s">
        <v>38</v>
      </c>
      <c r="C130" t="s">
        <v>117</v>
      </c>
      <c r="D130" t="s">
        <v>133</v>
      </c>
      <c r="E130" t="s">
        <v>2005</v>
      </c>
      <c r="F130" t="s">
        <v>1580</v>
      </c>
      <c r="G130" t="s">
        <v>908</v>
      </c>
      <c r="H130" t="s">
        <v>579</v>
      </c>
      <c r="I130" t="s">
        <v>935</v>
      </c>
      <c r="J130" t="s">
        <v>2006</v>
      </c>
      <c r="K130" t="s">
        <v>911</v>
      </c>
      <c r="L130" t="s">
        <v>917</v>
      </c>
      <c r="M130" t="s">
        <v>28</v>
      </c>
      <c r="N130" s="1">
        <f t="shared" si="26"/>
        <v>2</v>
      </c>
      <c r="O130" s="1">
        <f t="shared" si="27"/>
        <v>1</v>
      </c>
      <c r="P130" s="1">
        <f t="shared" si="28"/>
        <v>3</v>
      </c>
      <c r="Q130" s="1">
        <f t="shared" si="29"/>
        <v>1</v>
      </c>
      <c r="R130" s="1">
        <f t="shared" si="30"/>
        <v>1</v>
      </c>
      <c r="S130" s="1">
        <f t="shared" si="31"/>
        <v>1</v>
      </c>
      <c r="T130" s="1">
        <f t="shared" si="32"/>
        <v>1</v>
      </c>
      <c r="U130" s="26">
        <f t="shared" si="33"/>
        <v>1</v>
      </c>
      <c r="V130" s="26">
        <f t="shared" si="34"/>
        <v>1</v>
      </c>
      <c r="W130" s="1">
        <f t="shared" si="35"/>
        <v>1</v>
      </c>
      <c r="X130" s="26">
        <f t="shared" si="36"/>
        <v>1</v>
      </c>
      <c r="Y130" s="26">
        <f t="shared" si="37"/>
        <v>0</v>
      </c>
      <c r="Z130" s="1">
        <f t="shared" si="38"/>
        <v>1</v>
      </c>
      <c r="AA130"/>
      <c r="AB130"/>
    </row>
    <row r="131" spans="1:28" x14ac:dyDescent="0.55000000000000004">
      <c r="A131" s="1">
        <f t="shared" ref="A131:A194" si="39">A130+1</f>
        <v>131</v>
      </c>
      <c r="B131" t="s">
        <v>38</v>
      </c>
      <c r="C131" t="s">
        <v>117</v>
      </c>
      <c r="D131" t="s">
        <v>133</v>
      </c>
      <c r="E131" t="s">
        <v>2005</v>
      </c>
      <c r="F131" t="s">
        <v>342</v>
      </c>
      <c r="G131" t="s">
        <v>909</v>
      </c>
      <c r="H131" t="s">
        <v>565</v>
      </c>
      <c r="I131" t="s">
        <v>898</v>
      </c>
      <c r="J131" t="s">
        <v>2007</v>
      </c>
      <c r="K131" t="s">
        <v>965</v>
      </c>
      <c r="L131" t="s">
        <v>966</v>
      </c>
      <c r="M131" t="s">
        <v>28</v>
      </c>
      <c r="N131" s="1">
        <f t="shared" ref="N131:N194" si="40">VALUE(LEFT(H131,1))</f>
        <v>2</v>
      </c>
      <c r="O131" s="1">
        <f t="shared" ref="O131:O194" si="41">VALUE(RIGHT(H131,1))</f>
        <v>3</v>
      </c>
      <c r="P131" s="1">
        <f t="shared" ref="P131:P194" si="42">SUM(N131,O131)</f>
        <v>5</v>
      </c>
      <c r="Q131" s="1">
        <f t="shared" ref="Q131:Q194" si="43">IF(N131&lt;&gt;O131, 1, 0)</f>
        <v>1</v>
      </c>
      <c r="R131" s="1">
        <f t="shared" ref="R131:R194" si="44">IF(P131&lt;=4,1,0)</f>
        <v>0</v>
      </c>
      <c r="S131" s="1">
        <f t="shared" ref="S131:S194" si="45">IF(AND(Q131=1,R131=1),1,0)</f>
        <v>0</v>
      </c>
      <c r="T131" s="1">
        <f t="shared" ref="T131:T194" si="46">IF(N131&lt;=2,1,0)</f>
        <v>1</v>
      </c>
      <c r="U131" s="26">
        <f t="shared" ref="U131:U194" si="47">IF(AND(N131&gt;=1,N131&lt;=3),1,0)</f>
        <v>1</v>
      </c>
      <c r="V131" s="26">
        <f t="shared" ref="V131:V194" si="48">IF(AND(N131&gt;=2,N131&lt;=5),1,0)</f>
        <v>1</v>
      </c>
      <c r="W131" s="1">
        <f t="shared" ref="W131:W194" si="49">IF(O131&lt;=2,1,0)</f>
        <v>0</v>
      </c>
      <c r="X131" s="26">
        <f t="shared" ref="X131:X194" si="50">IF(AND(O131&gt;=1,O131&lt;=3),1,0)</f>
        <v>1</v>
      </c>
      <c r="Y131" s="26">
        <f t="shared" ref="Y131:Y194" si="51">IF(AND(O131&gt;=2,O131&lt;=5),1,0)</f>
        <v>1</v>
      </c>
      <c r="Z131" s="1">
        <f t="shared" ref="Z131:Z194" si="52">IF(P131&gt;=2,1,0)</f>
        <v>1</v>
      </c>
      <c r="AA131"/>
      <c r="AB131"/>
    </row>
    <row r="132" spans="1:28" x14ac:dyDescent="0.55000000000000004">
      <c r="A132" s="1">
        <f t="shared" si="39"/>
        <v>132</v>
      </c>
      <c r="B132" t="s">
        <v>38</v>
      </c>
      <c r="C132" t="s">
        <v>117</v>
      </c>
      <c r="D132" t="s">
        <v>133</v>
      </c>
      <c r="E132" t="s">
        <v>2005</v>
      </c>
      <c r="F132" t="s">
        <v>342</v>
      </c>
      <c r="G132" t="s">
        <v>899</v>
      </c>
      <c r="H132" t="s">
        <v>739</v>
      </c>
      <c r="I132" t="s">
        <v>903</v>
      </c>
      <c r="J132" t="s">
        <v>2008</v>
      </c>
      <c r="K132" t="s">
        <v>1346</v>
      </c>
      <c r="L132" t="s">
        <v>1092</v>
      </c>
      <c r="M132" t="s">
        <v>28</v>
      </c>
      <c r="N132" s="1">
        <f t="shared" si="40"/>
        <v>0</v>
      </c>
      <c r="O132" s="1">
        <f t="shared" si="41"/>
        <v>3</v>
      </c>
      <c r="P132" s="1">
        <f t="shared" si="42"/>
        <v>3</v>
      </c>
      <c r="Q132" s="1">
        <f t="shared" si="43"/>
        <v>1</v>
      </c>
      <c r="R132" s="1">
        <f t="shared" si="44"/>
        <v>1</v>
      </c>
      <c r="S132" s="1">
        <f t="shared" si="45"/>
        <v>1</v>
      </c>
      <c r="T132" s="1">
        <f t="shared" si="46"/>
        <v>1</v>
      </c>
      <c r="U132" s="26">
        <f t="shared" si="47"/>
        <v>0</v>
      </c>
      <c r="V132" s="26">
        <f t="shared" si="48"/>
        <v>0</v>
      </c>
      <c r="W132" s="1">
        <f t="shared" si="49"/>
        <v>0</v>
      </c>
      <c r="X132" s="26">
        <f t="shared" si="50"/>
        <v>1</v>
      </c>
      <c r="Y132" s="26">
        <f t="shared" si="51"/>
        <v>1</v>
      </c>
      <c r="Z132" s="1">
        <f t="shared" si="52"/>
        <v>1</v>
      </c>
      <c r="AA132"/>
      <c r="AB132"/>
    </row>
    <row r="133" spans="1:28" x14ac:dyDescent="0.55000000000000004">
      <c r="A133" s="1">
        <f t="shared" si="39"/>
        <v>133</v>
      </c>
      <c r="B133" t="s">
        <v>38</v>
      </c>
      <c r="C133" t="s">
        <v>117</v>
      </c>
      <c r="D133" t="s">
        <v>133</v>
      </c>
      <c r="E133" t="s">
        <v>2005</v>
      </c>
      <c r="F133" t="s">
        <v>923</v>
      </c>
      <c r="G133" t="s">
        <v>945</v>
      </c>
      <c r="H133" t="s">
        <v>573</v>
      </c>
      <c r="I133" t="s">
        <v>913</v>
      </c>
      <c r="J133" t="s">
        <v>2009</v>
      </c>
      <c r="K133" t="s">
        <v>947</v>
      </c>
      <c r="L133" t="s">
        <v>1095</v>
      </c>
      <c r="M133" t="s">
        <v>28</v>
      </c>
      <c r="N133" s="1">
        <f t="shared" si="40"/>
        <v>2</v>
      </c>
      <c r="O133" s="1">
        <f t="shared" si="41"/>
        <v>0</v>
      </c>
      <c r="P133" s="1">
        <f t="shared" si="42"/>
        <v>2</v>
      </c>
      <c r="Q133" s="1">
        <f t="shared" si="43"/>
        <v>1</v>
      </c>
      <c r="R133" s="1">
        <f t="shared" si="44"/>
        <v>1</v>
      </c>
      <c r="S133" s="1">
        <f t="shared" si="45"/>
        <v>1</v>
      </c>
      <c r="T133" s="1">
        <f t="shared" si="46"/>
        <v>1</v>
      </c>
      <c r="U133" s="26">
        <f t="shared" si="47"/>
        <v>1</v>
      </c>
      <c r="V133" s="26">
        <f t="shared" si="48"/>
        <v>1</v>
      </c>
      <c r="W133" s="1">
        <f t="shared" si="49"/>
        <v>1</v>
      </c>
      <c r="X133" s="26">
        <f t="shared" si="50"/>
        <v>0</v>
      </c>
      <c r="Y133" s="26">
        <f t="shared" si="51"/>
        <v>0</v>
      </c>
      <c r="Z133" s="1">
        <f t="shared" si="52"/>
        <v>1</v>
      </c>
      <c r="AA133"/>
      <c r="AB133"/>
    </row>
    <row r="134" spans="1:28" x14ac:dyDescent="0.55000000000000004">
      <c r="A134" s="1">
        <f t="shared" si="39"/>
        <v>134</v>
      </c>
      <c r="B134" t="s">
        <v>38</v>
      </c>
      <c r="C134" t="s">
        <v>117</v>
      </c>
      <c r="D134" t="s">
        <v>133</v>
      </c>
      <c r="E134" t="s">
        <v>2005</v>
      </c>
      <c r="F134" t="s">
        <v>923</v>
      </c>
      <c r="G134" t="s">
        <v>940</v>
      </c>
      <c r="H134" t="s">
        <v>573</v>
      </c>
      <c r="I134" t="s">
        <v>914</v>
      </c>
      <c r="J134" t="s">
        <v>2010</v>
      </c>
      <c r="K134" t="s">
        <v>942</v>
      </c>
      <c r="L134" t="s">
        <v>1103</v>
      </c>
      <c r="M134" t="s">
        <v>28</v>
      </c>
      <c r="N134" s="1">
        <f t="shared" si="40"/>
        <v>2</v>
      </c>
      <c r="O134" s="1">
        <f t="shared" si="41"/>
        <v>0</v>
      </c>
      <c r="P134" s="1">
        <f t="shared" si="42"/>
        <v>2</v>
      </c>
      <c r="Q134" s="1">
        <f t="shared" si="43"/>
        <v>1</v>
      </c>
      <c r="R134" s="1">
        <f t="shared" si="44"/>
        <v>1</v>
      </c>
      <c r="S134" s="1">
        <f t="shared" si="45"/>
        <v>1</v>
      </c>
      <c r="T134" s="1">
        <f t="shared" si="46"/>
        <v>1</v>
      </c>
      <c r="U134" s="26">
        <f t="shared" si="47"/>
        <v>1</v>
      </c>
      <c r="V134" s="26">
        <f t="shared" si="48"/>
        <v>1</v>
      </c>
      <c r="W134" s="1">
        <f t="shared" si="49"/>
        <v>1</v>
      </c>
      <c r="X134" s="26">
        <f t="shared" si="50"/>
        <v>0</v>
      </c>
      <c r="Y134" s="26">
        <f t="shared" si="51"/>
        <v>0</v>
      </c>
      <c r="Z134" s="1">
        <f t="shared" si="52"/>
        <v>1</v>
      </c>
      <c r="AA134"/>
      <c r="AB134"/>
    </row>
    <row r="135" spans="1:28" x14ac:dyDescent="0.55000000000000004">
      <c r="A135" s="1">
        <f t="shared" si="39"/>
        <v>135</v>
      </c>
      <c r="B135" t="s">
        <v>38</v>
      </c>
      <c r="C135" t="s">
        <v>117</v>
      </c>
      <c r="D135" t="s">
        <v>133</v>
      </c>
      <c r="E135" t="s">
        <v>2005</v>
      </c>
      <c r="F135" t="s">
        <v>923</v>
      </c>
      <c r="G135" t="s">
        <v>929</v>
      </c>
      <c r="H135" t="s">
        <v>687</v>
      </c>
      <c r="I135" t="s">
        <v>934</v>
      </c>
      <c r="J135" t="s">
        <v>2011</v>
      </c>
      <c r="K135" t="s">
        <v>932</v>
      </c>
      <c r="L135" t="s">
        <v>960</v>
      </c>
      <c r="M135" t="s">
        <v>28</v>
      </c>
      <c r="N135" s="1">
        <f t="shared" si="40"/>
        <v>4</v>
      </c>
      <c r="O135" s="1">
        <f t="shared" si="41"/>
        <v>0</v>
      </c>
      <c r="P135" s="1">
        <f t="shared" si="42"/>
        <v>4</v>
      </c>
      <c r="Q135" s="1">
        <f t="shared" si="43"/>
        <v>1</v>
      </c>
      <c r="R135" s="1">
        <f t="shared" si="44"/>
        <v>1</v>
      </c>
      <c r="S135" s="1">
        <f t="shared" si="45"/>
        <v>1</v>
      </c>
      <c r="T135" s="1">
        <f t="shared" si="46"/>
        <v>0</v>
      </c>
      <c r="U135" s="26">
        <f t="shared" si="47"/>
        <v>0</v>
      </c>
      <c r="V135" s="26">
        <f t="shared" si="48"/>
        <v>1</v>
      </c>
      <c r="W135" s="1">
        <f t="shared" si="49"/>
        <v>1</v>
      </c>
      <c r="X135" s="26">
        <f t="shared" si="50"/>
        <v>0</v>
      </c>
      <c r="Y135" s="26">
        <f t="shared" si="51"/>
        <v>0</v>
      </c>
      <c r="Z135" s="1">
        <f t="shared" si="52"/>
        <v>1</v>
      </c>
      <c r="AA135"/>
      <c r="AB135"/>
    </row>
    <row r="136" spans="1:28" x14ac:dyDescent="0.55000000000000004">
      <c r="A136" s="1">
        <f t="shared" si="39"/>
        <v>136</v>
      </c>
      <c r="B136" t="s">
        <v>38</v>
      </c>
      <c r="C136" t="s">
        <v>117</v>
      </c>
      <c r="D136" t="s">
        <v>133</v>
      </c>
      <c r="E136" t="s">
        <v>2005</v>
      </c>
      <c r="F136" t="s">
        <v>923</v>
      </c>
      <c r="G136" t="s">
        <v>919</v>
      </c>
      <c r="H136" t="s">
        <v>575</v>
      </c>
      <c r="I136" t="s">
        <v>925</v>
      </c>
      <c r="J136" t="s">
        <v>2012</v>
      </c>
      <c r="K136" t="s">
        <v>968</v>
      </c>
      <c r="L136" t="s">
        <v>1078</v>
      </c>
      <c r="M136" t="s">
        <v>28</v>
      </c>
      <c r="N136" s="1">
        <f t="shared" si="40"/>
        <v>1</v>
      </c>
      <c r="O136" s="1">
        <f t="shared" si="41"/>
        <v>0</v>
      </c>
      <c r="P136" s="1">
        <f t="shared" si="42"/>
        <v>1</v>
      </c>
      <c r="Q136" s="1">
        <f t="shared" si="43"/>
        <v>1</v>
      </c>
      <c r="R136" s="1">
        <f t="shared" si="44"/>
        <v>1</v>
      </c>
      <c r="S136" s="1">
        <f t="shared" si="45"/>
        <v>1</v>
      </c>
      <c r="T136" s="1">
        <f t="shared" si="46"/>
        <v>1</v>
      </c>
      <c r="U136" s="26">
        <f t="shared" si="47"/>
        <v>1</v>
      </c>
      <c r="V136" s="26">
        <f t="shared" si="48"/>
        <v>0</v>
      </c>
      <c r="W136" s="1">
        <f t="shared" si="49"/>
        <v>1</v>
      </c>
      <c r="X136" s="26">
        <f t="shared" si="50"/>
        <v>0</v>
      </c>
      <c r="Y136" s="26">
        <f t="shared" si="51"/>
        <v>0</v>
      </c>
      <c r="Z136" s="1">
        <f t="shared" si="52"/>
        <v>0</v>
      </c>
      <c r="AA136"/>
      <c r="AB136"/>
    </row>
    <row r="137" spans="1:28" x14ac:dyDescent="0.55000000000000004">
      <c r="A137" s="1">
        <f t="shared" si="39"/>
        <v>137</v>
      </c>
      <c r="B137" t="s">
        <v>38</v>
      </c>
      <c r="C137" t="s">
        <v>117</v>
      </c>
      <c r="D137" t="s">
        <v>133</v>
      </c>
      <c r="E137" t="s">
        <v>2005</v>
      </c>
      <c r="F137" t="s">
        <v>390</v>
      </c>
      <c r="G137" t="s">
        <v>930</v>
      </c>
      <c r="H137" t="s">
        <v>565</v>
      </c>
      <c r="I137" t="s">
        <v>924</v>
      </c>
      <c r="J137" t="s">
        <v>2013</v>
      </c>
      <c r="K137" t="s">
        <v>976</v>
      </c>
      <c r="L137" t="s">
        <v>1122</v>
      </c>
      <c r="M137" t="s">
        <v>28</v>
      </c>
      <c r="N137" s="1">
        <f t="shared" si="40"/>
        <v>2</v>
      </c>
      <c r="O137" s="1">
        <f t="shared" si="41"/>
        <v>3</v>
      </c>
      <c r="P137" s="1">
        <f t="shared" si="42"/>
        <v>5</v>
      </c>
      <c r="Q137" s="1">
        <f t="shared" si="43"/>
        <v>1</v>
      </c>
      <c r="R137" s="1">
        <f t="shared" si="44"/>
        <v>0</v>
      </c>
      <c r="S137" s="1">
        <f t="shared" si="45"/>
        <v>0</v>
      </c>
      <c r="T137" s="1">
        <f t="shared" si="46"/>
        <v>1</v>
      </c>
      <c r="U137" s="26">
        <f t="shared" si="47"/>
        <v>1</v>
      </c>
      <c r="V137" s="26">
        <f t="shared" si="48"/>
        <v>1</v>
      </c>
      <c r="W137" s="1">
        <f t="shared" si="49"/>
        <v>0</v>
      </c>
      <c r="X137" s="26">
        <f t="shared" si="50"/>
        <v>1</v>
      </c>
      <c r="Y137" s="26">
        <f t="shared" si="51"/>
        <v>1</v>
      </c>
      <c r="Z137" s="1">
        <f t="shared" si="52"/>
        <v>1</v>
      </c>
      <c r="AA137"/>
      <c r="AB137"/>
    </row>
    <row r="138" spans="1:28" x14ac:dyDescent="0.55000000000000004">
      <c r="A138" s="1">
        <f t="shared" si="39"/>
        <v>138</v>
      </c>
      <c r="B138" t="s">
        <v>38</v>
      </c>
      <c r="C138" t="s">
        <v>118</v>
      </c>
      <c r="D138" t="s">
        <v>216</v>
      </c>
      <c r="E138" t="s">
        <v>939</v>
      </c>
      <c r="F138" t="s">
        <v>342</v>
      </c>
      <c r="G138" t="s">
        <v>940</v>
      </c>
      <c r="H138" t="s">
        <v>590</v>
      </c>
      <c r="I138" t="s">
        <v>929</v>
      </c>
      <c r="J138" t="s">
        <v>941</v>
      </c>
      <c r="K138" t="s">
        <v>942</v>
      </c>
      <c r="L138" t="s">
        <v>928</v>
      </c>
      <c r="M138" t="s">
        <v>28</v>
      </c>
      <c r="N138" s="1">
        <f t="shared" si="40"/>
        <v>0</v>
      </c>
      <c r="O138" s="1">
        <f t="shared" si="41"/>
        <v>1</v>
      </c>
      <c r="P138" s="1">
        <f t="shared" si="42"/>
        <v>1</v>
      </c>
      <c r="Q138" s="1">
        <f t="shared" si="43"/>
        <v>1</v>
      </c>
      <c r="R138" s="1">
        <f t="shared" si="44"/>
        <v>1</v>
      </c>
      <c r="S138" s="1">
        <f t="shared" si="45"/>
        <v>1</v>
      </c>
      <c r="T138" s="1">
        <f t="shared" si="46"/>
        <v>1</v>
      </c>
      <c r="U138" s="26">
        <f t="shared" si="47"/>
        <v>0</v>
      </c>
      <c r="V138" s="26">
        <f t="shared" si="48"/>
        <v>0</v>
      </c>
      <c r="W138" s="1">
        <f t="shared" si="49"/>
        <v>1</v>
      </c>
      <c r="X138" s="26">
        <f t="shared" si="50"/>
        <v>1</v>
      </c>
      <c r="Y138" s="26">
        <f t="shared" si="51"/>
        <v>0</v>
      </c>
      <c r="Z138" s="1">
        <f t="shared" si="52"/>
        <v>0</v>
      </c>
      <c r="AA138"/>
      <c r="AB138"/>
    </row>
    <row r="139" spans="1:28" x14ac:dyDescent="0.55000000000000004">
      <c r="A139" s="1">
        <f t="shared" si="39"/>
        <v>139</v>
      </c>
      <c r="B139" t="s">
        <v>38</v>
      </c>
      <c r="C139" t="s">
        <v>118</v>
      </c>
      <c r="D139" t="s">
        <v>216</v>
      </c>
      <c r="E139" t="s">
        <v>939</v>
      </c>
      <c r="F139" t="s">
        <v>342</v>
      </c>
      <c r="G139" t="s">
        <v>903</v>
      </c>
      <c r="H139" t="s">
        <v>708</v>
      </c>
      <c r="I139" t="s">
        <v>913</v>
      </c>
      <c r="J139" t="s">
        <v>943</v>
      </c>
      <c r="K139" t="s">
        <v>906</v>
      </c>
      <c r="L139" t="s">
        <v>944</v>
      </c>
      <c r="M139" t="s">
        <v>28</v>
      </c>
      <c r="N139" s="1">
        <f t="shared" si="40"/>
        <v>0</v>
      </c>
      <c r="O139" s="1">
        <f t="shared" si="41"/>
        <v>0</v>
      </c>
      <c r="P139" s="1">
        <f t="shared" si="42"/>
        <v>0</v>
      </c>
      <c r="Q139" s="1">
        <f t="shared" si="43"/>
        <v>0</v>
      </c>
      <c r="R139" s="1">
        <f t="shared" si="44"/>
        <v>1</v>
      </c>
      <c r="S139" s="1">
        <f t="shared" si="45"/>
        <v>0</v>
      </c>
      <c r="T139" s="1">
        <f t="shared" si="46"/>
        <v>1</v>
      </c>
      <c r="U139" s="26">
        <f t="shared" si="47"/>
        <v>0</v>
      </c>
      <c r="V139" s="26">
        <f t="shared" si="48"/>
        <v>0</v>
      </c>
      <c r="W139" s="1">
        <f t="shared" si="49"/>
        <v>1</v>
      </c>
      <c r="X139" s="26">
        <f t="shared" si="50"/>
        <v>0</v>
      </c>
      <c r="Y139" s="26">
        <f t="shared" si="51"/>
        <v>0</v>
      </c>
      <c r="Z139" s="1">
        <f t="shared" si="52"/>
        <v>0</v>
      </c>
      <c r="AA139"/>
      <c r="AB139"/>
    </row>
    <row r="140" spans="1:28" x14ac:dyDescent="0.55000000000000004">
      <c r="A140" s="1">
        <f t="shared" si="39"/>
        <v>140</v>
      </c>
      <c r="B140" t="s">
        <v>38</v>
      </c>
      <c r="C140" t="s">
        <v>118</v>
      </c>
      <c r="D140" t="s">
        <v>216</v>
      </c>
      <c r="E140" t="s">
        <v>939</v>
      </c>
      <c r="F140" t="s">
        <v>342</v>
      </c>
      <c r="G140" t="s">
        <v>945</v>
      </c>
      <c r="H140" t="s">
        <v>577</v>
      </c>
      <c r="I140" t="s">
        <v>924</v>
      </c>
      <c r="J140" t="s">
        <v>946</v>
      </c>
      <c r="K140" t="s">
        <v>947</v>
      </c>
      <c r="L140" t="s">
        <v>922</v>
      </c>
      <c r="M140" t="s">
        <v>28</v>
      </c>
      <c r="N140" s="1">
        <f t="shared" si="40"/>
        <v>1</v>
      </c>
      <c r="O140" s="1">
        <f t="shared" si="41"/>
        <v>3</v>
      </c>
      <c r="P140" s="1">
        <f t="shared" si="42"/>
        <v>4</v>
      </c>
      <c r="Q140" s="1">
        <f t="shared" si="43"/>
        <v>1</v>
      </c>
      <c r="R140" s="1">
        <f t="shared" si="44"/>
        <v>1</v>
      </c>
      <c r="S140" s="1">
        <f t="shared" si="45"/>
        <v>1</v>
      </c>
      <c r="T140" s="1">
        <f t="shared" si="46"/>
        <v>1</v>
      </c>
      <c r="U140" s="26">
        <f t="shared" si="47"/>
        <v>1</v>
      </c>
      <c r="V140" s="26">
        <f t="shared" si="48"/>
        <v>0</v>
      </c>
      <c r="W140" s="1">
        <f t="shared" si="49"/>
        <v>0</v>
      </c>
      <c r="X140" s="26">
        <f t="shared" si="50"/>
        <v>1</v>
      </c>
      <c r="Y140" s="26">
        <f t="shared" si="51"/>
        <v>1</v>
      </c>
      <c r="Z140" s="1">
        <f t="shared" si="52"/>
        <v>1</v>
      </c>
      <c r="AA140"/>
      <c r="AB140"/>
    </row>
    <row r="141" spans="1:28" x14ac:dyDescent="0.55000000000000004">
      <c r="A141" s="1">
        <f t="shared" si="39"/>
        <v>141</v>
      </c>
      <c r="B141" t="s">
        <v>38</v>
      </c>
      <c r="C141" t="s">
        <v>118</v>
      </c>
      <c r="D141" t="s">
        <v>216</v>
      </c>
      <c r="E141" t="s">
        <v>939</v>
      </c>
      <c r="F141" t="s">
        <v>342</v>
      </c>
      <c r="G141" t="s">
        <v>935</v>
      </c>
      <c r="H141" t="s">
        <v>590</v>
      </c>
      <c r="I141" t="s">
        <v>919</v>
      </c>
      <c r="J141" t="s">
        <v>948</v>
      </c>
      <c r="K141" t="s">
        <v>949</v>
      </c>
      <c r="L141" t="s">
        <v>907</v>
      </c>
      <c r="M141" t="s">
        <v>28</v>
      </c>
      <c r="N141" s="1">
        <f t="shared" si="40"/>
        <v>0</v>
      </c>
      <c r="O141" s="1">
        <f t="shared" si="41"/>
        <v>1</v>
      </c>
      <c r="P141" s="1">
        <f t="shared" si="42"/>
        <v>1</v>
      </c>
      <c r="Q141" s="1">
        <f t="shared" si="43"/>
        <v>1</v>
      </c>
      <c r="R141" s="1">
        <f t="shared" si="44"/>
        <v>1</v>
      </c>
      <c r="S141" s="1">
        <f t="shared" si="45"/>
        <v>1</v>
      </c>
      <c r="T141" s="1">
        <f t="shared" si="46"/>
        <v>1</v>
      </c>
      <c r="U141" s="26">
        <f t="shared" si="47"/>
        <v>0</v>
      </c>
      <c r="V141" s="26">
        <f t="shared" si="48"/>
        <v>0</v>
      </c>
      <c r="W141" s="1">
        <f t="shared" si="49"/>
        <v>1</v>
      </c>
      <c r="X141" s="26">
        <f t="shared" si="50"/>
        <v>1</v>
      </c>
      <c r="Y141" s="26">
        <f t="shared" si="51"/>
        <v>0</v>
      </c>
      <c r="Z141" s="1">
        <f t="shared" si="52"/>
        <v>0</v>
      </c>
      <c r="AA141"/>
      <c r="AB141"/>
    </row>
    <row r="142" spans="1:28" x14ac:dyDescent="0.55000000000000004">
      <c r="A142" s="1">
        <f t="shared" si="39"/>
        <v>142</v>
      </c>
      <c r="B142" t="s">
        <v>38</v>
      </c>
      <c r="C142" t="s">
        <v>118</v>
      </c>
      <c r="D142" t="s">
        <v>216</v>
      </c>
      <c r="E142" t="s">
        <v>939</v>
      </c>
      <c r="F142" t="s">
        <v>950</v>
      </c>
      <c r="G142" t="s">
        <v>904</v>
      </c>
      <c r="H142" t="s">
        <v>575</v>
      </c>
      <c r="I142" t="s">
        <v>899</v>
      </c>
      <c r="J142" t="s">
        <v>951</v>
      </c>
      <c r="K142" t="s">
        <v>952</v>
      </c>
      <c r="L142" t="s">
        <v>912</v>
      </c>
      <c r="M142" t="s">
        <v>28</v>
      </c>
      <c r="N142" s="1">
        <f t="shared" si="40"/>
        <v>1</v>
      </c>
      <c r="O142" s="1">
        <f t="shared" si="41"/>
        <v>0</v>
      </c>
      <c r="P142" s="1">
        <f t="shared" si="42"/>
        <v>1</v>
      </c>
      <c r="Q142" s="1">
        <f t="shared" si="43"/>
        <v>1</v>
      </c>
      <c r="R142" s="1">
        <f t="shared" si="44"/>
        <v>1</v>
      </c>
      <c r="S142" s="1">
        <f t="shared" si="45"/>
        <v>1</v>
      </c>
      <c r="T142" s="1">
        <f t="shared" si="46"/>
        <v>1</v>
      </c>
      <c r="U142" s="26">
        <f t="shared" si="47"/>
        <v>1</v>
      </c>
      <c r="V142" s="26">
        <f t="shared" si="48"/>
        <v>0</v>
      </c>
      <c r="W142" s="1">
        <f t="shared" si="49"/>
        <v>1</v>
      </c>
      <c r="X142" s="26">
        <f t="shared" si="50"/>
        <v>0</v>
      </c>
      <c r="Y142" s="26">
        <f t="shared" si="51"/>
        <v>0</v>
      </c>
      <c r="Z142" s="1">
        <f t="shared" si="52"/>
        <v>0</v>
      </c>
      <c r="AA142"/>
      <c r="AB142"/>
    </row>
    <row r="143" spans="1:28" x14ac:dyDescent="0.55000000000000004">
      <c r="A143" s="1">
        <f t="shared" si="39"/>
        <v>143</v>
      </c>
      <c r="B143" t="s">
        <v>38</v>
      </c>
      <c r="C143" t="s">
        <v>118</v>
      </c>
      <c r="D143" t="s">
        <v>216</v>
      </c>
      <c r="E143" t="s">
        <v>939</v>
      </c>
      <c r="F143" t="s">
        <v>950</v>
      </c>
      <c r="G143" t="s">
        <v>914</v>
      </c>
      <c r="H143" t="s">
        <v>573</v>
      </c>
      <c r="I143" t="s">
        <v>918</v>
      </c>
      <c r="J143" t="s">
        <v>953</v>
      </c>
      <c r="K143" t="s">
        <v>901</v>
      </c>
      <c r="L143" t="s">
        <v>954</v>
      </c>
      <c r="M143" t="s">
        <v>28</v>
      </c>
      <c r="N143" s="1">
        <f t="shared" si="40"/>
        <v>2</v>
      </c>
      <c r="O143" s="1">
        <f t="shared" si="41"/>
        <v>0</v>
      </c>
      <c r="P143" s="1">
        <f t="shared" si="42"/>
        <v>2</v>
      </c>
      <c r="Q143" s="1">
        <f t="shared" si="43"/>
        <v>1</v>
      </c>
      <c r="R143" s="1">
        <f t="shared" si="44"/>
        <v>1</v>
      </c>
      <c r="S143" s="1">
        <f t="shared" si="45"/>
        <v>1</v>
      </c>
      <c r="T143" s="1">
        <f t="shared" si="46"/>
        <v>1</v>
      </c>
      <c r="U143" s="26">
        <f t="shared" si="47"/>
        <v>1</v>
      </c>
      <c r="V143" s="26">
        <f t="shared" si="48"/>
        <v>1</v>
      </c>
      <c r="W143" s="1">
        <f t="shared" si="49"/>
        <v>1</v>
      </c>
      <c r="X143" s="26">
        <f t="shared" si="50"/>
        <v>0</v>
      </c>
      <c r="Y143" s="26">
        <f t="shared" si="51"/>
        <v>0</v>
      </c>
      <c r="Z143" s="1">
        <f t="shared" si="52"/>
        <v>1</v>
      </c>
      <c r="AA143"/>
      <c r="AB143"/>
    </row>
    <row r="144" spans="1:28" x14ac:dyDescent="0.55000000000000004">
      <c r="A144" s="1">
        <f t="shared" si="39"/>
        <v>144</v>
      </c>
      <c r="B144" t="s">
        <v>38</v>
      </c>
      <c r="C144" t="s">
        <v>118</v>
      </c>
      <c r="D144" t="s">
        <v>177</v>
      </c>
      <c r="E144" t="s">
        <v>1114</v>
      </c>
      <c r="F144" t="s">
        <v>390</v>
      </c>
      <c r="G144" t="s">
        <v>925</v>
      </c>
      <c r="H144" t="s">
        <v>581</v>
      </c>
      <c r="I144" t="s">
        <v>930</v>
      </c>
      <c r="J144" t="s">
        <v>1115</v>
      </c>
      <c r="K144" t="s">
        <v>1082</v>
      </c>
      <c r="L144" t="s">
        <v>974</v>
      </c>
      <c r="M144" t="s">
        <v>28</v>
      </c>
      <c r="N144" s="1">
        <f t="shared" si="40"/>
        <v>1</v>
      </c>
      <c r="O144" s="1">
        <f t="shared" si="41"/>
        <v>2</v>
      </c>
      <c r="P144" s="1">
        <f t="shared" si="42"/>
        <v>3</v>
      </c>
      <c r="Q144" s="1">
        <f t="shared" si="43"/>
        <v>1</v>
      </c>
      <c r="R144" s="1">
        <f t="shared" si="44"/>
        <v>1</v>
      </c>
      <c r="S144" s="1">
        <f t="shared" si="45"/>
        <v>1</v>
      </c>
      <c r="T144" s="1">
        <f t="shared" si="46"/>
        <v>1</v>
      </c>
      <c r="U144" s="26">
        <f t="shared" si="47"/>
        <v>1</v>
      </c>
      <c r="V144" s="26">
        <f t="shared" si="48"/>
        <v>0</v>
      </c>
      <c r="W144" s="1">
        <f t="shared" si="49"/>
        <v>1</v>
      </c>
      <c r="X144" s="26">
        <f t="shared" si="50"/>
        <v>1</v>
      </c>
      <c r="Y144" s="26">
        <f t="shared" si="51"/>
        <v>1</v>
      </c>
      <c r="Z144" s="1">
        <f t="shared" si="52"/>
        <v>1</v>
      </c>
      <c r="AA144"/>
      <c r="AB144"/>
    </row>
    <row r="145" spans="1:28" x14ac:dyDescent="0.55000000000000004">
      <c r="A145" s="1">
        <f t="shared" si="39"/>
        <v>145</v>
      </c>
      <c r="B145" t="s">
        <v>38</v>
      </c>
      <c r="C145" t="s">
        <v>118</v>
      </c>
      <c r="D145" t="s">
        <v>177</v>
      </c>
      <c r="E145" t="s">
        <v>1114</v>
      </c>
      <c r="F145" t="s">
        <v>390</v>
      </c>
      <c r="G145" t="s">
        <v>934</v>
      </c>
      <c r="H145" t="s">
        <v>590</v>
      </c>
      <c r="I145" t="s">
        <v>908</v>
      </c>
      <c r="J145" t="s">
        <v>1116</v>
      </c>
      <c r="K145" t="s">
        <v>937</v>
      </c>
      <c r="L145" t="s">
        <v>933</v>
      </c>
      <c r="M145" t="s">
        <v>28</v>
      </c>
      <c r="N145" s="1">
        <f t="shared" si="40"/>
        <v>0</v>
      </c>
      <c r="O145" s="1">
        <f t="shared" si="41"/>
        <v>1</v>
      </c>
      <c r="P145" s="1">
        <f t="shared" si="42"/>
        <v>1</v>
      </c>
      <c r="Q145" s="1">
        <f t="shared" si="43"/>
        <v>1</v>
      </c>
      <c r="R145" s="1">
        <f t="shared" si="44"/>
        <v>1</v>
      </c>
      <c r="S145" s="1">
        <f t="shared" si="45"/>
        <v>1</v>
      </c>
      <c r="T145" s="1">
        <f t="shared" si="46"/>
        <v>1</v>
      </c>
      <c r="U145" s="26">
        <f t="shared" si="47"/>
        <v>0</v>
      </c>
      <c r="V145" s="26">
        <f t="shared" si="48"/>
        <v>0</v>
      </c>
      <c r="W145" s="1">
        <f t="shared" si="49"/>
        <v>1</v>
      </c>
      <c r="X145" s="26">
        <f t="shared" si="50"/>
        <v>1</v>
      </c>
      <c r="Y145" s="26">
        <f t="shared" si="51"/>
        <v>0</v>
      </c>
      <c r="Z145" s="1">
        <f t="shared" si="52"/>
        <v>0</v>
      </c>
      <c r="AA145"/>
      <c r="AB145"/>
    </row>
    <row r="146" spans="1:28" x14ac:dyDescent="0.55000000000000004">
      <c r="A146" s="1">
        <f t="shared" si="39"/>
        <v>146</v>
      </c>
      <c r="B146" t="s">
        <v>38</v>
      </c>
      <c r="C146" t="s">
        <v>119</v>
      </c>
      <c r="D146" t="s">
        <v>133</v>
      </c>
      <c r="E146" t="s">
        <v>2014</v>
      </c>
      <c r="F146" t="s">
        <v>342</v>
      </c>
      <c r="G146" t="s">
        <v>918</v>
      </c>
      <c r="H146" t="s">
        <v>575</v>
      </c>
      <c r="I146" t="s">
        <v>935</v>
      </c>
      <c r="J146" t="s">
        <v>2015</v>
      </c>
      <c r="K146" t="s">
        <v>921</v>
      </c>
      <c r="L146" t="s">
        <v>944</v>
      </c>
      <c r="M146" t="s">
        <v>28</v>
      </c>
      <c r="N146" s="1">
        <f t="shared" si="40"/>
        <v>1</v>
      </c>
      <c r="O146" s="1">
        <f t="shared" si="41"/>
        <v>0</v>
      </c>
      <c r="P146" s="1">
        <f t="shared" si="42"/>
        <v>1</v>
      </c>
      <c r="Q146" s="1">
        <f t="shared" si="43"/>
        <v>1</v>
      </c>
      <c r="R146" s="1">
        <f t="shared" si="44"/>
        <v>1</v>
      </c>
      <c r="S146" s="1">
        <f t="shared" si="45"/>
        <v>1</v>
      </c>
      <c r="T146" s="1">
        <f t="shared" si="46"/>
        <v>1</v>
      </c>
      <c r="U146" s="26">
        <f t="shared" si="47"/>
        <v>1</v>
      </c>
      <c r="V146" s="26">
        <f t="shared" si="48"/>
        <v>0</v>
      </c>
      <c r="W146" s="1">
        <f t="shared" si="49"/>
        <v>1</v>
      </c>
      <c r="X146" s="26">
        <f t="shared" si="50"/>
        <v>0</v>
      </c>
      <c r="Y146" s="26">
        <f t="shared" si="51"/>
        <v>0</v>
      </c>
      <c r="Z146" s="1">
        <f t="shared" si="52"/>
        <v>0</v>
      </c>
      <c r="AA146"/>
      <c r="AB146"/>
    </row>
    <row r="147" spans="1:28" x14ac:dyDescent="0.55000000000000004">
      <c r="A147" s="1">
        <f t="shared" si="39"/>
        <v>147</v>
      </c>
      <c r="B147" t="s">
        <v>38</v>
      </c>
      <c r="C147" t="s">
        <v>119</v>
      </c>
      <c r="D147" t="s">
        <v>133</v>
      </c>
      <c r="E147" t="s">
        <v>2014</v>
      </c>
      <c r="F147" t="s">
        <v>923</v>
      </c>
      <c r="G147" t="s">
        <v>898</v>
      </c>
      <c r="H147" t="s">
        <v>575</v>
      </c>
      <c r="I147" t="s">
        <v>945</v>
      </c>
      <c r="J147" t="s">
        <v>2016</v>
      </c>
      <c r="K147" t="s">
        <v>901</v>
      </c>
      <c r="L147" t="s">
        <v>1106</v>
      </c>
      <c r="M147" t="s">
        <v>28</v>
      </c>
      <c r="N147" s="1">
        <f t="shared" si="40"/>
        <v>1</v>
      </c>
      <c r="O147" s="1">
        <f t="shared" si="41"/>
        <v>0</v>
      </c>
      <c r="P147" s="1">
        <f t="shared" si="42"/>
        <v>1</v>
      </c>
      <c r="Q147" s="1">
        <f t="shared" si="43"/>
        <v>1</v>
      </c>
      <c r="R147" s="1">
        <f t="shared" si="44"/>
        <v>1</v>
      </c>
      <c r="S147" s="1">
        <f t="shared" si="45"/>
        <v>1</v>
      </c>
      <c r="T147" s="1">
        <f t="shared" si="46"/>
        <v>1</v>
      </c>
      <c r="U147" s="26">
        <f t="shared" si="47"/>
        <v>1</v>
      </c>
      <c r="V147" s="26">
        <f t="shared" si="48"/>
        <v>0</v>
      </c>
      <c r="W147" s="1">
        <f t="shared" si="49"/>
        <v>1</v>
      </c>
      <c r="X147" s="26">
        <f t="shared" si="50"/>
        <v>0</v>
      </c>
      <c r="Y147" s="26">
        <f t="shared" si="51"/>
        <v>0</v>
      </c>
      <c r="Z147" s="1">
        <f t="shared" si="52"/>
        <v>0</v>
      </c>
      <c r="AA147"/>
      <c r="AB147"/>
    </row>
    <row r="148" spans="1:28" x14ac:dyDescent="0.55000000000000004">
      <c r="A148" s="1">
        <f t="shared" si="39"/>
        <v>148</v>
      </c>
      <c r="B148" t="s">
        <v>38</v>
      </c>
      <c r="C148" t="s">
        <v>119</v>
      </c>
      <c r="D148" t="s">
        <v>133</v>
      </c>
      <c r="E148" t="s">
        <v>2014</v>
      </c>
      <c r="F148" t="s">
        <v>950</v>
      </c>
      <c r="G148" t="s">
        <v>904</v>
      </c>
      <c r="H148" t="s">
        <v>573</v>
      </c>
      <c r="I148" t="s">
        <v>913</v>
      </c>
      <c r="J148" t="s">
        <v>2017</v>
      </c>
      <c r="K148" t="s">
        <v>952</v>
      </c>
      <c r="L148" t="s">
        <v>922</v>
      </c>
      <c r="M148" t="s">
        <v>28</v>
      </c>
      <c r="N148" s="1">
        <f t="shared" si="40"/>
        <v>2</v>
      </c>
      <c r="O148" s="1">
        <f t="shared" si="41"/>
        <v>0</v>
      </c>
      <c r="P148" s="1">
        <f t="shared" si="42"/>
        <v>2</v>
      </c>
      <c r="Q148" s="1">
        <f t="shared" si="43"/>
        <v>1</v>
      </c>
      <c r="R148" s="1">
        <f t="shared" si="44"/>
        <v>1</v>
      </c>
      <c r="S148" s="1">
        <f t="shared" si="45"/>
        <v>1</v>
      </c>
      <c r="T148" s="1">
        <f t="shared" si="46"/>
        <v>1</v>
      </c>
      <c r="U148" s="26">
        <f t="shared" si="47"/>
        <v>1</v>
      </c>
      <c r="V148" s="26">
        <f t="shared" si="48"/>
        <v>1</v>
      </c>
      <c r="W148" s="1">
        <f t="shared" si="49"/>
        <v>1</v>
      </c>
      <c r="X148" s="26">
        <f t="shared" si="50"/>
        <v>0</v>
      </c>
      <c r="Y148" s="26">
        <f t="shared" si="51"/>
        <v>0</v>
      </c>
      <c r="Z148" s="1">
        <f t="shared" si="52"/>
        <v>1</v>
      </c>
      <c r="AA148"/>
      <c r="AB148"/>
    </row>
    <row r="149" spans="1:28" x14ac:dyDescent="0.55000000000000004">
      <c r="A149" s="1">
        <f t="shared" si="39"/>
        <v>149</v>
      </c>
      <c r="B149" t="s">
        <v>38</v>
      </c>
      <c r="C149" t="s">
        <v>119</v>
      </c>
      <c r="D149" t="s">
        <v>42</v>
      </c>
      <c r="E149" t="s">
        <v>1601</v>
      </c>
      <c r="F149" t="s">
        <v>897</v>
      </c>
      <c r="G149" t="s">
        <v>919</v>
      </c>
      <c r="H149" t="s">
        <v>579</v>
      </c>
      <c r="I149" t="s">
        <v>979</v>
      </c>
      <c r="J149" t="s">
        <v>1602</v>
      </c>
      <c r="K149" t="s">
        <v>1346</v>
      </c>
      <c r="L149" t="s">
        <v>1122</v>
      </c>
      <c r="M149" t="s">
        <v>28</v>
      </c>
      <c r="N149" s="1">
        <f t="shared" si="40"/>
        <v>2</v>
      </c>
      <c r="O149" s="1">
        <f t="shared" si="41"/>
        <v>1</v>
      </c>
      <c r="P149" s="1">
        <f t="shared" si="42"/>
        <v>3</v>
      </c>
      <c r="Q149" s="1">
        <f t="shared" si="43"/>
        <v>1</v>
      </c>
      <c r="R149" s="1">
        <f t="shared" si="44"/>
        <v>1</v>
      </c>
      <c r="S149" s="1">
        <f t="shared" si="45"/>
        <v>1</v>
      </c>
      <c r="T149" s="1">
        <f t="shared" si="46"/>
        <v>1</v>
      </c>
      <c r="U149" s="26">
        <f t="shared" si="47"/>
        <v>1</v>
      </c>
      <c r="V149" s="26">
        <f t="shared" si="48"/>
        <v>1</v>
      </c>
      <c r="W149" s="1">
        <f t="shared" si="49"/>
        <v>1</v>
      </c>
      <c r="X149" s="26">
        <f t="shared" si="50"/>
        <v>1</v>
      </c>
      <c r="Y149" s="26">
        <f t="shared" si="51"/>
        <v>0</v>
      </c>
      <c r="Z149" s="1">
        <f t="shared" si="52"/>
        <v>1</v>
      </c>
      <c r="AA149"/>
      <c r="AB149"/>
    </row>
    <row r="150" spans="1:28" x14ac:dyDescent="0.55000000000000004">
      <c r="A150" s="1">
        <f t="shared" si="39"/>
        <v>150</v>
      </c>
      <c r="B150" t="s">
        <v>38</v>
      </c>
      <c r="C150" t="s">
        <v>119</v>
      </c>
      <c r="D150" t="s">
        <v>42</v>
      </c>
      <c r="E150" t="s">
        <v>1601</v>
      </c>
      <c r="F150" t="s">
        <v>897</v>
      </c>
      <c r="G150" t="s">
        <v>899</v>
      </c>
      <c r="H150" t="s">
        <v>664</v>
      </c>
      <c r="I150" t="s">
        <v>925</v>
      </c>
      <c r="J150" t="s">
        <v>1603</v>
      </c>
      <c r="K150" t="s">
        <v>973</v>
      </c>
      <c r="L150" t="s">
        <v>938</v>
      </c>
      <c r="M150" t="s">
        <v>28</v>
      </c>
      <c r="N150" s="1">
        <f t="shared" si="40"/>
        <v>2</v>
      </c>
      <c r="O150" s="1">
        <f t="shared" si="41"/>
        <v>2</v>
      </c>
      <c r="P150" s="1">
        <f t="shared" si="42"/>
        <v>4</v>
      </c>
      <c r="Q150" s="1">
        <f t="shared" si="43"/>
        <v>0</v>
      </c>
      <c r="R150" s="1">
        <f t="shared" si="44"/>
        <v>1</v>
      </c>
      <c r="S150" s="1">
        <f t="shared" si="45"/>
        <v>0</v>
      </c>
      <c r="T150" s="1">
        <f t="shared" si="46"/>
        <v>1</v>
      </c>
      <c r="U150" s="26">
        <f t="shared" si="47"/>
        <v>1</v>
      </c>
      <c r="V150" s="26">
        <f t="shared" si="48"/>
        <v>1</v>
      </c>
      <c r="W150" s="1">
        <f t="shared" si="49"/>
        <v>1</v>
      </c>
      <c r="X150" s="26">
        <f t="shared" si="50"/>
        <v>1</v>
      </c>
      <c r="Y150" s="26">
        <f t="shared" si="51"/>
        <v>1</v>
      </c>
      <c r="Z150" s="1">
        <f t="shared" si="52"/>
        <v>1</v>
      </c>
      <c r="AA150"/>
      <c r="AB150"/>
    </row>
    <row r="151" spans="1:28" x14ac:dyDescent="0.55000000000000004">
      <c r="A151" s="1">
        <f t="shared" si="39"/>
        <v>151</v>
      </c>
      <c r="B151" t="s">
        <v>38</v>
      </c>
      <c r="C151" t="s">
        <v>119</v>
      </c>
      <c r="D151" t="s">
        <v>42</v>
      </c>
      <c r="E151" t="s">
        <v>1601</v>
      </c>
      <c r="F151" t="s">
        <v>342</v>
      </c>
      <c r="G151" t="s">
        <v>930</v>
      </c>
      <c r="H151" t="s">
        <v>608</v>
      </c>
      <c r="I151" t="s">
        <v>903</v>
      </c>
      <c r="J151" t="s">
        <v>1604</v>
      </c>
      <c r="K151" t="s">
        <v>976</v>
      </c>
      <c r="L151" t="s">
        <v>984</v>
      </c>
      <c r="M151" t="s">
        <v>28</v>
      </c>
      <c r="N151" s="1">
        <f t="shared" si="40"/>
        <v>1</v>
      </c>
      <c r="O151" s="1">
        <f t="shared" si="41"/>
        <v>1</v>
      </c>
      <c r="P151" s="1">
        <f t="shared" si="42"/>
        <v>2</v>
      </c>
      <c r="Q151" s="1">
        <f t="shared" si="43"/>
        <v>0</v>
      </c>
      <c r="R151" s="1">
        <f t="shared" si="44"/>
        <v>1</v>
      </c>
      <c r="S151" s="1">
        <f t="shared" si="45"/>
        <v>0</v>
      </c>
      <c r="T151" s="1">
        <f t="shared" si="46"/>
        <v>1</v>
      </c>
      <c r="U151" s="26">
        <f t="shared" si="47"/>
        <v>1</v>
      </c>
      <c r="V151" s="26">
        <f t="shared" si="48"/>
        <v>0</v>
      </c>
      <c r="W151" s="1">
        <f t="shared" si="49"/>
        <v>1</v>
      </c>
      <c r="X151" s="26">
        <f t="shared" si="50"/>
        <v>1</v>
      </c>
      <c r="Y151" s="26">
        <f t="shared" si="51"/>
        <v>0</v>
      </c>
      <c r="Z151" s="1">
        <f t="shared" si="52"/>
        <v>1</v>
      </c>
      <c r="AA151"/>
      <c r="AB151"/>
    </row>
    <row r="152" spans="1:28" x14ac:dyDescent="0.55000000000000004">
      <c r="A152" s="1">
        <f t="shared" si="39"/>
        <v>152</v>
      </c>
      <c r="B152" t="s">
        <v>38</v>
      </c>
      <c r="C152" t="s">
        <v>119</v>
      </c>
      <c r="D152" t="s">
        <v>42</v>
      </c>
      <c r="E152" t="s">
        <v>1601</v>
      </c>
      <c r="F152" t="s">
        <v>1605</v>
      </c>
      <c r="G152" t="s">
        <v>909</v>
      </c>
      <c r="H152" t="s">
        <v>608</v>
      </c>
      <c r="I152" t="s">
        <v>940</v>
      </c>
      <c r="J152" t="s">
        <v>1606</v>
      </c>
      <c r="K152" t="s">
        <v>965</v>
      </c>
      <c r="L152" t="s">
        <v>974</v>
      </c>
      <c r="M152" t="s">
        <v>28</v>
      </c>
      <c r="N152" s="1">
        <f t="shared" si="40"/>
        <v>1</v>
      </c>
      <c r="O152" s="1">
        <f t="shared" si="41"/>
        <v>1</v>
      </c>
      <c r="P152" s="1">
        <f t="shared" si="42"/>
        <v>2</v>
      </c>
      <c r="Q152" s="1">
        <f t="shared" si="43"/>
        <v>0</v>
      </c>
      <c r="R152" s="1">
        <f t="shared" si="44"/>
        <v>1</v>
      </c>
      <c r="S152" s="1">
        <f t="shared" si="45"/>
        <v>0</v>
      </c>
      <c r="T152" s="1">
        <f t="shared" si="46"/>
        <v>1</v>
      </c>
      <c r="U152" s="26">
        <f t="shared" si="47"/>
        <v>1</v>
      </c>
      <c r="V152" s="26">
        <f t="shared" si="48"/>
        <v>0</v>
      </c>
      <c r="W152" s="1">
        <f t="shared" si="49"/>
        <v>1</v>
      </c>
      <c r="X152" s="26">
        <f t="shared" si="50"/>
        <v>1</v>
      </c>
      <c r="Y152" s="26">
        <f t="shared" si="51"/>
        <v>0</v>
      </c>
      <c r="Z152" s="1">
        <f t="shared" si="52"/>
        <v>1</v>
      </c>
      <c r="AA152"/>
      <c r="AB152"/>
    </row>
    <row r="153" spans="1:28" x14ac:dyDescent="0.55000000000000004">
      <c r="A153" s="1">
        <f t="shared" si="39"/>
        <v>153</v>
      </c>
      <c r="B153" t="s">
        <v>38</v>
      </c>
      <c r="C153" t="s">
        <v>119</v>
      </c>
      <c r="D153" t="s">
        <v>42</v>
      </c>
      <c r="E153" t="s">
        <v>1601</v>
      </c>
      <c r="F153" t="s">
        <v>923</v>
      </c>
      <c r="G153" t="s">
        <v>924</v>
      </c>
      <c r="H153" t="s">
        <v>575</v>
      </c>
      <c r="I153" t="s">
        <v>981</v>
      </c>
      <c r="J153" t="s">
        <v>1607</v>
      </c>
      <c r="K153" t="s">
        <v>927</v>
      </c>
      <c r="L153" t="s">
        <v>1092</v>
      </c>
      <c r="M153" t="s">
        <v>28</v>
      </c>
      <c r="N153" s="1">
        <f t="shared" si="40"/>
        <v>1</v>
      </c>
      <c r="O153" s="1">
        <f t="shared" si="41"/>
        <v>0</v>
      </c>
      <c r="P153" s="1">
        <f t="shared" si="42"/>
        <v>1</v>
      </c>
      <c r="Q153" s="1">
        <f t="shared" si="43"/>
        <v>1</v>
      </c>
      <c r="R153" s="1">
        <f t="shared" si="44"/>
        <v>1</v>
      </c>
      <c r="S153" s="1">
        <f t="shared" si="45"/>
        <v>1</v>
      </c>
      <c r="T153" s="1">
        <f t="shared" si="46"/>
        <v>1</v>
      </c>
      <c r="U153" s="26">
        <f t="shared" si="47"/>
        <v>1</v>
      </c>
      <c r="V153" s="26">
        <f t="shared" si="48"/>
        <v>0</v>
      </c>
      <c r="W153" s="1">
        <f t="shared" si="49"/>
        <v>1</v>
      </c>
      <c r="X153" s="26">
        <f t="shared" si="50"/>
        <v>0</v>
      </c>
      <c r="Y153" s="26">
        <f t="shared" si="51"/>
        <v>0</v>
      </c>
      <c r="Z153" s="1">
        <f t="shared" si="52"/>
        <v>0</v>
      </c>
      <c r="AA153"/>
      <c r="AB153"/>
    </row>
    <row r="154" spans="1:28" x14ac:dyDescent="0.55000000000000004">
      <c r="A154" s="1">
        <f t="shared" si="39"/>
        <v>154</v>
      </c>
      <c r="B154" t="s">
        <v>38</v>
      </c>
      <c r="C154" t="s">
        <v>119</v>
      </c>
      <c r="D154" t="s">
        <v>42</v>
      </c>
      <c r="E154" t="s">
        <v>1601</v>
      </c>
      <c r="F154" t="s">
        <v>923</v>
      </c>
      <c r="G154" t="s">
        <v>929</v>
      </c>
      <c r="H154" t="s">
        <v>590</v>
      </c>
      <c r="I154" t="s">
        <v>908</v>
      </c>
      <c r="J154" t="s">
        <v>1608</v>
      </c>
      <c r="K154" t="s">
        <v>932</v>
      </c>
      <c r="L154" t="s">
        <v>1095</v>
      </c>
      <c r="M154" t="s">
        <v>28</v>
      </c>
      <c r="N154" s="1">
        <f t="shared" si="40"/>
        <v>0</v>
      </c>
      <c r="O154" s="1">
        <f t="shared" si="41"/>
        <v>1</v>
      </c>
      <c r="P154" s="1">
        <f t="shared" si="42"/>
        <v>1</v>
      </c>
      <c r="Q154" s="1">
        <f t="shared" si="43"/>
        <v>1</v>
      </c>
      <c r="R154" s="1">
        <f t="shared" si="44"/>
        <v>1</v>
      </c>
      <c r="S154" s="1">
        <f t="shared" si="45"/>
        <v>1</v>
      </c>
      <c r="T154" s="1">
        <f t="shared" si="46"/>
        <v>1</v>
      </c>
      <c r="U154" s="26">
        <f t="shared" si="47"/>
        <v>0</v>
      </c>
      <c r="V154" s="26">
        <f t="shared" si="48"/>
        <v>0</v>
      </c>
      <c r="W154" s="1">
        <f t="shared" si="49"/>
        <v>1</v>
      </c>
      <c r="X154" s="26">
        <f t="shared" si="50"/>
        <v>1</v>
      </c>
      <c r="Y154" s="26">
        <f t="shared" si="51"/>
        <v>0</v>
      </c>
      <c r="Z154" s="1">
        <f t="shared" si="52"/>
        <v>0</v>
      </c>
      <c r="AA154"/>
      <c r="AB154"/>
    </row>
    <row r="155" spans="1:28" x14ac:dyDescent="0.55000000000000004">
      <c r="A155" s="1">
        <f t="shared" si="39"/>
        <v>155</v>
      </c>
      <c r="B155" t="s">
        <v>38</v>
      </c>
      <c r="C155" t="s">
        <v>119</v>
      </c>
      <c r="D155" t="s">
        <v>42</v>
      </c>
      <c r="E155" t="s">
        <v>1601</v>
      </c>
      <c r="F155" t="s">
        <v>923</v>
      </c>
      <c r="G155" t="s">
        <v>914</v>
      </c>
      <c r="H155" t="s">
        <v>568</v>
      </c>
      <c r="I155" t="s">
        <v>934</v>
      </c>
      <c r="J155" t="s">
        <v>1609</v>
      </c>
      <c r="K155" t="s">
        <v>901</v>
      </c>
      <c r="L155" t="s">
        <v>1099</v>
      </c>
      <c r="M155" t="s">
        <v>28</v>
      </c>
      <c r="N155" s="1">
        <f t="shared" si="40"/>
        <v>0</v>
      </c>
      <c r="O155" s="1">
        <f t="shared" si="41"/>
        <v>2</v>
      </c>
      <c r="P155" s="1">
        <f t="shared" si="42"/>
        <v>2</v>
      </c>
      <c r="Q155" s="1">
        <f t="shared" si="43"/>
        <v>1</v>
      </c>
      <c r="R155" s="1">
        <f t="shared" si="44"/>
        <v>1</v>
      </c>
      <c r="S155" s="1">
        <f t="shared" si="45"/>
        <v>1</v>
      </c>
      <c r="T155" s="1">
        <f t="shared" si="46"/>
        <v>1</v>
      </c>
      <c r="U155" s="26">
        <f t="shared" si="47"/>
        <v>0</v>
      </c>
      <c r="V155" s="26">
        <f t="shared" si="48"/>
        <v>0</v>
      </c>
      <c r="W155" s="1">
        <f t="shared" si="49"/>
        <v>1</v>
      </c>
      <c r="X155" s="26">
        <f t="shared" si="50"/>
        <v>1</v>
      </c>
      <c r="Y155" s="26">
        <f t="shared" si="51"/>
        <v>1</v>
      </c>
      <c r="Z155" s="1">
        <f t="shared" si="52"/>
        <v>1</v>
      </c>
      <c r="AA155"/>
      <c r="AB155"/>
    </row>
    <row r="156" spans="1:28" x14ac:dyDescent="0.55000000000000004">
      <c r="A156" s="1">
        <f t="shared" si="39"/>
        <v>156</v>
      </c>
      <c r="B156" t="s">
        <v>38</v>
      </c>
      <c r="C156" t="s">
        <v>117</v>
      </c>
      <c r="D156" t="s">
        <v>177</v>
      </c>
      <c r="E156" t="s">
        <v>1117</v>
      </c>
      <c r="F156" t="s">
        <v>390</v>
      </c>
      <c r="G156" t="s">
        <v>979</v>
      </c>
      <c r="H156" t="s">
        <v>579</v>
      </c>
      <c r="I156" t="s">
        <v>918</v>
      </c>
      <c r="J156" t="s">
        <v>1118</v>
      </c>
      <c r="K156" t="s">
        <v>1102</v>
      </c>
      <c r="L156" t="s">
        <v>1087</v>
      </c>
      <c r="M156" t="s">
        <v>28</v>
      </c>
      <c r="N156" s="1">
        <f t="shared" si="40"/>
        <v>2</v>
      </c>
      <c r="O156" s="1">
        <f t="shared" si="41"/>
        <v>1</v>
      </c>
      <c r="P156" s="1">
        <f t="shared" si="42"/>
        <v>3</v>
      </c>
      <c r="Q156" s="1">
        <f t="shared" si="43"/>
        <v>1</v>
      </c>
      <c r="R156" s="1">
        <f t="shared" si="44"/>
        <v>1</v>
      </c>
      <c r="S156" s="1">
        <f t="shared" si="45"/>
        <v>1</v>
      </c>
      <c r="T156" s="1">
        <f t="shared" si="46"/>
        <v>1</v>
      </c>
      <c r="U156" s="26">
        <f t="shared" si="47"/>
        <v>1</v>
      </c>
      <c r="V156" s="26">
        <f t="shared" si="48"/>
        <v>1</v>
      </c>
      <c r="W156" s="1">
        <f t="shared" si="49"/>
        <v>1</v>
      </c>
      <c r="X156" s="26">
        <f t="shared" si="50"/>
        <v>1</v>
      </c>
      <c r="Y156" s="26">
        <f t="shared" si="51"/>
        <v>0</v>
      </c>
      <c r="Z156" s="1">
        <f t="shared" si="52"/>
        <v>1</v>
      </c>
      <c r="AA156"/>
      <c r="AB156"/>
    </row>
    <row r="157" spans="1:28" x14ac:dyDescent="0.55000000000000004">
      <c r="A157" s="1">
        <f t="shared" si="39"/>
        <v>157</v>
      </c>
      <c r="B157" t="s">
        <v>38</v>
      </c>
      <c r="C157" t="s">
        <v>117</v>
      </c>
      <c r="D157" t="s">
        <v>177</v>
      </c>
      <c r="E157" t="s">
        <v>1117</v>
      </c>
      <c r="F157" t="s">
        <v>390</v>
      </c>
      <c r="G157" t="s">
        <v>981</v>
      </c>
      <c r="H157" t="s">
        <v>568</v>
      </c>
      <c r="I157" t="s">
        <v>904</v>
      </c>
      <c r="J157" t="s">
        <v>1119</v>
      </c>
      <c r="K157" t="s">
        <v>1086</v>
      </c>
      <c r="L157" t="s">
        <v>917</v>
      </c>
      <c r="M157" t="s">
        <v>28</v>
      </c>
      <c r="N157" s="1">
        <f t="shared" si="40"/>
        <v>0</v>
      </c>
      <c r="O157" s="1">
        <f t="shared" si="41"/>
        <v>2</v>
      </c>
      <c r="P157" s="1">
        <f t="shared" si="42"/>
        <v>2</v>
      </c>
      <c r="Q157" s="1">
        <f t="shared" si="43"/>
        <v>1</v>
      </c>
      <c r="R157" s="1">
        <f t="shared" si="44"/>
        <v>1</v>
      </c>
      <c r="S157" s="1">
        <f t="shared" si="45"/>
        <v>1</v>
      </c>
      <c r="T157" s="1">
        <f t="shared" si="46"/>
        <v>1</v>
      </c>
      <c r="U157" s="26">
        <f t="shared" si="47"/>
        <v>0</v>
      </c>
      <c r="V157" s="26">
        <f t="shared" si="48"/>
        <v>0</v>
      </c>
      <c r="W157" s="1">
        <f t="shared" si="49"/>
        <v>1</v>
      </c>
      <c r="X157" s="26">
        <f t="shared" si="50"/>
        <v>1</v>
      </c>
      <c r="Y157" s="26">
        <f t="shared" si="51"/>
        <v>1</v>
      </c>
      <c r="Z157" s="1">
        <f t="shared" si="52"/>
        <v>1</v>
      </c>
      <c r="AA157"/>
      <c r="AB157"/>
    </row>
    <row r="158" spans="1:28" x14ac:dyDescent="0.55000000000000004">
      <c r="A158" s="1">
        <f t="shared" si="39"/>
        <v>158</v>
      </c>
      <c r="B158" t="s">
        <v>38</v>
      </c>
      <c r="C158" t="s">
        <v>120</v>
      </c>
      <c r="D158" t="s">
        <v>133</v>
      </c>
      <c r="E158" t="s">
        <v>2018</v>
      </c>
      <c r="F158" t="s">
        <v>342</v>
      </c>
      <c r="G158" t="s">
        <v>981</v>
      </c>
      <c r="H158" t="s">
        <v>739</v>
      </c>
      <c r="I158" t="s">
        <v>930</v>
      </c>
      <c r="J158" t="s">
        <v>2019</v>
      </c>
      <c r="K158" t="s">
        <v>1086</v>
      </c>
      <c r="L158" t="s">
        <v>1619</v>
      </c>
      <c r="M158" t="s">
        <v>28</v>
      </c>
      <c r="N158" s="1">
        <f t="shared" si="40"/>
        <v>0</v>
      </c>
      <c r="O158" s="1">
        <f t="shared" si="41"/>
        <v>3</v>
      </c>
      <c r="P158" s="1">
        <f t="shared" si="42"/>
        <v>3</v>
      </c>
      <c r="Q158" s="1">
        <f t="shared" si="43"/>
        <v>1</v>
      </c>
      <c r="R158" s="1">
        <f t="shared" si="44"/>
        <v>1</v>
      </c>
      <c r="S158" s="1">
        <f t="shared" si="45"/>
        <v>1</v>
      </c>
      <c r="T158" s="1">
        <f t="shared" si="46"/>
        <v>1</v>
      </c>
      <c r="U158" s="26">
        <f t="shared" si="47"/>
        <v>0</v>
      </c>
      <c r="V158" s="26">
        <f t="shared" si="48"/>
        <v>0</v>
      </c>
      <c r="W158" s="1">
        <f t="shared" si="49"/>
        <v>0</v>
      </c>
      <c r="X158" s="26">
        <f t="shared" si="50"/>
        <v>1</v>
      </c>
      <c r="Y158" s="26">
        <f t="shared" si="51"/>
        <v>1</v>
      </c>
      <c r="Z158" s="1">
        <f t="shared" si="52"/>
        <v>1</v>
      </c>
      <c r="AA158"/>
      <c r="AB158"/>
    </row>
    <row r="159" spans="1:28" x14ac:dyDescent="0.55000000000000004">
      <c r="A159" s="1">
        <f t="shared" si="39"/>
        <v>159</v>
      </c>
      <c r="B159" t="s">
        <v>38</v>
      </c>
      <c r="C159" t="s">
        <v>120</v>
      </c>
      <c r="D159" t="s">
        <v>133</v>
      </c>
      <c r="E159" t="s">
        <v>2018</v>
      </c>
      <c r="F159" t="s">
        <v>342</v>
      </c>
      <c r="G159" t="s">
        <v>908</v>
      </c>
      <c r="H159" t="s">
        <v>579</v>
      </c>
      <c r="I159" t="s">
        <v>914</v>
      </c>
      <c r="J159" t="s">
        <v>2016</v>
      </c>
      <c r="K159" t="s">
        <v>911</v>
      </c>
      <c r="L159" t="s">
        <v>1078</v>
      </c>
      <c r="M159" t="s">
        <v>28</v>
      </c>
      <c r="N159" s="1">
        <f t="shared" si="40"/>
        <v>2</v>
      </c>
      <c r="O159" s="1">
        <f t="shared" si="41"/>
        <v>1</v>
      </c>
      <c r="P159" s="1">
        <f t="shared" si="42"/>
        <v>3</v>
      </c>
      <c r="Q159" s="1">
        <f t="shared" si="43"/>
        <v>1</v>
      </c>
      <c r="R159" s="1">
        <f t="shared" si="44"/>
        <v>1</v>
      </c>
      <c r="S159" s="1">
        <f t="shared" si="45"/>
        <v>1</v>
      </c>
      <c r="T159" s="1">
        <f t="shared" si="46"/>
        <v>1</v>
      </c>
      <c r="U159" s="26">
        <f t="shared" si="47"/>
        <v>1</v>
      </c>
      <c r="V159" s="26">
        <f t="shared" si="48"/>
        <v>1</v>
      </c>
      <c r="W159" s="1">
        <f t="shared" si="49"/>
        <v>1</v>
      </c>
      <c r="X159" s="26">
        <f t="shared" si="50"/>
        <v>1</v>
      </c>
      <c r="Y159" s="26">
        <f t="shared" si="51"/>
        <v>0</v>
      </c>
      <c r="Z159" s="1">
        <f t="shared" si="52"/>
        <v>1</v>
      </c>
      <c r="AA159"/>
      <c r="AB159"/>
    </row>
    <row r="160" spans="1:28" x14ac:dyDescent="0.55000000000000004">
      <c r="A160" s="1">
        <f t="shared" si="39"/>
        <v>160</v>
      </c>
      <c r="B160" t="s">
        <v>38</v>
      </c>
      <c r="C160" t="s">
        <v>120</v>
      </c>
      <c r="D160" t="s">
        <v>133</v>
      </c>
      <c r="E160" t="s">
        <v>2018</v>
      </c>
      <c r="F160" t="s">
        <v>342</v>
      </c>
      <c r="G160" t="s">
        <v>925</v>
      </c>
      <c r="H160" t="s">
        <v>722</v>
      </c>
      <c r="I160" t="s">
        <v>904</v>
      </c>
      <c r="J160" t="s">
        <v>2020</v>
      </c>
      <c r="K160" t="s">
        <v>1082</v>
      </c>
      <c r="L160" t="s">
        <v>960</v>
      </c>
      <c r="M160" t="s">
        <v>28</v>
      </c>
      <c r="N160" s="1">
        <f t="shared" si="40"/>
        <v>3</v>
      </c>
      <c r="O160" s="1">
        <f t="shared" si="41"/>
        <v>0</v>
      </c>
      <c r="P160" s="1">
        <f t="shared" si="42"/>
        <v>3</v>
      </c>
      <c r="Q160" s="1">
        <f t="shared" si="43"/>
        <v>1</v>
      </c>
      <c r="R160" s="1">
        <f t="shared" si="44"/>
        <v>1</v>
      </c>
      <c r="S160" s="1">
        <f t="shared" si="45"/>
        <v>1</v>
      </c>
      <c r="T160" s="1">
        <f t="shared" si="46"/>
        <v>0</v>
      </c>
      <c r="U160" s="26">
        <f t="shared" si="47"/>
        <v>1</v>
      </c>
      <c r="V160" s="26">
        <f t="shared" si="48"/>
        <v>1</v>
      </c>
      <c r="W160" s="1">
        <f t="shared" si="49"/>
        <v>1</v>
      </c>
      <c r="X160" s="26">
        <f t="shared" si="50"/>
        <v>0</v>
      </c>
      <c r="Y160" s="26">
        <f t="shared" si="51"/>
        <v>0</v>
      </c>
      <c r="Z160" s="1">
        <f t="shared" si="52"/>
        <v>1</v>
      </c>
      <c r="AA160"/>
      <c r="AB160"/>
    </row>
    <row r="161" spans="1:28" x14ac:dyDescent="0.55000000000000004">
      <c r="A161" s="1">
        <f t="shared" si="39"/>
        <v>161</v>
      </c>
      <c r="B161" t="s">
        <v>38</v>
      </c>
      <c r="C161" t="s">
        <v>120</v>
      </c>
      <c r="D161" t="s">
        <v>133</v>
      </c>
      <c r="E161" t="s">
        <v>2018</v>
      </c>
      <c r="F161" t="s">
        <v>342</v>
      </c>
      <c r="G161" t="s">
        <v>945</v>
      </c>
      <c r="H161" t="s">
        <v>683</v>
      </c>
      <c r="I161" t="s">
        <v>929</v>
      </c>
      <c r="J161" t="s">
        <v>2021</v>
      </c>
      <c r="K161" t="s">
        <v>947</v>
      </c>
      <c r="L161" t="s">
        <v>902</v>
      </c>
      <c r="M161" t="s">
        <v>28</v>
      </c>
      <c r="N161" s="1">
        <f t="shared" si="40"/>
        <v>3</v>
      </c>
      <c r="O161" s="1">
        <f t="shared" si="41"/>
        <v>2</v>
      </c>
      <c r="P161" s="1">
        <f t="shared" si="42"/>
        <v>5</v>
      </c>
      <c r="Q161" s="1">
        <f t="shared" si="43"/>
        <v>1</v>
      </c>
      <c r="R161" s="1">
        <f t="shared" si="44"/>
        <v>0</v>
      </c>
      <c r="S161" s="1">
        <f t="shared" si="45"/>
        <v>0</v>
      </c>
      <c r="T161" s="1">
        <f t="shared" si="46"/>
        <v>0</v>
      </c>
      <c r="U161" s="26">
        <f t="shared" si="47"/>
        <v>1</v>
      </c>
      <c r="V161" s="26">
        <f t="shared" si="48"/>
        <v>1</v>
      </c>
      <c r="W161" s="1">
        <f t="shared" si="49"/>
        <v>1</v>
      </c>
      <c r="X161" s="26">
        <f t="shared" si="50"/>
        <v>1</v>
      </c>
      <c r="Y161" s="26">
        <f t="shared" si="51"/>
        <v>1</v>
      </c>
      <c r="Z161" s="1">
        <f t="shared" si="52"/>
        <v>1</v>
      </c>
      <c r="AA161"/>
      <c r="AB161"/>
    </row>
    <row r="162" spans="1:28" x14ac:dyDescent="0.55000000000000004">
      <c r="A162" s="1">
        <f t="shared" si="39"/>
        <v>162</v>
      </c>
      <c r="B162" t="s">
        <v>38</v>
      </c>
      <c r="C162" t="s">
        <v>120</v>
      </c>
      <c r="D162" t="s">
        <v>133</v>
      </c>
      <c r="E162" t="s">
        <v>2018</v>
      </c>
      <c r="F162" t="s">
        <v>2022</v>
      </c>
      <c r="G162" t="s">
        <v>935</v>
      </c>
      <c r="H162" t="s">
        <v>608</v>
      </c>
      <c r="I162" t="s">
        <v>903</v>
      </c>
      <c r="J162" t="s">
        <v>2023</v>
      </c>
      <c r="K162" t="s">
        <v>949</v>
      </c>
      <c r="L162" t="s">
        <v>928</v>
      </c>
      <c r="M162" t="s">
        <v>28</v>
      </c>
      <c r="N162" s="1">
        <f t="shared" si="40"/>
        <v>1</v>
      </c>
      <c r="O162" s="1">
        <f t="shared" si="41"/>
        <v>1</v>
      </c>
      <c r="P162" s="1">
        <f t="shared" si="42"/>
        <v>2</v>
      </c>
      <c r="Q162" s="1">
        <f t="shared" si="43"/>
        <v>0</v>
      </c>
      <c r="R162" s="1">
        <f t="shared" si="44"/>
        <v>1</v>
      </c>
      <c r="S162" s="1">
        <f t="shared" si="45"/>
        <v>0</v>
      </c>
      <c r="T162" s="1">
        <f t="shared" si="46"/>
        <v>1</v>
      </c>
      <c r="U162" s="26">
        <f t="shared" si="47"/>
        <v>1</v>
      </c>
      <c r="V162" s="26">
        <f t="shared" si="48"/>
        <v>0</v>
      </c>
      <c r="W162" s="1">
        <f t="shared" si="49"/>
        <v>1</v>
      </c>
      <c r="X162" s="26">
        <f t="shared" si="50"/>
        <v>1</v>
      </c>
      <c r="Y162" s="26">
        <f t="shared" si="51"/>
        <v>0</v>
      </c>
      <c r="Z162" s="1">
        <f t="shared" si="52"/>
        <v>1</v>
      </c>
      <c r="AA162"/>
      <c r="AB162"/>
    </row>
    <row r="163" spans="1:28" x14ac:dyDescent="0.55000000000000004">
      <c r="A163" s="1">
        <f t="shared" si="39"/>
        <v>163</v>
      </c>
      <c r="B163" t="s">
        <v>38</v>
      </c>
      <c r="C163" t="s">
        <v>120</v>
      </c>
      <c r="D163" t="s">
        <v>133</v>
      </c>
      <c r="E163" t="s">
        <v>2018</v>
      </c>
      <c r="F163" t="s">
        <v>923</v>
      </c>
      <c r="G163" t="s">
        <v>934</v>
      </c>
      <c r="H163" t="s">
        <v>590</v>
      </c>
      <c r="I163" t="s">
        <v>918</v>
      </c>
      <c r="J163" t="s">
        <v>2024</v>
      </c>
      <c r="K163" t="s">
        <v>937</v>
      </c>
      <c r="L163" t="s">
        <v>984</v>
      </c>
      <c r="M163" t="s">
        <v>28</v>
      </c>
      <c r="N163" s="1">
        <f t="shared" si="40"/>
        <v>0</v>
      </c>
      <c r="O163" s="1">
        <f t="shared" si="41"/>
        <v>1</v>
      </c>
      <c r="P163" s="1">
        <f t="shared" si="42"/>
        <v>1</v>
      </c>
      <c r="Q163" s="1">
        <f t="shared" si="43"/>
        <v>1</v>
      </c>
      <c r="R163" s="1">
        <f t="shared" si="44"/>
        <v>1</v>
      </c>
      <c r="S163" s="1">
        <f t="shared" si="45"/>
        <v>1</v>
      </c>
      <c r="T163" s="1">
        <f t="shared" si="46"/>
        <v>1</v>
      </c>
      <c r="U163" s="26">
        <f t="shared" si="47"/>
        <v>0</v>
      </c>
      <c r="V163" s="26">
        <f t="shared" si="48"/>
        <v>0</v>
      </c>
      <c r="W163" s="1">
        <f t="shared" si="49"/>
        <v>1</v>
      </c>
      <c r="X163" s="26">
        <f t="shared" si="50"/>
        <v>1</v>
      </c>
      <c r="Y163" s="26">
        <f t="shared" si="51"/>
        <v>0</v>
      </c>
      <c r="Z163" s="1">
        <f t="shared" si="52"/>
        <v>0</v>
      </c>
      <c r="AA163"/>
      <c r="AB163"/>
    </row>
    <row r="164" spans="1:28" x14ac:dyDescent="0.55000000000000004">
      <c r="A164" s="1">
        <f t="shared" si="39"/>
        <v>164</v>
      </c>
      <c r="B164" t="s">
        <v>38</v>
      </c>
      <c r="C164" t="s">
        <v>120</v>
      </c>
      <c r="D164" t="s">
        <v>133</v>
      </c>
      <c r="E164" t="s">
        <v>2018</v>
      </c>
      <c r="F164" t="s">
        <v>923</v>
      </c>
      <c r="G164" t="s">
        <v>919</v>
      </c>
      <c r="H164" t="s">
        <v>575</v>
      </c>
      <c r="I164" t="s">
        <v>899</v>
      </c>
      <c r="J164" t="s">
        <v>1624</v>
      </c>
      <c r="K164" t="s">
        <v>968</v>
      </c>
      <c r="L164" t="s">
        <v>1621</v>
      </c>
      <c r="M164" t="s">
        <v>28</v>
      </c>
      <c r="N164" s="1">
        <f t="shared" si="40"/>
        <v>1</v>
      </c>
      <c r="O164" s="1">
        <f t="shared" si="41"/>
        <v>0</v>
      </c>
      <c r="P164" s="1">
        <f t="shared" si="42"/>
        <v>1</v>
      </c>
      <c r="Q164" s="1">
        <f t="shared" si="43"/>
        <v>1</v>
      </c>
      <c r="R164" s="1">
        <f t="shared" si="44"/>
        <v>1</v>
      </c>
      <c r="S164" s="1">
        <f t="shared" si="45"/>
        <v>1</v>
      </c>
      <c r="T164" s="1">
        <f t="shared" si="46"/>
        <v>1</v>
      </c>
      <c r="U164" s="26">
        <f t="shared" si="47"/>
        <v>1</v>
      </c>
      <c r="V164" s="26">
        <f t="shared" si="48"/>
        <v>0</v>
      </c>
      <c r="W164" s="1">
        <f t="shared" si="49"/>
        <v>1</v>
      </c>
      <c r="X164" s="26">
        <f t="shared" si="50"/>
        <v>0</v>
      </c>
      <c r="Y164" s="26">
        <f t="shared" si="51"/>
        <v>0</v>
      </c>
      <c r="Z164" s="1">
        <f t="shared" si="52"/>
        <v>0</v>
      </c>
      <c r="AA164"/>
      <c r="AB164"/>
    </row>
    <row r="165" spans="1:28" x14ac:dyDescent="0.55000000000000004">
      <c r="A165" s="1">
        <f t="shared" si="39"/>
        <v>165</v>
      </c>
      <c r="B165" t="s">
        <v>38</v>
      </c>
      <c r="C165" t="s">
        <v>120</v>
      </c>
      <c r="D165" t="s">
        <v>133</v>
      </c>
      <c r="E165" t="s">
        <v>2018</v>
      </c>
      <c r="F165" t="s">
        <v>950</v>
      </c>
      <c r="G165" t="s">
        <v>940</v>
      </c>
      <c r="H165" t="s">
        <v>683</v>
      </c>
      <c r="I165" t="s">
        <v>898</v>
      </c>
      <c r="J165" t="s">
        <v>2025</v>
      </c>
      <c r="K165" t="s">
        <v>942</v>
      </c>
      <c r="L165" t="s">
        <v>933</v>
      </c>
      <c r="M165" t="s">
        <v>28</v>
      </c>
      <c r="N165" s="1">
        <f t="shared" si="40"/>
        <v>3</v>
      </c>
      <c r="O165" s="1">
        <f t="shared" si="41"/>
        <v>2</v>
      </c>
      <c r="P165" s="1">
        <f t="shared" si="42"/>
        <v>5</v>
      </c>
      <c r="Q165" s="1">
        <f t="shared" si="43"/>
        <v>1</v>
      </c>
      <c r="R165" s="1">
        <f t="shared" si="44"/>
        <v>0</v>
      </c>
      <c r="S165" s="1">
        <f t="shared" si="45"/>
        <v>0</v>
      </c>
      <c r="T165" s="1">
        <f t="shared" si="46"/>
        <v>0</v>
      </c>
      <c r="U165" s="26">
        <f t="shared" si="47"/>
        <v>1</v>
      </c>
      <c r="V165" s="26">
        <f t="shared" si="48"/>
        <v>1</v>
      </c>
      <c r="W165" s="1">
        <f t="shared" si="49"/>
        <v>1</v>
      </c>
      <c r="X165" s="26">
        <f t="shared" si="50"/>
        <v>1</v>
      </c>
      <c r="Y165" s="26">
        <f t="shared" si="51"/>
        <v>1</v>
      </c>
      <c r="Z165" s="1">
        <f t="shared" si="52"/>
        <v>1</v>
      </c>
      <c r="AA165"/>
      <c r="AB165"/>
    </row>
    <row r="166" spans="1:28" x14ac:dyDescent="0.55000000000000004">
      <c r="A166" s="1">
        <f t="shared" si="39"/>
        <v>166</v>
      </c>
      <c r="B166" t="s">
        <v>38</v>
      </c>
      <c r="C166" t="s">
        <v>120</v>
      </c>
      <c r="D166" t="s">
        <v>42</v>
      </c>
      <c r="E166" t="s">
        <v>1610</v>
      </c>
      <c r="F166" t="s">
        <v>923</v>
      </c>
      <c r="G166" t="s">
        <v>913</v>
      </c>
      <c r="H166" t="s">
        <v>579</v>
      </c>
      <c r="I166" t="s">
        <v>909</v>
      </c>
      <c r="J166" t="s">
        <v>1611</v>
      </c>
      <c r="K166" t="s">
        <v>916</v>
      </c>
      <c r="L166" t="s">
        <v>907</v>
      </c>
      <c r="M166" t="s">
        <v>28</v>
      </c>
      <c r="N166" s="1">
        <f t="shared" si="40"/>
        <v>2</v>
      </c>
      <c r="O166" s="1">
        <f t="shared" si="41"/>
        <v>1</v>
      </c>
      <c r="P166" s="1">
        <f t="shared" si="42"/>
        <v>3</v>
      </c>
      <c r="Q166" s="1">
        <f t="shared" si="43"/>
        <v>1</v>
      </c>
      <c r="R166" s="1">
        <f t="shared" si="44"/>
        <v>1</v>
      </c>
      <c r="S166" s="1">
        <f t="shared" si="45"/>
        <v>1</v>
      </c>
      <c r="T166" s="1">
        <f t="shared" si="46"/>
        <v>1</v>
      </c>
      <c r="U166" s="26">
        <f t="shared" si="47"/>
        <v>1</v>
      </c>
      <c r="V166" s="26">
        <f t="shared" si="48"/>
        <v>1</v>
      </c>
      <c r="W166" s="1">
        <f t="shared" si="49"/>
        <v>1</v>
      </c>
      <c r="X166" s="26">
        <f t="shared" si="50"/>
        <v>1</v>
      </c>
      <c r="Y166" s="26">
        <f t="shared" si="51"/>
        <v>0</v>
      </c>
      <c r="Z166" s="1">
        <f t="shared" si="52"/>
        <v>1</v>
      </c>
      <c r="AA166"/>
      <c r="AB166"/>
    </row>
    <row r="167" spans="1:28" x14ac:dyDescent="0.55000000000000004">
      <c r="A167" s="1">
        <f t="shared" si="39"/>
        <v>167</v>
      </c>
      <c r="B167" t="s">
        <v>38</v>
      </c>
      <c r="C167" t="s">
        <v>120</v>
      </c>
      <c r="D167" t="s">
        <v>42</v>
      </c>
      <c r="E167" t="s">
        <v>1610</v>
      </c>
      <c r="F167" t="s">
        <v>923</v>
      </c>
      <c r="G167" t="s">
        <v>979</v>
      </c>
      <c r="H167" t="s">
        <v>573</v>
      </c>
      <c r="I167" t="s">
        <v>924</v>
      </c>
      <c r="J167" t="s">
        <v>1612</v>
      </c>
      <c r="K167" t="s">
        <v>1102</v>
      </c>
      <c r="L167" t="s">
        <v>966</v>
      </c>
      <c r="M167" t="s">
        <v>28</v>
      </c>
      <c r="N167" s="1">
        <f t="shared" si="40"/>
        <v>2</v>
      </c>
      <c r="O167" s="1">
        <f t="shared" si="41"/>
        <v>0</v>
      </c>
      <c r="P167" s="1">
        <f t="shared" si="42"/>
        <v>2</v>
      </c>
      <c r="Q167" s="1">
        <f t="shared" si="43"/>
        <v>1</v>
      </c>
      <c r="R167" s="1">
        <f t="shared" si="44"/>
        <v>1</v>
      </c>
      <c r="S167" s="1">
        <f t="shared" si="45"/>
        <v>1</v>
      </c>
      <c r="T167" s="1">
        <f t="shared" si="46"/>
        <v>1</v>
      </c>
      <c r="U167" s="26">
        <f t="shared" si="47"/>
        <v>1</v>
      </c>
      <c r="V167" s="26">
        <f t="shared" si="48"/>
        <v>1</v>
      </c>
      <c r="W167" s="1">
        <f t="shared" si="49"/>
        <v>1</v>
      </c>
      <c r="X167" s="26">
        <f t="shared" si="50"/>
        <v>0</v>
      </c>
      <c r="Y167" s="26">
        <f t="shared" si="51"/>
        <v>0</v>
      </c>
      <c r="Z167" s="1">
        <f t="shared" si="52"/>
        <v>1</v>
      </c>
      <c r="AA167"/>
      <c r="AB167"/>
    </row>
    <row r="168" spans="1:28" x14ac:dyDescent="0.55000000000000004">
      <c r="A168" s="1">
        <f t="shared" si="39"/>
        <v>168</v>
      </c>
      <c r="B168" t="s">
        <v>38</v>
      </c>
      <c r="C168" t="s">
        <v>116</v>
      </c>
      <c r="D168" t="s">
        <v>177</v>
      </c>
      <c r="E168" t="s">
        <v>1120</v>
      </c>
      <c r="F168" t="s">
        <v>390</v>
      </c>
      <c r="G168" t="s">
        <v>981</v>
      </c>
      <c r="H168" t="s">
        <v>581</v>
      </c>
      <c r="I168" t="s">
        <v>945</v>
      </c>
      <c r="J168" t="s">
        <v>1121</v>
      </c>
      <c r="K168" t="s">
        <v>1086</v>
      </c>
      <c r="L168" t="s">
        <v>1122</v>
      </c>
      <c r="M168" t="s">
        <v>28</v>
      </c>
      <c r="N168" s="1">
        <f t="shared" si="40"/>
        <v>1</v>
      </c>
      <c r="O168" s="1">
        <f t="shared" si="41"/>
        <v>2</v>
      </c>
      <c r="P168" s="1">
        <f t="shared" si="42"/>
        <v>3</v>
      </c>
      <c r="Q168" s="1">
        <f t="shared" si="43"/>
        <v>1</v>
      </c>
      <c r="R168" s="1">
        <f t="shared" si="44"/>
        <v>1</v>
      </c>
      <c r="S168" s="1">
        <f t="shared" si="45"/>
        <v>1</v>
      </c>
      <c r="T168" s="1">
        <f t="shared" si="46"/>
        <v>1</v>
      </c>
      <c r="U168" s="26">
        <f t="shared" si="47"/>
        <v>1</v>
      </c>
      <c r="V168" s="26">
        <f t="shared" si="48"/>
        <v>0</v>
      </c>
      <c r="W168" s="1">
        <f t="shared" si="49"/>
        <v>1</v>
      </c>
      <c r="X168" s="26">
        <f t="shared" si="50"/>
        <v>1</v>
      </c>
      <c r="Y168" s="26">
        <f t="shared" si="51"/>
        <v>1</v>
      </c>
      <c r="Z168" s="1">
        <f t="shared" si="52"/>
        <v>1</v>
      </c>
      <c r="AA168"/>
      <c r="AB168"/>
    </row>
    <row r="169" spans="1:28" x14ac:dyDescent="0.55000000000000004">
      <c r="A169" s="1">
        <f t="shared" si="39"/>
        <v>169</v>
      </c>
      <c r="B169" t="s">
        <v>38</v>
      </c>
      <c r="C169" t="s">
        <v>116</v>
      </c>
      <c r="D169" t="s">
        <v>177</v>
      </c>
      <c r="E169" t="s">
        <v>1120</v>
      </c>
      <c r="F169" t="s">
        <v>390</v>
      </c>
      <c r="G169" t="s">
        <v>979</v>
      </c>
      <c r="H169" t="s">
        <v>664</v>
      </c>
      <c r="I169" t="s">
        <v>940</v>
      </c>
      <c r="J169" t="s">
        <v>1123</v>
      </c>
      <c r="K169" t="s">
        <v>1102</v>
      </c>
      <c r="L169" t="s">
        <v>922</v>
      </c>
      <c r="M169" t="s">
        <v>28</v>
      </c>
      <c r="N169" s="1">
        <f t="shared" si="40"/>
        <v>2</v>
      </c>
      <c r="O169" s="1">
        <f t="shared" si="41"/>
        <v>2</v>
      </c>
      <c r="P169" s="1">
        <f t="shared" si="42"/>
        <v>4</v>
      </c>
      <c r="Q169" s="1">
        <f t="shared" si="43"/>
        <v>0</v>
      </c>
      <c r="R169" s="1">
        <f t="shared" si="44"/>
        <v>1</v>
      </c>
      <c r="S169" s="1">
        <f t="shared" si="45"/>
        <v>0</v>
      </c>
      <c r="T169" s="1">
        <f t="shared" si="46"/>
        <v>1</v>
      </c>
      <c r="U169" s="26">
        <f t="shared" si="47"/>
        <v>1</v>
      </c>
      <c r="V169" s="26">
        <f t="shared" si="48"/>
        <v>1</v>
      </c>
      <c r="W169" s="1">
        <f t="shared" si="49"/>
        <v>1</v>
      </c>
      <c r="X169" s="26">
        <f t="shared" si="50"/>
        <v>1</v>
      </c>
      <c r="Y169" s="26">
        <f t="shared" si="51"/>
        <v>1</v>
      </c>
      <c r="Z169" s="1">
        <f t="shared" si="52"/>
        <v>1</v>
      </c>
      <c r="AA169"/>
      <c r="AB169"/>
    </row>
    <row r="170" spans="1:28" x14ac:dyDescent="0.55000000000000004">
      <c r="A170" s="1">
        <f t="shared" si="39"/>
        <v>170</v>
      </c>
      <c r="B170" t="s">
        <v>38</v>
      </c>
      <c r="C170" t="s">
        <v>122</v>
      </c>
      <c r="D170" t="s">
        <v>133</v>
      </c>
      <c r="E170" t="s">
        <v>2026</v>
      </c>
      <c r="F170" t="s">
        <v>923</v>
      </c>
      <c r="G170" t="s">
        <v>924</v>
      </c>
      <c r="H170" t="s">
        <v>573</v>
      </c>
      <c r="I170" t="s">
        <v>935</v>
      </c>
      <c r="J170" t="s">
        <v>2027</v>
      </c>
      <c r="K170" t="s">
        <v>927</v>
      </c>
      <c r="L170" t="s">
        <v>1087</v>
      </c>
      <c r="M170" t="s">
        <v>28</v>
      </c>
      <c r="N170" s="1">
        <f t="shared" si="40"/>
        <v>2</v>
      </c>
      <c r="O170" s="1">
        <f t="shared" si="41"/>
        <v>0</v>
      </c>
      <c r="P170" s="1">
        <f t="shared" si="42"/>
        <v>2</v>
      </c>
      <c r="Q170" s="1">
        <f t="shared" si="43"/>
        <v>1</v>
      </c>
      <c r="R170" s="1">
        <f t="shared" si="44"/>
        <v>1</v>
      </c>
      <c r="S170" s="1">
        <f t="shared" si="45"/>
        <v>1</v>
      </c>
      <c r="T170" s="1">
        <f t="shared" si="46"/>
        <v>1</v>
      </c>
      <c r="U170" s="26">
        <f t="shared" si="47"/>
        <v>1</v>
      </c>
      <c r="V170" s="26">
        <f t="shared" si="48"/>
        <v>1</v>
      </c>
      <c r="W170" s="1">
        <f t="shared" si="49"/>
        <v>1</v>
      </c>
      <c r="X170" s="26">
        <f t="shared" si="50"/>
        <v>0</v>
      </c>
      <c r="Y170" s="26">
        <f t="shared" si="51"/>
        <v>0</v>
      </c>
      <c r="Z170" s="1">
        <f t="shared" si="52"/>
        <v>1</v>
      </c>
      <c r="AA170"/>
      <c r="AB170"/>
    </row>
    <row r="171" spans="1:28" x14ac:dyDescent="0.55000000000000004">
      <c r="A171" s="1">
        <f t="shared" si="39"/>
        <v>171</v>
      </c>
      <c r="B171" t="s">
        <v>38</v>
      </c>
      <c r="C171" t="s">
        <v>122</v>
      </c>
      <c r="D171" t="s">
        <v>133</v>
      </c>
      <c r="E171" t="s">
        <v>2026</v>
      </c>
      <c r="F171" t="s">
        <v>2028</v>
      </c>
      <c r="G171" t="s">
        <v>903</v>
      </c>
      <c r="H171" t="s">
        <v>579</v>
      </c>
      <c r="I171" t="s">
        <v>940</v>
      </c>
      <c r="J171" t="s">
        <v>2029</v>
      </c>
      <c r="K171" t="s">
        <v>906</v>
      </c>
      <c r="L171" t="s">
        <v>960</v>
      </c>
      <c r="M171" t="s">
        <v>28</v>
      </c>
      <c r="N171" s="1">
        <f t="shared" si="40"/>
        <v>2</v>
      </c>
      <c r="O171" s="1">
        <f t="shared" si="41"/>
        <v>1</v>
      </c>
      <c r="P171" s="1">
        <f t="shared" si="42"/>
        <v>3</v>
      </c>
      <c r="Q171" s="1">
        <f t="shared" si="43"/>
        <v>1</v>
      </c>
      <c r="R171" s="1">
        <f t="shared" si="44"/>
        <v>1</v>
      </c>
      <c r="S171" s="1">
        <f t="shared" si="45"/>
        <v>1</v>
      </c>
      <c r="T171" s="1">
        <f t="shared" si="46"/>
        <v>1</v>
      </c>
      <c r="U171" s="26">
        <f t="shared" si="47"/>
        <v>1</v>
      </c>
      <c r="V171" s="26">
        <f t="shared" si="48"/>
        <v>1</v>
      </c>
      <c r="W171" s="1">
        <f t="shared" si="49"/>
        <v>1</v>
      </c>
      <c r="X171" s="26">
        <f t="shared" si="50"/>
        <v>1</v>
      </c>
      <c r="Y171" s="26">
        <f t="shared" si="51"/>
        <v>0</v>
      </c>
      <c r="Z171" s="1">
        <f t="shared" si="52"/>
        <v>1</v>
      </c>
      <c r="AA171"/>
      <c r="AB171"/>
    </row>
    <row r="172" spans="1:28" x14ac:dyDescent="0.55000000000000004">
      <c r="A172" s="1">
        <f t="shared" si="39"/>
        <v>172</v>
      </c>
      <c r="B172" t="s">
        <v>38</v>
      </c>
      <c r="C172" t="s">
        <v>122</v>
      </c>
      <c r="D172" t="s">
        <v>42</v>
      </c>
      <c r="E172" t="s">
        <v>1613</v>
      </c>
      <c r="F172" t="s">
        <v>1580</v>
      </c>
      <c r="G172" t="s">
        <v>913</v>
      </c>
      <c r="H172" t="s">
        <v>664</v>
      </c>
      <c r="I172" t="s">
        <v>925</v>
      </c>
      <c r="J172" t="s">
        <v>1614</v>
      </c>
      <c r="K172" t="s">
        <v>916</v>
      </c>
      <c r="L172" t="s">
        <v>902</v>
      </c>
      <c r="M172" t="s">
        <v>28</v>
      </c>
      <c r="N172" s="1">
        <f t="shared" si="40"/>
        <v>2</v>
      </c>
      <c r="O172" s="1">
        <f t="shared" si="41"/>
        <v>2</v>
      </c>
      <c r="P172" s="1">
        <f t="shared" si="42"/>
        <v>4</v>
      </c>
      <c r="Q172" s="1">
        <f t="shared" si="43"/>
        <v>0</v>
      </c>
      <c r="R172" s="1">
        <f t="shared" si="44"/>
        <v>1</v>
      </c>
      <c r="S172" s="1">
        <f t="shared" si="45"/>
        <v>0</v>
      </c>
      <c r="T172" s="1">
        <f t="shared" si="46"/>
        <v>1</v>
      </c>
      <c r="U172" s="26">
        <f t="shared" si="47"/>
        <v>1</v>
      </c>
      <c r="V172" s="26">
        <f t="shared" si="48"/>
        <v>1</v>
      </c>
      <c r="W172" s="1">
        <f t="shared" si="49"/>
        <v>1</v>
      </c>
      <c r="X172" s="26">
        <f t="shared" si="50"/>
        <v>1</v>
      </c>
      <c r="Y172" s="26">
        <f t="shared" si="51"/>
        <v>1</v>
      </c>
      <c r="Z172" s="1">
        <f t="shared" si="52"/>
        <v>1</v>
      </c>
      <c r="AA172"/>
      <c r="AB172"/>
    </row>
    <row r="173" spans="1:28" x14ac:dyDescent="0.55000000000000004">
      <c r="A173" s="1">
        <f t="shared" si="39"/>
        <v>173</v>
      </c>
      <c r="B173" t="s">
        <v>38</v>
      </c>
      <c r="C173" t="s">
        <v>122</v>
      </c>
      <c r="D173" t="s">
        <v>42</v>
      </c>
      <c r="E173" t="s">
        <v>1613</v>
      </c>
      <c r="F173" t="s">
        <v>342</v>
      </c>
      <c r="G173" t="s">
        <v>981</v>
      </c>
      <c r="H173" t="s">
        <v>570</v>
      </c>
      <c r="I173" t="s">
        <v>919</v>
      </c>
      <c r="J173" t="s">
        <v>1615</v>
      </c>
      <c r="K173" t="s">
        <v>1086</v>
      </c>
      <c r="L173" t="s">
        <v>1095</v>
      </c>
      <c r="M173" t="s">
        <v>28</v>
      </c>
      <c r="N173" s="1">
        <f t="shared" si="40"/>
        <v>3</v>
      </c>
      <c r="O173" s="1">
        <f t="shared" si="41"/>
        <v>1</v>
      </c>
      <c r="P173" s="1">
        <f t="shared" si="42"/>
        <v>4</v>
      </c>
      <c r="Q173" s="1">
        <f t="shared" si="43"/>
        <v>1</v>
      </c>
      <c r="R173" s="1">
        <f t="shared" si="44"/>
        <v>1</v>
      </c>
      <c r="S173" s="1">
        <f t="shared" si="45"/>
        <v>1</v>
      </c>
      <c r="T173" s="1">
        <f t="shared" si="46"/>
        <v>0</v>
      </c>
      <c r="U173" s="26">
        <f t="shared" si="47"/>
        <v>1</v>
      </c>
      <c r="V173" s="26">
        <f t="shared" si="48"/>
        <v>1</v>
      </c>
      <c r="W173" s="1">
        <f t="shared" si="49"/>
        <v>1</v>
      </c>
      <c r="X173" s="26">
        <f t="shared" si="50"/>
        <v>1</v>
      </c>
      <c r="Y173" s="26">
        <f t="shared" si="51"/>
        <v>0</v>
      </c>
      <c r="Z173" s="1">
        <f t="shared" si="52"/>
        <v>1</v>
      </c>
      <c r="AA173"/>
      <c r="AB173"/>
    </row>
    <row r="174" spans="1:28" x14ac:dyDescent="0.55000000000000004">
      <c r="A174" s="1">
        <f t="shared" si="39"/>
        <v>174</v>
      </c>
      <c r="B174" t="s">
        <v>38</v>
      </c>
      <c r="C174" t="s">
        <v>122</v>
      </c>
      <c r="D174" t="s">
        <v>42</v>
      </c>
      <c r="E174" t="s">
        <v>1613</v>
      </c>
      <c r="F174" t="s">
        <v>342</v>
      </c>
      <c r="G174" t="s">
        <v>899</v>
      </c>
      <c r="H174" t="s">
        <v>683</v>
      </c>
      <c r="I174" t="s">
        <v>945</v>
      </c>
      <c r="J174" t="s">
        <v>1616</v>
      </c>
      <c r="K174" t="s">
        <v>973</v>
      </c>
      <c r="L174" t="s">
        <v>1099</v>
      </c>
      <c r="M174" t="s">
        <v>28</v>
      </c>
      <c r="N174" s="1">
        <f t="shared" si="40"/>
        <v>3</v>
      </c>
      <c r="O174" s="1">
        <f t="shared" si="41"/>
        <v>2</v>
      </c>
      <c r="P174" s="1">
        <f t="shared" si="42"/>
        <v>5</v>
      </c>
      <c r="Q174" s="1">
        <f t="shared" si="43"/>
        <v>1</v>
      </c>
      <c r="R174" s="1">
        <f t="shared" si="44"/>
        <v>0</v>
      </c>
      <c r="S174" s="1">
        <f t="shared" si="45"/>
        <v>0</v>
      </c>
      <c r="T174" s="1">
        <f t="shared" si="46"/>
        <v>0</v>
      </c>
      <c r="U174" s="26">
        <f t="shared" si="47"/>
        <v>1</v>
      </c>
      <c r="V174" s="26">
        <f t="shared" si="48"/>
        <v>1</v>
      </c>
      <c r="W174" s="1">
        <f t="shared" si="49"/>
        <v>1</v>
      </c>
      <c r="X174" s="26">
        <f t="shared" si="50"/>
        <v>1</v>
      </c>
      <c r="Y174" s="26">
        <f t="shared" si="51"/>
        <v>1</v>
      </c>
      <c r="Z174" s="1">
        <f t="shared" si="52"/>
        <v>1</v>
      </c>
      <c r="AA174"/>
      <c r="AB174"/>
    </row>
    <row r="175" spans="1:28" x14ac:dyDescent="0.55000000000000004">
      <c r="A175" s="1">
        <f t="shared" si="39"/>
        <v>175</v>
      </c>
      <c r="B175" t="s">
        <v>38</v>
      </c>
      <c r="C175" t="s">
        <v>122</v>
      </c>
      <c r="D175" t="s">
        <v>42</v>
      </c>
      <c r="E175" t="s">
        <v>1613</v>
      </c>
      <c r="F175" t="s">
        <v>342</v>
      </c>
      <c r="G175" t="s">
        <v>918</v>
      </c>
      <c r="H175" t="s">
        <v>608</v>
      </c>
      <c r="I175" t="s">
        <v>904</v>
      </c>
      <c r="J175" t="s">
        <v>1617</v>
      </c>
      <c r="K175" t="s">
        <v>921</v>
      </c>
      <c r="L175" t="s">
        <v>1103</v>
      </c>
      <c r="M175" t="s">
        <v>28</v>
      </c>
      <c r="N175" s="1">
        <f t="shared" si="40"/>
        <v>1</v>
      </c>
      <c r="O175" s="1">
        <f t="shared" si="41"/>
        <v>1</v>
      </c>
      <c r="P175" s="1">
        <f t="shared" si="42"/>
        <v>2</v>
      </c>
      <c r="Q175" s="1">
        <f t="shared" si="43"/>
        <v>0</v>
      </c>
      <c r="R175" s="1">
        <f t="shared" si="44"/>
        <v>1</v>
      </c>
      <c r="S175" s="1">
        <f t="shared" si="45"/>
        <v>0</v>
      </c>
      <c r="T175" s="1">
        <f t="shared" si="46"/>
        <v>1</v>
      </c>
      <c r="U175" s="26">
        <f t="shared" si="47"/>
        <v>1</v>
      </c>
      <c r="V175" s="26">
        <f t="shared" si="48"/>
        <v>0</v>
      </c>
      <c r="W175" s="1">
        <f t="shared" si="49"/>
        <v>1</v>
      </c>
      <c r="X175" s="26">
        <f t="shared" si="50"/>
        <v>1</v>
      </c>
      <c r="Y175" s="26">
        <f t="shared" si="51"/>
        <v>0</v>
      </c>
      <c r="Z175" s="1">
        <f t="shared" si="52"/>
        <v>1</v>
      </c>
      <c r="AA175"/>
      <c r="AB175"/>
    </row>
    <row r="176" spans="1:28" x14ac:dyDescent="0.55000000000000004">
      <c r="A176" s="1">
        <f t="shared" si="39"/>
        <v>176</v>
      </c>
      <c r="B176" t="s">
        <v>38</v>
      </c>
      <c r="C176" t="s">
        <v>122</v>
      </c>
      <c r="D176" t="s">
        <v>42</v>
      </c>
      <c r="E176" t="s">
        <v>1613</v>
      </c>
      <c r="F176" t="s">
        <v>342</v>
      </c>
      <c r="G176" t="s">
        <v>909</v>
      </c>
      <c r="H176" t="s">
        <v>579</v>
      </c>
      <c r="I176" t="s">
        <v>934</v>
      </c>
      <c r="J176" t="s">
        <v>1618</v>
      </c>
      <c r="K176" t="s">
        <v>965</v>
      </c>
      <c r="L176" t="s">
        <v>1619</v>
      </c>
      <c r="M176" t="s">
        <v>28</v>
      </c>
      <c r="N176" s="1">
        <f t="shared" si="40"/>
        <v>2</v>
      </c>
      <c r="O176" s="1">
        <f t="shared" si="41"/>
        <v>1</v>
      </c>
      <c r="P176" s="1">
        <f t="shared" si="42"/>
        <v>3</v>
      </c>
      <c r="Q176" s="1">
        <f t="shared" si="43"/>
        <v>1</v>
      </c>
      <c r="R176" s="1">
        <f t="shared" si="44"/>
        <v>1</v>
      </c>
      <c r="S176" s="1">
        <f t="shared" si="45"/>
        <v>1</v>
      </c>
      <c r="T176" s="1">
        <f t="shared" si="46"/>
        <v>1</v>
      </c>
      <c r="U176" s="26">
        <f t="shared" si="47"/>
        <v>1</v>
      </c>
      <c r="V176" s="26">
        <f t="shared" si="48"/>
        <v>1</v>
      </c>
      <c r="W176" s="1">
        <f t="shared" si="49"/>
        <v>1</v>
      </c>
      <c r="X176" s="26">
        <f t="shared" si="50"/>
        <v>1</v>
      </c>
      <c r="Y176" s="26">
        <f t="shared" si="51"/>
        <v>0</v>
      </c>
      <c r="Z176" s="1">
        <f t="shared" si="52"/>
        <v>1</v>
      </c>
      <c r="AA176"/>
      <c r="AB176"/>
    </row>
    <row r="177" spans="1:28" x14ac:dyDescent="0.55000000000000004">
      <c r="A177" s="1">
        <f t="shared" si="39"/>
        <v>177</v>
      </c>
      <c r="B177" t="s">
        <v>38</v>
      </c>
      <c r="C177" t="s">
        <v>122</v>
      </c>
      <c r="D177" t="s">
        <v>42</v>
      </c>
      <c r="E177" t="s">
        <v>1613</v>
      </c>
      <c r="F177" t="s">
        <v>923</v>
      </c>
      <c r="G177" t="s">
        <v>914</v>
      </c>
      <c r="H177" t="s">
        <v>575</v>
      </c>
      <c r="I177" t="s">
        <v>930</v>
      </c>
      <c r="J177" t="s">
        <v>920</v>
      </c>
      <c r="K177" t="s">
        <v>901</v>
      </c>
      <c r="L177" t="s">
        <v>1092</v>
      </c>
      <c r="M177" t="s">
        <v>28</v>
      </c>
      <c r="N177" s="1">
        <f t="shared" si="40"/>
        <v>1</v>
      </c>
      <c r="O177" s="1">
        <f t="shared" si="41"/>
        <v>0</v>
      </c>
      <c r="P177" s="1">
        <f t="shared" si="42"/>
        <v>1</v>
      </c>
      <c r="Q177" s="1">
        <f t="shared" si="43"/>
        <v>1</v>
      </c>
      <c r="R177" s="1">
        <f t="shared" si="44"/>
        <v>1</v>
      </c>
      <c r="S177" s="1">
        <f t="shared" si="45"/>
        <v>1</v>
      </c>
      <c r="T177" s="1">
        <f t="shared" si="46"/>
        <v>1</v>
      </c>
      <c r="U177" s="26">
        <f t="shared" si="47"/>
        <v>1</v>
      </c>
      <c r="V177" s="26">
        <f t="shared" si="48"/>
        <v>0</v>
      </c>
      <c r="W177" s="1">
        <f t="shared" si="49"/>
        <v>1</v>
      </c>
      <c r="X177" s="26">
        <f t="shared" si="50"/>
        <v>0</v>
      </c>
      <c r="Y177" s="26">
        <f t="shared" si="51"/>
        <v>0</v>
      </c>
      <c r="Z177" s="1">
        <f t="shared" si="52"/>
        <v>0</v>
      </c>
      <c r="AA177"/>
      <c r="AB177"/>
    </row>
    <row r="178" spans="1:28" x14ac:dyDescent="0.55000000000000004">
      <c r="A178" s="1">
        <f t="shared" si="39"/>
        <v>178</v>
      </c>
      <c r="B178" t="s">
        <v>38</v>
      </c>
      <c r="C178" t="s">
        <v>122</v>
      </c>
      <c r="D178" t="s">
        <v>42</v>
      </c>
      <c r="E178" t="s">
        <v>1613</v>
      </c>
      <c r="F178" t="s">
        <v>923</v>
      </c>
      <c r="G178" t="s">
        <v>898</v>
      </c>
      <c r="H178" t="s">
        <v>739</v>
      </c>
      <c r="I178" t="s">
        <v>908</v>
      </c>
      <c r="J178" t="s">
        <v>1620</v>
      </c>
      <c r="K178" t="s">
        <v>1346</v>
      </c>
      <c r="L178" t="s">
        <v>1621</v>
      </c>
      <c r="M178" t="s">
        <v>28</v>
      </c>
      <c r="N178" s="1">
        <f t="shared" si="40"/>
        <v>0</v>
      </c>
      <c r="O178" s="1">
        <f t="shared" si="41"/>
        <v>3</v>
      </c>
      <c r="P178" s="1">
        <f t="shared" si="42"/>
        <v>3</v>
      </c>
      <c r="Q178" s="1">
        <f t="shared" si="43"/>
        <v>1</v>
      </c>
      <c r="R178" s="1">
        <f t="shared" si="44"/>
        <v>1</v>
      </c>
      <c r="S178" s="1">
        <f t="shared" si="45"/>
        <v>1</v>
      </c>
      <c r="T178" s="1">
        <f t="shared" si="46"/>
        <v>1</v>
      </c>
      <c r="U178" s="26">
        <f t="shared" si="47"/>
        <v>0</v>
      </c>
      <c r="V178" s="26">
        <f t="shared" si="48"/>
        <v>0</v>
      </c>
      <c r="W178" s="1">
        <f t="shared" si="49"/>
        <v>0</v>
      </c>
      <c r="X178" s="26">
        <f t="shared" si="50"/>
        <v>1</v>
      </c>
      <c r="Y178" s="26">
        <f t="shared" si="51"/>
        <v>1</v>
      </c>
      <c r="Z178" s="1">
        <f t="shared" si="52"/>
        <v>1</v>
      </c>
      <c r="AA178"/>
      <c r="AB178"/>
    </row>
    <row r="179" spans="1:28" x14ac:dyDescent="0.55000000000000004">
      <c r="A179" s="1">
        <f t="shared" si="39"/>
        <v>179</v>
      </c>
      <c r="B179" t="s">
        <v>38</v>
      </c>
      <c r="C179" t="s">
        <v>122</v>
      </c>
      <c r="D179" t="s">
        <v>42</v>
      </c>
      <c r="E179" t="s">
        <v>1613</v>
      </c>
      <c r="F179" t="s">
        <v>950</v>
      </c>
      <c r="G179" t="s">
        <v>979</v>
      </c>
      <c r="H179" t="s">
        <v>664</v>
      </c>
      <c r="I179" t="s">
        <v>929</v>
      </c>
      <c r="J179" t="s">
        <v>1622</v>
      </c>
      <c r="K179" t="s">
        <v>1102</v>
      </c>
      <c r="L179" t="s">
        <v>954</v>
      </c>
      <c r="M179" t="s">
        <v>28</v>
      </c>
      <c r="N179" s="1">
        <f t="shared" si="40"/>
        <v>2</v>
      </c>
      <c r="O179" s="1">
        <f t="shared" si="41"/>
        <v>2</v>
      </c>
      <c r="P179" s="1">
        <f t="shared" si="42"/>
        <v>4</v>
      </c>
      <c r="Q179" s="1">
        <f t="shared" si="43"/>
        <v>0</v>
      </c>
      <c r="R179" s="1">
        <f t="shared" si="44"/>
        <v>1</v>
      </c>
      <c r="S179" s="1">
        <f t="shared" si="45"/>
        <v>0</v>
      </c>
      <c r="T179" s="1">
        <f t="shared" si="46"/>
        <v>1</v>
      </c>
      <c r="U179" s="26">
        <f t="shared" si="47"/>
        <v>1</v>
      </c>
      <c r="V179" s="26">
        <f t="shared" si="48"/>
        <v>1</v>
      </c>
      <c r="W179" s="1">
        <f t="shared" si="49"/>
        <v>1</v>
      </c>
      <c r="X179" s="26">
        <f t="shared" si="50"/>
        <v>1</v>
      </c>
      <c r="Y179" s="26">
        <f t="shared" si="51"/>
        <v>1</v>
      </c>
      <c r="Z179" s="1">
        <f t="shared" si="52"/>
        <v>1</v>
      </c>
      <c r="AA179"/>
      <c r="AB179"/>
    </row>
    <row r="180" spans="1:28" x14ac:dyDescent="0.55000000000000004">
      <c r="A180" s="1">
        <f t="shared" si="39"/>
        <v>180</v>
      </c>
      <c r="B180" t="s">
        <v>38</v>
      </c>
      <c r="C180" t="s">
        <v>130</v>
      </c>
      <c r="D180" t="s">
        <v>177</v>
      </c>
      <c r="E180" t="s">
        <v>1124</v>
      </c>
      <c r="F180" t="s">
        <v>218</v>
      </c>
      <c r="G180" t="s">
        <v>940</v>
      </c>
      <c r="H180" t="s">
        <v>708</v>
      </c>
      <c r="I180" t="s">
        <v>924</v>
      </c>
      <c r="J180" t="s">
        <v>1125</v>
      </c>
      <c r="K180" t="s">
        <v>942</v>
      </c>
      <c r="L180" t="s">
        <v>912</v>
      </c>
      <c r="M180" t="s">
        <v>28</v>
      </c>
      <c r="N180" s="1">
        <f t="shared" si="40"/>
        <v>0</v>
      </c>
      <c r="O180" s="1">
        <f t="shared" si="41"/>
        <v>0</v>
      </c>
      <c r="P180" s="1">
        <f t="shared" si="42"/>
        <v>0</v>
      </c>
      <c r="Q180" s="1">
        <f t="shared" si="43"/>
        <v>0</v>
      </c>
      <c r="R180" s="1">
        <f t="shared" si="44"/>
        <v>1</v>
      </c>
      <c r="S180" s="1">
        <f t="shared" si="45"/>
        <v>0</v>
      </c>
      <c r="T180" s="1">
        <f t="shared" si="46"/>
        <v>1</v>
      </c>
      <c r="U180" s="26">
        <f t="shared" si="47"/>
        <v>0</v>
      </c>
      <c r="V180" s="26">
        <f t="shared" si="48"/>
        <v>0</v>
      </c>
      <c r="W180" s="1">
        <f t="shared" si="49"/>
        <v>1</v>
      </c>
      <c r="X180" s="26">
        <f t="shared" si="50"/>
        <v>0</v>
      </c>
      <c r="Y180" s="26">
        <f t="shared" si="51"/>
        <v>0</v>
      </c>
      <c r="Z180" s="1">
        <f t="shared" si="52"/>
        <v>0</v>
      </c>
      <c r="AA180"/>
      <c r="AB180"/>
    </row>
    <row r="181" spans="1:28" x14ac:dyDescent="0.55000000000000004">
      <c r="A181" s="1">
        <f t="shared" si="39"/>
        <v>181</v>
      </c>
      <c r="B181" t="s">
        <v>38</v>
      </c>
      <c r="C181" t="s">
        <v>124</v>
      </c>
      <c r="D181" t="s">
        <v>133</v>
      </c>
      <c r="E181" t="s">
        <v>2030</v>
      </c>
      <c r="F181" t="s">
        <v>342</v>
      </c>
      <c r="G181" t="s">
        <v>903</v>
      </c>
      <c r="H181" t="s">
        <v>722</v>
      </c>
      <c r="I181" t="s">
        <v>909</v>
      </c>
      <c r="J181" t="s">
        <v>2031</v>
      </c>
      <c r="K181" t="s">
        <v>906</v>
      </c>
      <c r="L181" t="s">
        <v>933</v>
      </c>
      <c r="M181" t="s">
        <v>28</v>
      </c>
      <c r="N181" s="1">
        <f t="shared" si="40"/>
        <v>3</v>
      </c>
      <c r="O181" s="1">
        <f t="shared" si="41"/>
        <v>0</v>
      </c>
      <c r="P181" s="1">
        <f t="shared" si="42"/>
        <v>3</v>
      </c>
      <c r="Q181" s="1">
        <f t="shared" si="43"/>
        <v>1</v>
      </c>
      <c r="R181" s="1">
        <f t="shared" si="44"/>
        <v>1</v>
      </c>
      <c r="S181" s="1">
        <f t="shared" si="45"/>
        <v>1</v>
      </c>
      <c r="T181" s="1">
        <f t="shared" si="46"/>
        <v>0</v>
      </c>
      <c r="U181" s="26">
        <f t="shared" si="47"/>
        <v>1</v>
      </c>
      <c r="V181" s="26">
        <f t="shared" si="48"/>
        <v>1</v>
      </c>
      <c r="W181" s="1">
        <f t="shared" si="49"/>
        <v>1</v>
      </c>
      <c r="X181" s="26">
        <f t="shared" si="50"/>
        <v>0</v>
      </c>
      <c r="Y181" s="26">
        <f t="shared" si="51"/>
        <v>0</v>
      </c>
      <c r="Z181" s="1">
        <f t="shared" si="52"/>
        <v>1</v>
      </c>
      <c r="AA181"/>
      <c r="AB181"/>
    </row>
    <row r="182" spans="1:28" x14ac:dyDescent="0.55000000000000004">
      <c r="A182" s="1">
        <f t="shared" si="39"/>
        <v>182</v>
      </c>
      <c r="B182" t="s">
        <v>38</v>
      </c>
      <c r="C182" t="s">
        <v>124</v>
      </c>
      <c r="D182" t="s">
        <v>133</v>
      </c>
      <c r="E182" t="s">
        <v>2030</v>
      </c>
      <c r="F182" t="s">
        <v>342</v>
      </c>
      <c r="G182" t="s">
        <v>925</v>
      </c>
      <c r="H182" t="s">
        <v>739</v>
      </c>
      <c r="I182" t="s">
        <v>981</v>
      </c>
      <c r="J182" t="s">
        <v>2032</v>
      </c>
      <c r="K182" t="s">
        <v>1082</v>
      </c>
      <c r="L182" t="s">
        <v>1097</v>
      </c>
      <c r="M182" t="s">
        <v>28</v>
      </c>
      <c r="N182" s="1">
        <f t="shared" si="40"/>
        <v>0</v>
      </c>
      <c r="O182" s="1">
        <f t="shared" si="41"/>
        <v>3</v>
      </c>
      <c r="P182" s="1">
        <f t="shared" si="42"/>
        <v>3</v>
      </c>
      <c r="Q182" s="1">
        <f t="shared" si="43"/>
        <v>1</v>
      </c>
      <c r="R182" s="1">
        <f t="shared" si="44"/>
        <v>1</v>
      </c>
      <c r="S182" s="1">
        <f t="shared" si="45"/>
        <v>1</v>
      </c>
      <c r="T182" s="1">
        <f t="shared" si="46"/>
        <v>1</v>
      </c>
      <c r="U182" s="26">
        <f t="shared" si="47"/>
        <v>0</v>
      </c>
      <c r="V182" s="26">
        <f t="shared" si="48"/>
        <v>0</v>
      </c>
      <c r="W182" s="1">
        <f t="shared" si="49"/>
        <v>0</v>
      </c>
      <c r="X182" s="26">
        <f t="shared" si="50"/>
        <v>1</v>
      </c>
      <c r="Y182" s="26">
        <f t="shared" si="51"/>
        <v>1</v>
      </c>
      <c r="Z182" s="1">
        <f t="shared" si="52"/>
        <v>1</v>
      </c>
      <c r="AA182"/>
      <c r="AB182"/>
    </row>
    <row r="183" spans="1:28" x14ac:dyDescent="0.55000000000000004">
      <c r="A183" s="1">
        <f t="shared" si="39"/>
        <v>183</v>
      </c>
      <c r="B183" t="s">
        <v>38</v>
      </c>
      <c r="C183" t="s">
        <v>124</v>
      </c>
      <c r="D183" t="s">
        <v>133</v>
      </c>
      <c r="E183" t="s">
        <v>2030</v>
      </c>
      <c r="F183" t="s">
        <v>342</v>
      </c>
      <c r="G183" t="s">
        <v>935</v>
      </c>
      <c r="H183" t="s">
        <v>708</v>
      </c>
      <c r="I183" t="s">
        <v>914</v>
      </c>
      <c r="J183" t="s">
        <v>2033</v>
      </c>
      <c r="K183" t="s">
        <v>949</v>
      </c>
      <c r="L183" t="s">
        <v>1621</v>
      </c>
      <c r="M183" t="s">
        <v>28</v>
      </c>
      <c r="N183" s="1">
        <f t="shared" si="40"/>
        <v>0</v>
      </c>
      <c r="O183" s="1">
        <f t="shared" si="41"/>
        <v>0</v>
      </c>
      <c r="P183" s="1">
        <f t="shared" si="42"/>
        <v>0</v>
      </c>
      <c r="Q183" s="1">
        <f t="shared" si="43"/>
        <v>0</v>
      </c>
      <c r="R183" s="1">
        <f t="shared" si="44"/>
        <v>1</v>
      </c>
      <c r="S183" s="1">
        <f t="shared" si="45"/>
        <v>0</v>
      </c>
      <c r="T183" s="1">
        <f t="shared" si="46"/>
        <v>1</v>
      </c>
      <c r="U183" s="26">
        <f t="shared" si="47"/>
        <v>0</v>
      </c>
      <c r="V183" s="26">
        <f t="shared" si="48"/>
        <v>0</v>
      </c>
      <c r="W183" s="1">
        <f t="shared" si="49"/>
        <v>1</v>
      </c>
      <c r="X183" s="26">
        <f t="shared" si="50"/>
        <v>0</v>
      </c>
      <c r="Y183" s="26">
        <f t="shared" si="51"/>
        <v>0</v>
      </c>
      <c r="Z183" s="1">
        <f t="shared" si="52"/>
        <v>0</v>
      </c>
      <c r="AA183"/>
      <c r="AB183"/>
    </row>
    <row r="184" spans="1:28" x14ac:dyDescent="0.55000000000000004">
      <c r="A184" s="1">
        <f t="shared" si="39"/>
        <v>184</v>
      </c>
      <c r="B184" t="s">
        <v>38</v>
      </c>
      <c r="C184" t="s">
        <v>124</v>
      </c>
      <c r="D184" t="s">
        <v>133</v>
      </c>
      <c r="E184" t="s">
        <v>2030</v>
      </c>
      <c r="F184" t="s">
        <v>950</v>
      </c>
      <c r="G184" t="s">
        <v>904</v>
      </c>
      <c r="H184" t="s">
        <v>577</v>
      </c>
      <c r="I184" t="s">
        <v>945</v>
      </c>
      <c r="J184" t="s">
        <v>2034</v>
      </c>
      <c r="K184" t="s">
        <v>952</v>
      </c>
      <c r="L184" t="s">
        <v>1087</v>
      </c>
      <c r="M184" t="s">
        <v>28</v>
      </c>
      <c r="N184" s="1">
        <f t="shared" si="40"/>
        <v>1</v>
      </c>
      <c r="O184" s="1">
        <f t="shared" si="41"/>
        <v>3</v>
      </c>
      <c r="P184" s="1">
        <f t="shared" si="42"/>
        <v>4</v>
      </c>
      <c r="Q184" s="1">
        <f t="shared" si="43"/>
        <v>1</v>
      </c>
      <c r="R184" s="1">
        <f t="shared" si="44"/>
        <v>1</v>
      </c>
      <c r="S184" s="1">
        <f t="shared" si="45"/>
        <v>1</v>
      </c>
      <c r="T184" s="1">
        <f t="shared" si="46"/>
        <v>1</v>
      </c>
      <c r="U184" s="26">
        <f t="shared" si="47"/>
        <v>1</v>
      </c>
      <c r="V184" s="26">
        <f t="shared" si="48"/>
        <v>0</v>
      </c>
      <c r="W184" s="1">
        <f t="shared" si="49"/>
        <v>0</v>
      </c>
      <c r="X184" s="26">
        <f t="shared" si="50"/>
        <v>1</v>
      </c>
      <c r="Y184" s="26">
        <f t="shared" si="51"/>
        <v>1</v>
      </c>
      <c r="Z184" s="1">
        <f t="shared" si="52"/>
        <v>1</v>
      </c>
      <c r="AA184"/>
      <c r="AB184"/>
    </row>
    <row r="185" spans="1:28" x14ac:dyDescent="0.55000000000000004">
      <c r="A185" s="1">
        <f t="shared" si="39"/>
        <v>185</v>
      </c>
      <c r="B185" t="s">
        <v>38</v>
      </c>
      <c r="C185" t="s">
        <v>124</v>
      </c>
      <c r="D185" t="s">
        <v>133</v>
      </c>
      <c r="E185" t="s">
        <v>2030</v>
      </c>
      <c r="F185" t="s">
        <v>2028</v>
      </c>
      <c r="G185" t="s">
        <v>908</v>
      </c>
      <c r="H185" t="s">
        <v>581</v>
      </c>
      <c r="I185" t="s">
        <v>979</v>
      </c>
      <c r="J185" t="s">
        <v>2035</v>
      </c>
      <c r="K185" t="s">
        <v>911</v>
      </c>
      <c r="L185" t="s">
        <v>1619</v>
      </c>
      <c r="M185" t="s">
        <v>28</v>
      </c>
      <c r="N185" s="1">
        <f t="shared" si="40"/>
        <v>1</v>
      </c>
      <c r="O185" s="1">
        <f t="shared" si="41"/>
        <v>2</v>
      </c>
      <c r="P185" s="1">
        <f t="shared" si="42"/>
        <v>3</v>
      </c>
      <c r="Q185" s="1">
        <f t="shared" si="43"/>
        <v>1</v>
      </c>
      <c r="R185" s="1">
        <f t="shared" si="44"/>
        <v>1</v>
      </c>
      <c r="S185" s="1">
        <f t="shared" si="45"/>
        <v>1</v>
      </c>
      <c r="T185" s="1">
        <f t="shared" si="46"/>
        <v>1</v>
      </c>
      <c r="U185" s="26">
        <f t="shared" si="47"/>
        <v>1</v>
      </c>
      <c r="V185" s="26">
        <f t="shared" si="48"/>
        <v>0</v>
      </c>
      <c r="W185" s="1">
        <f t="shared" si="49"/>
        <v>1</v>
      </c>
      <c r="X185" s="26">
        <f t="shared" si="50"/>
        <v>1</v>
      </c>
      <c r="Y185" s="26">
        <f t="shared" si="51"/>
        <v>1</v>
      </c>
      <c r="Z185" s="1">
        <f t="shared" si="52"/>
        <v>1</v>
      </c>
      <c r="AA185"/>
      <c r="AB185"/>
    </row>
    <row r="186" spans="1:28" x14ac:dyDescent="0.55000000000000004">
      <c r="A186" s="1">
        <f t="shared" si="39"/>
        <v>186</v>
      </c>
      <c r="B186" t="s">
        <v>38</v>
      </c>
      <c r="C186" t="s">
        <v>124</v>
      </c>
      <c r="D186" t="s">
        <v>133</v>
      </c>
      <c r="E186" t="s">
        <v>2030</v>
      </c>
      <c r="F186" t="s">
        <v>956</v>
      </c>
      <c r="G186" t="s">
        <v>929</v>
      </c>
      <c r="H186" t="s">
        <v>590</v>
      </c>
      <c r="I186" t="s">
        <v>919</v>
      </c>
      <c r="J186" t="s">
        <v>2036</v>
      </c>
      <c r="K186" t="s">
        <v>932</v>
      </c>
      <c r="L186" t="s">
        <v>1078</v>
      </c>
      <c r="M186" t="s">
        <v>28</v>
      </c>
      <c r="N186" s="1">
        <f t="shared" si="40"/>
        <v>0</v>
      </c>
      <c r="O186" s="1">
        <f t="shared" si="41"/>
        <v>1</v>
      </c>
      <c r="P186" s="1">
        <f t="shared" si="42"/>
        <v>1</v>
      </c>
      <c r="Q186" s="1">
        <f t="shared" si="43"/>
        <v>1</v>
      </c>
      <c r="R186" s="1">
        <f t="shared" si="44"/>
        <v>1</v>
      </c>
      <c r="S186" s="1">
        <f t="shared" si="45"/>
        <v>1</v>
      </c>
      <c r="T186" s="1">
        <f t="shared" si="46"/>
        <v>1</v>
      </c>
      <c r="U186" s="26">
        <f t="shared" si="47"/>
        <v>0</v>
      </c>
      <c r="V186" s="26">
        <f t="shared" si="48"/>
        <v>0</v>
      </c>
      <c r="W186" s="1">
        <f t="shared" si="49"/>
        <v>1</v>
      </c>
      <c r="X186" s="26">
        <f t="shared" si="50"/>
        <v>1</v>
      </c>
      <c r="Y186" s="26">
        <f t="shared" si="51"/>
        <v>0</v>
      </c>
      <c r="Z186" s="1">
        <f t="shared" si="52"/>
        <v>0</v>
      </c>
      <c r="AA186"/>
      <c r="AB186"/>
    </row>
    <row r="187" spans="1:28" x14ac:dyDescent="0.55000000000000004">
      <c r="A187" s="1">
        <f t="shared" si="39"/>
        <v>187</v>
      </c>
      <c r="B187" t="s">
        <v>38</v>
      </c>
      <c r="C187" t="s">
        <v>124</v>
      </c>
      <c r="D187" t="s">
        <v>133</v>
      </c>
      <c r="E187" t="s">
        <v>2030</v>
      </c>
      <c r="F187" t="s">
        <v>390</v>
      </c>
      <c r="G187" t="s">
        <v>930</v>
      </c>
      <c r="H187" t="s">
        <v>722</v>
      </c>
      <c r="I187" t="s">
        <v>898</v>
      </c>
      <c r="J187" t="s">
        <v>2037</v>
      </c>
      <c r="K187" t="s">
        <v>976</v>
      </c>
      <c r="L187" t="s">
        <v>1103</v>
      </c>
      <c r="M187" t="s">
        <v>28</v>
      </c>
      <c r="N187" s="1">
        <f t="shared" si="40"/>
        <v>3</v>
      </c>
      <c r="O187" s="1">
        <f t="shared" si="41"/>
        <v>0</v>
      </c>
      <c r="P187" s="1">
        <f t="shared" si="42"/>
        <v>3</v>
      </c>
      <c r="Q187" s="1">
        <f t="shared" si="43"/>
        <v>1</v>
      </c>
      <c r="R187" s="1">
        <f t="shared" si="44"/>
        <v>1</v>
      </c>
      <c r="S187" s="1">
        <f t="shared" si="45"/>
        <v>1</v>
      </c>
      <c r="T187" s="1">
        <f t="shared" si="46"/>
        <v>0</v>
      </c>
      <c r="U187" s="26">
        <f t="shared" si="47"/>
        <v>1</v>
      </c>
      <c r="V187" s="26">
        <f t="shared" si="48"/>
        <v>1</v>
      </c>
      <c r="W187" s="1">
        <f t="shared" si="49"/>
        <v>1</v>
      </c>
      <c r="X187" s="26">
        <f t="shared" si="50"/>
        <v>0</v>
      </c>
      <c r="Y187" s="26">
        <f t="shared" si="51"/>
        <v>0</v>
      </c>
      <c r="Z187" s="1">
        <f t="shared" si="52"/>
        <v>1</v>
      </c>
      <c r="AA187"/>
      <c r="AB187"/>
    </row>
    <row r="188" spans="1:28" x14ac:dyDescent="0.55000000000000004">
      <c r="A188" s="1">
        <f t="shared" si="39"/>
        <v>188</v>
      </c>
      <c r="B188" t="s">
        <v>38</v>
      </c>
      <c r="C188" t="s">
        <v>124</v>
      </c>
      <c r="D188" t="s">
        <v>42</v>
      </c>
      <c r="E188" t="s">
        <v>1623</v>
      </c>
      <c r="F188" t="s">
        <v>923</v>
      </c>
      <c r="G188" t="s">
        <v>924</v>
      </c>
      <c r="H188" t="s">
        <v>1214</v>
      </c>
      <c r="I188" t="s">
        <v>899</v>
      </c>
      <c r="J188" t="s">
        <v>1624</v>
      </c>
      <c r="K188" t="s">
        <v>927</v>
      </c>
      <c r="L188" t="s">
        <v>984</v>
      </c>
      <c r="M188" t="s">
        <v>28</v>
      </c>
      <c r="N188" s="1">
        <f t="shared" si="40"/>
        <v>4</v>
      </c>
      <c r="O188" s="1">
        <f t="shared" si="41"/>
        <v>2</v>
      </c>
      <c r="P188" s="1">
        <f t="shared" si="42"/>
        <v>6</v>
      </c>
      <c r="Q188" s="1">
        <f t="shared" si="43"/>
        <v>1</v>
      </c>
      <c r="R188" s="1">
        <f t="shared" si="44"/>
        <v>0</v>
      </c>
      <c r="S188" s="1">
        <f t="shared" si="45"/>
        <v>0</v>
      </c>
      <c r="T188" s="1">
        <f t="shared" si="46"/>
        <v>0</v>
      </c>
      <c r="U188" s="26">
        <f t="shared" si="47"/>
        <v>0</v>
      </c>
      <c r="V188" s="26">
        <f t="shared" si="48"/>
        <v>1</v>
      </c>
      <c r="W188" s="1">
        <f t="shared" si="49"/>
        <v>1</v>
      </c>
      <c r="X188" s="26">
        <f t="shared" si="50"/>
        <v>1</v>
      </c>
      <c r="Y188" s="26">
        <f t="shared" si="51"/>
        <v>1</v>
      </c>
      <c r="Z188" s="1">
        <f t="shared" si="52"/>
        <v>1</v>
      </c>
      <c r="AA188"/>
      <c r="AB188"/>
    </row>
    <row r="189" spans="1:28" x14ac:dyDescent="0.55000000000000004">
      <c r="A189" s="1">
        <f t="shared" si="39"/>
        <v>189</v>
      </c>
      <c r="B189" t="s">
        <v>38</v>
      </c>
      <c r="C189" t="s">
        <v>124</v>
      </c>
      <c r="D189" t="s">
        <v>42</v>
      </c>
      <c r="E189" t="s">
        <v>1623</v>
      </c>
      <c r="F189" t="s">
        <v>923</v>
      </c>
      <c r="G189" t="s">
        <v>934</v>
      </c>
      <c r="H189" t="s">
        <v>608</v>
      </c>
      <c r="I189" t="s">
        <v>913</v>
      </c>
      <c r="J189" t="s">
        <v>1625</v>
      </c>
      <c r="K189" t="s">
        <v>937</v>
      </c>
      <c r="L189" t="s">
        <v>944</v>
      </c>
      <c r="M189" t="s">
        <v>28</v>
      </c>
      <c r="N189" s="1">
        <f t="shared" si="40"/>
        <v>1</v>
      </c>
      <c r="O189" s="1">
        <f t="shared" si="41"/>
        <v>1</v>
      </c>
      <c r="P189" s="1">
        <f t="shared" si="42"/>
        <v>2</v>
      </c>
      <c r="Q189" s="1">
        <f t="shared" si="43"/>
        <v>0</v>
      </c>
      <c r="R189" s="1">
        <f t="shared" si="44"/>
        <v>1</v>
      </c>
      <c r="S189" s="1">
        <f t="shared" si="45"/>
        <v>0</v>
      </c>
      <c r="T189" s="1">
        <f t="shared" si="46"/>
        <v>1</v>
      </c>
      <c r="U189" s="26">
        <f t="shared" si="47"/>
        <v>1</v>
      </c>
      <c r="V189" s="26">
        <f t="shared" si="48"/>
        <v>0</v>
      </c>
      <c r="W189" s="1">
        <f t="shared" si="49"/>
        <v>1</v>
      </c>
      <c r="X189" s="26">
        <f t="shared" si="50"/>
        <v>1</v>
      </c>
      <c r="Y189" s="26">
        <f t="shared" si="51"/>
        <v>0</v>
      </c>
      <c r="Z189" s="1">
        <f t="shared" si="52"/>
        <v>1</v>
      </c>
      <c r="AA189"/>
      <c r="AB189"/>
    </row>
    <row r="190" spans="1:28" x14ac:dyDescent="0.55000000000000004">
      <c r="A190" s="1">
        <f t="shared" si="39"/>
        <v>190</v>
      </c>
      <c r="B190" t="s">
        <v>38</v>
      </c>
      <c r="C190" t="s">
        <v>124</v>
      </c>
      <c r="D190" t="s">
        <v>42</v>
      </c>
      <c r="E190" t="s">
        <v>1623</v>
      </c>
      <c r="F190" t="s">
        <v>950</v>
      </c>
      <c r="G190" t="s">
        <v>940</v>
      </c>
      <c r="H190" t="s">
        <v>579</v>
      </c>
      <c r="I190" t="s">
        <v>918</v>
      </c>
      <c r="J190" t="s">
        <v>1626</v>
      </c>
      <c r="K190" t="s">
        <v>942</v>
      </c>
      <c r="L190" t="s">
        <v>1092</v>
      </c>
      <c r="M190" t="s">
        <v>28</v>
      </c>
      <c r="N190" s="1">
        <f t="shared" si="40"/>
        <v>2</v>
      </c>
      <c r="O190" s="1">
        <f t="shared" si="41"/>
        <v>1</v>
      </c>
      <c r="P190" s="1">
        <f t="shared" si="42"/>
        <v>3</v>
      </c>
      <c r="Q190" s="1">
        <f t="shared" si="43"/>
        <v>1</v>
      </c>
      <c r="R190" s="1">
        <f t="shared" si="44"/>
        <v>1</v>
      </c>
      <c r="S190" s="1">
        <f t="shared" si="45"/>
        <v>1</v>
      </c>
      <c r="T190" s="1">
        <f t="shared" si="46"/>
        <v>1</v>
      </c>
      <c r="U190" s="26">
        <f t="shared" si="47"/>
        <v>1</v>
      </c>
      <c r="V190" s="26">
        <f t="shared" si="48"/>
        <v>1</v>
      </c>
      <c r="W190" s="1">
        <f t="shared" si="49"/>
        <v>1</v>
      </c>
      <c r="X190" s="26">
        <f t="shared" si="50"/>
        <v>1</v>
      </c>
      <c r="Y190" s="26">
        <f t="shared" si="51"/>
        <v>0</v>
      </c>
      <c r="Z190" s="1">
        <f t="shared" si="52"/>
        <v>1</v>
      </c>
      <c r="AA190"/>
      <c r="AB190"/>
    </row>
    <row r="191" spans="1:28" x14ac:dyDescent="0.55000000000000004">
      <c r="A191" s="1">
        <f t="shared" si="39"/>
        <v>191</v>
      </c>
      <c r="B191" t="s">
        <v>38</v>
      </c>
      <c r="C191" t="s">
        <v>126</v>
      </c>
      <c r="D191" t="s">
        <v>133</v>
      </c>
      <c r="E191" t="s">
        <v>2038</v>
      </c>
      <c r="F191" t="s">
        <v>2028</v>
      </c>
      <c r="G191" t="s">
        <v>934</v>
      </c>
      <c r="H191" t="s">
        <v>581</v>
      </c>
      <c r="I191" t="s">
        <v>925</v>
      </c>
      <c r="J191" t="s">
        <v>2039</v>
      </c>
      <c r="K191" t="s">
        <v>937</v>
      </c>
      <c r="L191" t="s">
        <v>1092</v>
      </c>
      <c r="M191" t="s">
        <v>28</v>
      </c>
      <c r="N191" s="1">
        <f t="shared" si="40"/>
        <v>1</v>
      </c>
      <c r="O191" s="1">
        <f t="shared" si="41"/>
        <v>2</v>
      </c>
      <c r="P191" s="1">
        <f t="shared" si="42"/>
        <v>3</v>
      </c>
      <c r="Q191" s="1">
        <f t="shared" si="43"/>
        <v>1</v>
      </c>
      <c r="R191" s="1">
        <f t="shared" si="44"/>
        <v>1</v>
      </c>
      <c r="S191" s="1">
        <f t="shared" si="45"/>
        <v>1</v>
      </c>
      <c r="T191" s="1">
        <f t="shared" si="46"/>
        <v>1</v>
      </c>
      <c r="U191" s="26">
        <f t="shared" si="47"/>
        <v>1</v>
      </c>
      <c r="V191" s="26">
        <f t="shared" si="48"/>
        <v>0</v>
      </c>
      <c r="W191" s="1">
        <f t="shared" si="49"/>
        <v>1</v>
      </c>
      <c r="X191" s="26">
        <f t="shared" si="50"/>
        <v>1</v>
      </c>
      <c r="Y191" s="26">
        <f t="shared" si="51"/>
        <v>1</v>
      </c>
      <c r="Z191" s="1">
        <f t="shared" si="52"/>
        <v>1</v>
      </c>
      <c r="AA191"/>
      <c r="AB191"/>
    </row>
    <row r="192" spans="1:28" x14ac:dyDescent="0.55000000000000004">
      <c r="A192" s="1">
        <f t="shared" si="39"/>
        <v>192</v>
      </c>
      <c r="B192" t="s">
        <v>38</v>
      </c>
      <c r="C192" t="s">
        <v>126</v>
      </c>
      <c r="D192" t="s">
        <v>133</v>
      </c>
      <c r="E192" t="s">
        <v>2038</v>
      </c>
      <c r="F192" t="s">
        <v>956</v>
      </c>
      <c r="G192" t="s">
        <v>919</v>
      </c>
      <c r="H192" t="s">
        <v>608</v>
      </c>
      <c r="I192" t="s">
        <v>908</v>
      </c>
      <c r="J192" t="s">
        <v>2040</v>
      </c>
      <c r="K192" t="s">
        <v>968</v>
      </c>
      <c r="L192" t="s">
        <v>902</v>
      </c>
      <c r="M192" t="s">
        <v>28</v>
      </c>
      <c r="N192" s="1">
        <f t="shared" si="40"/>
        <v>1</v>
      </c>
      <c r="O192" s="1">
        <f t="shared" si="41"/>
        <v>1</v>
      </c>
      <c r="P192" s="1">
        <f t="shared" si="42"/>
        <v>2</v>
      </c>
      <c r="Q192" s="1">
        <f t="shared" si="43"/>
        <v>0</v>
      </c>
      <c r="R192" s="1">
        <f t="shared" si="44"/>
        <v>1</v>
      </c>
      <c r="S192" s="1">
        <f t="shared" si="45"/>
        <v>0</v>
      </c>
      <c r="T192" s="1">
        <f t="shared" si="46"/>
        <v>1</v>
      </c>
      <c r="U192" s="26">
        <f t="shared" si="47"/>
        <v>1</v>
      </c>
      <c r="V192" s="26">
        <f t="shared" si="48"/>
        <v>0</v>
      </c>
      <c r="W192" s="1">
        <f t="shared" si="49"/>
        <v>1</v>
      </c>
      <c r="X192" s="26">
        <f t="shared" si="50"/>
        <v>1</v>
      </c>
      <c r="Y192" s="26">
        <f t="shared" si="51"/>
        <v>0</v>
      </c>
      <c r="Z192" s="1">
        <f t="shared" si="52"/>
        <v>1</v>
      </c>
      <c r="AA192"/>
      <c r="AB192"/>
    </row>
    <row r="193" spans="1:28" x14ac:dyDescent="0.55000000000000004">
      <c r="A193" s="1">
        <f t="shared" si="39"/>
        <v>193</v>
      </c>
      <c r="B193" t="s">
        <v>38</v>
      </c>
      <c r="C193" t="s">
        <v>126</v>
      </c>
      <c r="D193" t="s">
        <v>133</v>
      </c>
      <c r="E193" t="s">
        <v>2038</v>
      </c>
      <c r="F193" t="s">
        <v>956</v>
      </c>
      <c r="G193" t="s">
        <v>918</v>
      </c>
      <c r="H193" t="s">
        <v>590</v>
      </c>
      <c r="I193" t="s">
        <v>979</v>
      </c>
      <c r="J193" t="s">
        <v>2041</v>
      </c>
      <c r="K193" t="s">
        <v>921</v>
      </c>
      <c r="L193" t="s">
        <v>907</v>
      </c>
      <c r="M193" t="s">
        <v>28</v>
      </c>
      <c r="N193" s="1">
        <f t="shared" si="40"/>
        <v>0</v>
      </c>
      <c r="O193" s="1">
        <f t="shared" si="41"/>
        <v>1</v>
      </c>
      <c r="P193" s="1">
        <f t="shared" si="42"/>
        <v>1</v>
      </c>
      <c r="Q193" s="1">
        <f t="shared" si="43"/>
        <v>1</v>
      </c>
      <c r="R193" s="1">
        <f t="shared" si="44"/>
        <v>1</v>
      </c>
      <c r="S193" s="1">
        <f t="shared" si="45"/>
        <v>1</v>
      </c>
      <c r="T193" s="1">
        <f t="shared" si="46"/>
        <v>1</v>
      </c>
      <c r="U193" s="26">
        <f t="shared" si="47"/>
        <v>0</v>
      </c>
      <c r="V193" s="26">
        <f t="shared" si="48"/>
        <v>0</v>
      </c>
      <c r="W193" s="1">
        <f t="shared" si="49"/>
        <v>1</v>
      </c>
      <c r="X193" s="26">
        <f t="shared" si="50"/>
        <v>1</v>
      </c>
      <c r="Y193" s="26">
        <f t="shared" si="51"/>
        <v>0</v>
      </c>
      <c r="Z193" s="1">
        <f t="shared" si="52"/>
        <v>0</v>
      </c>
      <c r="AA193"/>
      <c r="AB193"/>
    </row>
    <row r="194" spans="1:28" x14ac:dyDescent="0.55000000000000004">
      <c r="A194" s="1">
        <f t="shared" si="39"/>
        <v>194</v>
      </c>
      <c r="B194" t="s">
        <v>38</v>
      </c>
      <c r="C194" t="s">
        <v>126</v>
      </c>
      <c r="D194" t="s">
        <v>133</v>
      </c>
      <c r="E194" t="s">
        <v>2038</v>
      </c>
      <c r="F194" t="s">
        <v>390</v>
      </c>
      <c r="G194" t="s">
        <v>898</v>
      </c>
      <c r="H194" t="s">
        <v>664</v>
      </c>
      <c r="I194" t="s">
        <v>924</v>
      </c>
      <c r="J194" t="s">
        <v>2042</v>
      </c>
      <c r="K194" t="s">
        <v>901</v>
      </c>
      <c r="L194" t="s">
        <v>1087</v>
      </c>
      <c r="M194" t="s">
        <v>28</v>
      </c>
      <c r="N194" s="1">
        <f t="shared" si="40"/>
        <v>2</v>
      </c>
      <c r="O194" s="1">
        <f t="shared" si="41"/>
        <v>2</v>
      </c>
      <c r="P194" s="1">
        <f t="shared" si="42"/>
        <v>4</v>
      </c>
      <c r="Q194" s="1">
        <f t="shared" si="43"/>
        <v>0</v>
      </c>
      <c r="R194" s="1">
        <f t="shared" si="44"/>
        <v>1</v>
      </c>
      <c r="S194" s="1">
        <f t="shared" si="45"/>
        <v>0</v>
      </c>
      <c r="T194" s="1">
        <f t="shared" si="46"/>
        <v>1</v>
      </c>
      <c r="U194" s="26">
        <f t="shared" si="47"/>
        <v>1</v>
      </c>
      <c r="V194" s="26">
        <f t="shared" si="48"/>
        <v>1</v>
      </c>
      <c r="W194" s="1">
        <f t="shared" si="49"/>
        <v>1</v>
      </c>
      <c r="X194" s="26">
        <f t="shared" si="50"/>
        <v>1</v>
      </c>
      <c r="Y194" s="26">
        <f t="shared" si="51"/>
        <v>1</v>
      </c>
      <c r="Z194" s="1">
        <f t="shared" si="52"/>
        <v>1</v>
      </c>
      <c r="AA194"/>
      <c r="AB194"/>
    </row>
    <row r="195" spans="1:28" x14ac:dyDescent="0.55000000000000004">
      <c r="A195" s="1">
        <f t="shared" ref="A195:A258" si="53">A194+1</f>
        <v>195</v>
      </c>
      <c r="B195" t="s">
        <v>38</v>
      </c>
      <c r="C195" t="s">
        <v>126</v>
      </c>
      <c r="D195" t="s">
        <v>42</v>
      </c>
      <c r="E195" t="s">
        <v>1627</v>
      </c>
      <c r="F195" t="s">
        <v>342</v>
      </c>
      <c r="G195" t="s">
        <v>909</v>
      </c>
      <c r="H195" t="s">
        <v>575</v>
      </c>
      <c r="I195" t="s">
        <v>981</v>
      </c>
      <c r="J195" t="s">
        <v>1628</v>
      </c>
      <c r="K195" t="s">
        <v>965</v>
      </c>
      <c r="L195" t="s">
        <v>1078</v>
      </c>
      <c r="M195" t="s">
        <v>28</v>
      </c>
      <c r="N195" s="1">
        <f t="shared" ref="N195:N258" si="54">VALUE(LEFT(H195,1))</f>
        <v>1</v>
      </c>
      <c r="O195" s="1">
        <f t="shared" ref="O195:O258" si="55">VALUE(RIGHT(H195,1))</f>
        <v>0</v>
      </c>
      <c r="P195" s="1">
        <f t="shared" ref="P195:P258" si="56">SUM(N195,O195)</f>
        <v>1</v>
      </c>
      <c r="Q195" s="1">
        <f t="shared" ref="Q195:Q258" si="57">IF(N195&lt;&gt;O195, 1, 0)</f>
        <v>1</v>
      </c>
      <c r="R195" s="1">
        <f t="shared" ref="R195:R258" si="58">IF(P195&lt;=4,1,0)</f>
        <v>1</v>
      </c>
      <c r="S195" s="1">
        <f t="shared" ref="S195:S258" si="59">IF(AND(Q195=1,R195=1),1,0)</f>
        <v>1</v>
      </c>
      <c r="T195" s="1">
        <f t="shared" ref="T195:T258" si="60">IF(N195&lt;=2,1,0)</f>
        <v>1</v>
      </c>
      <c r="U195" s="26">
        <f t="shared" ref="U195:U258" si="61">IF(AND(N195&gt;=1,N195&lt;=3),1,0)</f>
        <v>1</v>
      </c>
      <c r="V195" s="26">
        <f t="shared" ref="V195:V258" si="62">IF(AND(N195&gt;=2,N195&lt;=5),1,0)</f>
        <v>0</v>
      </c>
      <c r="W195" s="1">
        <f t="shared" ref="W195:W258" si="63">IF(O195&lt;=2,1,0)</f>
        <v>1</v>
      </c>
      <c r="X195" s="26">
        <f t="shared" ref="X195:X258" si="64">IF(AND(O195&gt;=1,O195&lt;=3),1,0)</f>
        <v>0</v>
      </c>
      <c r="Y195" s="26">
        <f t="shared" ref="Y195:Y258" si="65">IF(AND(O195&gt;=2,O195&lt;=5),1,0)</f>
        <v>0</v>
      </c>
      <c r="Z195" s="1">
        <f t="shared" ref="Z195:Z258" si="66">IF(P195&gt;=2,1,0)</f>
        <v>0</v>
      </c>
      <c r="AA195"/>
      <c r="AB195"/>
    </row>
    <row r="196" spans="1:28" x14ac:dyDescent="0.55000000000000004">
      <c r="A196" s="1">
        <f t="shared" si="53"/>
        <v>196</v>
      </c>
      <c r="B196" t="s">
        <v>38</v>
      </c>
      <c r="C196" t="s">
        <v>126</v>
      </c>
      <c r="D196" t="s">
        <v>42</v>
      </c>
      <c r="E196" t="s">
        <v>1627</v>
      </c>
      <c r="F196" t="s">
        <v>956</v>
      </c>
      <c r="G196" t="s">
        <v>914</v>
      </c>
      <c r="H196" t="s">
        <v>739</v>
      </c>
      <c r="I196" t="s">
        <v>904</v>
      </c>
      <c r="J196" t="s">
        <v>1629</v>
      </c>
      <c r="K196" t="s">
        <v>901</v>
      </c>
      <c r="L196" t="s">
        <v>1095</v>
      </c>
      <c r="M196" t="s">
        <v>28</v>
      </c>
      <c r="N196" s="1">
        <f t="shared" si="54"/>
        <v>0</v>
      </c>
      <c r="O196" s="1">
        <f t="shared" si="55"/>
        <v>3</v>
      </c>
      <c r="P196" s="1">
        <f t="shared" si="56"/>
        <v>3</v>
      </c>
      <c r="Q196" s="1">
        <f t="shared" si="57"/>
        <v>1</v>
      </c>
      <c r="R196" s="1">
        <f t="shared" si="58"/>
        <v>1</v>
      </c>
      <c r="S196" s="1">
        <f t="shared" si="59"/>
        <v>1</v>
      </c>
      <c r="T196" s="1">
        <f t="shared" si="60"/>
        <v>1</v>
      </c>
      <c r="U196" s="26">
        <f t="shared" si="61"/>
        <v>0</v>
      </c>
      <c r="V196" s="26">
        <f t="shared" si="62"/>
        <v>0</v>
      </c>
      <c r="W196" s="1">
        <f t="shared" si="63"/>
        <v>0</v>
      </c>
      <c r="X196" s="26">
        <f t="shared" si="64"/>
        <v>1</v>
      </c>
      <c r="Y196" s="26">
        <f t="shared" si="65"/>
        <v>1</v>
      </c>
      <c r="Z196" s="1">
        <f t="shared" si="66"/>
        <v>1</v>
      </c>
      <c r="AA196"/>
      <c r="AB196"/>
    </row>
    <row r="197" spans="1:28" x14ac:dyDescent="0.55000000000000004">
      <c r="A197" s="1">
        <f t="shared" si="53"/>
        <v>197</v>
      </c>
      <c r="B197" t="s">
        <v>38</v>
      </c>
      <c r="C197" t="s">
        <v>126</v>
      </c>
      <c r="D197" t="s">
        <v>42</v>
      </c>
      <c r="E197" t="s">
        <v>1627</v>
      </c>
      <c r="F197" t="s">
        <v>956</v>
      </c>
      <c r="G197" t="s">
        <v>913</v>
      </c>
      <c r="H197" t="s">
        <v>590</v>
      </c>
      <c r="I197" t="s">
        <v>935</v>
      </c>
      <c r="J197" t="s">
        <v>1630</v>
      </c>
      <c r="K197" t="s">
        <v>916</v>
      </c>
      <c r="L197" t="s">
        <v>1129</v>
      </c>
      <c r="M197" t="s">
        <v>28</v>
      </c>
      <c r="N197" s="1">
        <f t="shared" si="54"/>
        <v>0</v>
      </c>
      <c r="O197" s="1">
        <f t="shared" si="55"/>
        <v>1</v>
      </c>
      <c r="P197" s="1">
        <f t="shared" si="56"/>
        <v>1</v>
      </c>
      <c r="Q197" s="1">
        <f t="shared" si="57"/>
        <v>1</v>
      </c>
      <c r="R197" s="1">
        <f t="shared" si="58"/>
        <v>1</v>
      </c>
      <c r="S197" s="1">
        <f t="shared" si="59"/>
        <v>1</v>
      </c>
      <c r="T197" s="1">
        <f t="shared" si="60"/>
        <v>1</v>
      </c>
      <c r="U197" s="26">
        <f t="shared" si="61"/>
        <v>0</v>
      </c>
      <c r="V197" s="26">
        <f t="shared" si="62"/>
        <v>0</v>
      </c>
      <c r="W197" s="1">
        <f t="shared" si="63"/>
        <v>1</v>
      </c>
      <c r="X197" s="26">
        <f t="shared" si="64"/>
        <v>1</v>
      </c>
      <c r="Y197" s="26">
        <f t="shared" si="65"/>
        <v>0</v>
      </c>
      <c r="Z197" s="1">
        <f t="shared" si="66"/>
        <v>0</v>
      </c>
      <c r="AA197"/>
      <c r="AB197"/>
    </row>
    <row r="198" spans="1:28" x14ac:dyDescent="0.55000000000000004">
      <c r="A198" s="1">
        <f t="shared" si="53"/>
        <v>198</v>
      </c>
      <c r="B198" t="s">
        <v>38</v>
      </c>
      <c r="C198" t="s">
        <v>126</v>
      </c>
      <c r="D198" t="s">
        <v>42</v>
      </c>
      <c r="E198" t="s">
        <v>1627</v>
      </c>
      <c r="F198" t="s">
        <v>956</v>
      </c>
      <c r="G198" t="s">
        <v>945</v>
      </c>
      <c r="H198" t="s">
        <v>579</v>
      </c>
      <c r="I198" t="s">
        <v>903</v>
      </c>
      <c r="J198" t="s">
        <v>1631</v>
      </c>
      <c r="K198" t="s">
        <v>947</v>
      </c>
      <c r="L198" t="s">
        <v>1632</v>
      </c>
      <c r="M198" t="s">
        <v>28</v>
      </c>
      <c r="N198" s="1">
        <f t="shared" si="54"/>
        <v>2</v>
      </c>
      <c r="O198" s="1">
        <f t="shared" si="55"/>
        <v>1</v>
      </c>
      <c r="P198" s="1">
        <f t="shared" si="56"/>
        <v>3</v>
      </c>
      <c r="Q198" s="1">
        <f t="shared" si="57"/>
        <v>1</v>
      </c>
      <c r="R198" s="1">
        <f t="shared" si="58"/>
        <v>1</v>
      </c>
      <c r="S198" s="1">
        <f t="shared" si="59"/>
        <v>1</v>
      </c>
      <c r="T198" s="1">
        <f t="shared" si="60"/>
        <v>1</v>
      </c>
      <c r="U198" s="26">
        <f t="shared" si="61"/>
        <v>1</v>
      </c>
      <c r="V198" s="26">
        <f t="shared" si="62"/>
        <v>1</v>
      </c>
      <c r="W198" s="1">
        <f t="shared" si="63"/>
        <v>1</v>
      </c>
      <c r="X198" s="26">
        <f t="shared" si="64"/>
        <v>1</v>
      </c>
      <c r="Y198" s="26">
        <f t="shared" si="65"/>
        <v>0</v>
      </c>
      <c r="Z198" s="1">
        <f t="shared" si="66"/>
        <v>1</v>
      </c>
      <c r="AA198"/>
      <c r="AB198"/>
    </row>
    <row r="199" spans="1:28" x14ac:dyDescent="0.55000000000000004">
      <c r="A199" s="1">
        <f t="shared" si="53"/>
        <v>199</v>
      </c>
      <c r="B199" t="s">
        <v>38</v>
      </c>
      <c r="C199" t="s">
        <v>126</v>
      </c>
      <c r="D199" t="s">
        <v>42</v>
      </c>
      <c r="E199" t="s">
        <v>1627</v>
      </c>
      <c r="F199" t="s">
        <v>1633</v>
      </c>
      <c r="G199" t="s">
        <v>899</v>
      </c>
      <c r="H199" t="s">
        <v>708</v>
      </c>
      <c r="I199" t="s">
        <v>929</v>
      </c>
      <c r="J199" t="s">
        <v>1634</v>
      </c>
      <c r="K199" t="s">
        <v>973</v>
      </c>
      <c r="L199" t="s">
        <v>974</v>
      </c>
      <c r="M199" t="s">
        <v>28</v>
      </c>
      <c r="N199" s="1">
        <f t="shared" si="54"/>
        <v>0</v>
      </c>
      <c r="O199" s="1">
        <f t="shared" si="55"/>
        <v>0</v>
      </c>
      <c r="P199" s="1">
        <f t="shared" si="56"/>
        <v>0</v>
      </c>
      <c r="Q199" s="1">
        <f t="shared" si="57"/>
        <v>0</v>
      </c>
      <c r="R199" s="1">
        <f t="shared" si="58"/>
        <v>1</v>
      </c>
      <c r="S199" s="1">
        <f t="shared" si="59"/>
        <v>0</v>
      </c>
      <c r="T199" s="1">
        <f t="shared" si="60"/>
        <v>1</v>
      </c>
      <c r="U199" s="26">
        <f t="shared" si="61"/>
        <v>0</v>
      </c>
      <c r="V199" s="26">
        <f t="shared" si="62"/>
        <v>0</v>
      </c>
      <c r="W199" s="1">
        <f t="shared" si="63"/>
        <v>1</v>
      </c>
      <c r="X199" s="26">
        <f t="shared" si="64"/>
        <v>0</v>
      </c>
      <c r="Y199" s="26">
        <f t="shared" si="65"/>
        <v>0</v>
      </c>
      <c r="Z199" s="1">
        <f t="shared" si="66"/>
        <v>0</v>
      </c>
      <c r="AA199"/>
      <c r="AB199"/>
    </row>
    <row r="200" spans="1:28" x14ac:dyDescent="0.55000000000000004">
      <c r="A200" s="1">
        <f t="shared" si="53"/>
        <v>200</v>
      </c>
      <c r="B200" t="s">
        <v>38</v>
      </c>
      <c r="C200" t="s">
        <v>128</v>
      </c>
      <c r="D200" t="s">
        <v>133</v>
      </c>
      <c r="E200" t="s">
        <v>2043</v>
      </c>
      <c r="F200" t="s">
        <v>950</v>
      </c>
      <c r="G200" t="s">
        <v>935</v>
      </c>
      <c r="H200" t="s">
        <v>683</v>
      </c>
      <c r="I200" t="s">
        <v>909</v>
      </c>
      <c r="J200" t="s">
        <v>2044</v>
      </c>
      <c r="K200" t="s">
        <v>949</v>
      </c>
      <c r="L200" t="s">
        <v>966</v>
      </c>
      <c r="M200" t="s">
        <v>28</v>
      </c>
      <c r="N200" s="1">
        <f t="shared" si="54"/>
        <v>3</v>
      </c>
      <c r="O200" s="1">
        <f t="shared" si="55"/>
        <v>2</v>
      </c>
      <c r="P200" s="1">
        <f t="shared" si="56"/>
        <v>5</v>
      </c>
      <c r="Q200" s="1">
        <f t="shared" si="57"/>
        <v>1</v>
      </c>
      <c r="R200" s="1">
        <f t="shared" si="58"/>
        <v>0</v>
      </c>
      <c r="S200" s="1">
        <f t="shared" si="59"/>
        <v>0</v>
      </c>
      <c r="T200" s="1">
        <f t="shared" si="60"/>
        <v>0</v>
      </c>
      <c r="U200" s="26">
        <f t="shared" si="61"/>
        <v>1</v>
      </c>
      <c r="V200" s="26">
        <f t="shared" si="62"/>
        <v>1</v>
      </c>
      <c r="W200" s="1">
        <f t="shared" si="63"/>
        <v>1</v>
      </c>
      <c r="X200" s="26">
        <f t="shared" si="64"/>
        <v>1</v>
      </c>
      <c r="Y200" s="26">
        <f t="shared" si="65"/>
        <v>1</v>
      </c>
      <c r="Z200" s="1">
        <f t="shared" si="66"/>
        <v>1</v>
      </c>
      <c r="AA200"/>
      <c r="AB200"/>
    </row>
    <row r="201" spans="1:28" x14ac:dyDescent="0.55000000000000004">
      <c r="A201" s="1">
        <f t="shared" si="53"/>
        <v>201</v>
      </c>
      <c r="B201" t="s">
        <v>38</v>
      </c>
      <c r="C201" t="s">
        <v>128</v>
      </c>
      <c r="D201" t="s">
        <v>133</v>
      </c>
      <c r="E201" t="s">
        <v>2043</v>
      </c>
      <c r="F201" t="s">
        <v>950</v>
      </c>
      <c r="G201" t="s">
        <v>925</v>
      </c>
      <c r="H201" t="s">
        <v>579</v>
      </c>
      <c r="I201" t="s">
        <v>919</v>
      </c>
      <c r="J201" t="s">
        <v>2045</v>
      </c>
      <c r="K201" t="s">
        <v>1082</v>
      </c>
      <c r="L201" t="s">
        <v>933</v>
      </c>
      <c r="M201" t="s">
        <v>28</v>
      </c>
      <c r="N201" s="1">
        <f t="shared" si="54"/>
        <v>2</v>
      </c>
      <c r="O201" s="1">
        <f t="shared" si="55"/>
        <v>1</v>
      </c>
      <c r="P201" s="1">
        <f t="shared" si="56"/>
        <v>3</v>
      </c>
      <c r="Q201" s="1">
        <f t="shared" si="57"/>
        <v>1</v>
      </c>
      <c r="R201" s="1">
        <f t="shared" si="58"/>
        <v>1</v>
      </c>
      <c r="S201" s="1">
        <f t="shared" si="59"/>
        <v>1</v>
      </c>
      <c r="T201" s="1">
        <f t="shared" si="60"/>
        <v>1</v>
      </c>
      <c r="U201" s="26">
        <f t="shared" si="61"/>
        <v>1</v>
      </c>
      <c r="V201" s="26">
        <f t="shared" si="62"/>
        <v>1</v>
      </c>
      <c r="W201" s="1">
        <f t="shared" si="63"/>
        <v>1</v>
      </c>
      <c r="X201" s="26">
        <f t="shared" si="64"/>
        <v>1</v>
      </c>
      <c r="Y201" s="26">
        <f t="shared" si="65"/>
        <v>0</v>
      </c>
      <c r="Z201" s="1">
        <f t="shared" si="66"/>
        <v>1</v>
      </c>
      <c r="AA201"/>
      <c r="AB201"/>
    </row>
    <row r="202" spans="1:28" x14ac:dyDescent="0.55000000000000004">
      <c r="A202" s="1">
        <f t="shared" si="53"/>
        <v>202</v>
      </c>
      <c r="B202" t="s">
        <v>38</v>
      </c>
      <c r="C202" t="s">
        <v>128</v>
      </c>
      <c r="D202" t="s">
        <v>133</v>
      </c>
      <c r="E202" t="s">
        <v>2043</v>
      </c>
      <c r="F202" t="s">
        <v>1633</v>
      </c>
      <c r="G202" t="s">
        <v>924</v>
      </c>
      <c r="H202" t="s">
        <v>579</v>
      </c>
      <c r="I202" t="s">
        <v>914</v>
      </c>
      <c r="J202" t="s">
        <v>2046</v>
      </c>
      <c r="K202" t="s">
        <v>927</v>
      </c>
      <c r="L202" t="s">
        <v>944</v>
      </c>
      <c r="M202" t="s">
        <v>28</v>
      </c>
      <c r="N202" s="1">
        <f t="shared" si="54"/>
        <v>2</v>
      </c>
      <c r="O202" s="1">
        <f t="shared" si="55"/>
        <v>1</v>
      </c>
      <c r="P202" s="1">
        <f t="shared" si="56"/>
        <v>3</v>
      </c>
      <c r="Q202" s="1">
        <f t="shared" si="57"/>
        <v>1</v>
      </c>
      <c r="R202" s="1">
        <f t="shared" si="58"/>
        <v>1</v>
      </c>
      <c r="S202" s="1">
        <f t="shared" si="59"/>
        <v>1</v>
      </c>
      <c r="T202" s="1">
        <f t="shared" si="60"/>
        <v>1</v>
      </c>
      <c r="U202" s="26">
        <f t="shared" si="61"/>
        <v>1</v>
      </c>
      <c r="V202" s="26">
        <f t="shared" si="62"/>
        <v>1</v>
      </c>
      <c r="W202" s="1">
        <f t="shared" si="63"/>
        <v>1</v>
      </c>
      <c r="X202" s="26">
        <f t="shared" si="64"/>
        <v>1</v>
      </c>
      <c r="Y202" s="26">
        <f t="shared" si="65"/>
        <v>0</v>
      </c>
      <c r="Z202" s="1">
        <f t="shared" si="66"/>
        <v>1</v>
      </c>
      <c r="AA202"/>
      <c r="AB202"/>
    </row>
    <row r="203" spans="1:28" x14ac:dyDescent="0.55000000000000004">
      <c r="A203" s="1">
        <f t="shared" si="53"/>
        <v>203</v>
      </c>
      <c r="B203" t="s">
        <v>38</v>
      </c>
      <c r="C203" t="s">
        <v>128</v>
      </c>
      <c r="D203" t="s">
        <v>133</v>
      </c>
      <c r="E203" t="s">
        <v>2043</v>
      </c>
      <c r="F203" t="s">
        <v>390</v>
      </c>
      <c r="G203" t="s">
        <v>904</v>
      </c>
      <c r="H203" t="s">
        <v>881</v>
      </c>
      <c r="I203" t="s">
        <v>930</v>
      </c>
      <c r="J203" t="s">
        <v>2047</v>
      </c>
      <c r="K203" t="s">
        <v>952</v>
      </c>
      <c r="L203" t="s">
        <v>1122</v>
      </c>
      <c r="M203" t="s">
        <v>28</v>
      </c>
      <c r="N203" s="1">
        <f t="shared" si="54"/>
        <v>3</v>
      </c>
      <c r="O203" s="1">
        <f t="shared" si="55"/>
        <v>3</v>
      </c>
      <c r="P203" s="1">
        <f t="shared" si="56"/>
        <v>6</v>
      </c>
      <c r="Q203" s="1">
        <f t="shared" si="57"/>
        <v>0</v>
      </c>
      <c r="R203" s="1">
        <f t="shared" si="58"/>
        <v>0</v>
      </c>
      <c r="S203" s="1">
        <f t="shared" si="59"/>
        <v>0</v>
      </c>
      <c r="T203" s="1">
        <f t="shared" si="60"/>
        <v>0</v>
      </c>
      <c r="U203" s="26">
        <f t="shared" si="61"/>
        <v>1</v>
      </c>
      <c r="V203" s="26">
        <f t="shared" si="62"/>
        <v>1</v>
      </c>
      <c r="W203" s="1">
        <f t="shared" si="63"/>
        <v>0</v>
      </c>
      <c r="X203" s="26">
        <f t="shared" si="64"/>
        <v>1</v>
      </c>
      <c r="Y203" s="26">
        <f t="shared" si="65"/>
        <v>1</v>
      </c>
      <c r="Z203" s="1">
        <f t="shared" si="66"/>
        <v>1</v>
      </c>
      <c r="AA203"/>
      <c r="AB203"/>
    </row>
    <row r="204" spans="1:28" x14ac:dyDescent="0.55000000000000004">
      <c r="A204" s="1">
        <f t="shared" si="53"/>
        <v>204</v>
      </c>
      <c r="B204" t="s">
        <v>38</v>
      </c>
      <c r="C204" t="s">
        <v>128</v>
      </c>
      <c r="D204" t="s">
        <v>133</v>
      </c>
      <c r="E204" t="s">
        <v>2043</v>
      </c>
      <c r="F204" t="s">
        <v>390</v>
      </c>
      <c r="G204" t="s">
        <v>979</v>
      </c>
      <c r="H204" t="s">
        <v>581</v>
      </c>
      <c r="I204" t="s">
        <v>945</v>
      </c>
      <c r="J204" t="s">
        <v>2048</v>
      </c>
      <c r="K204" t="s">
        <v>1102</v>
      </c>
      <c r="L204" t="s">
        <v>1129</v>
      </c>
      <c r="M204" t="s">
        <v>28</v>
      </c>
      <c r="N204" s="1">
        <f t="shared" si="54"/>
        <v>1</v>
      </c>
      <c r="O204" s="1">
        <f t="shared" si="55"/>
        <v>2</v>
      </c>
      <c r="P204" s="1">
        <f t="shared" si="56"/>
        <v>3</v>
      </c>
      <c r="Q204" s="1">
        <f t="shared" si="57"/>
        <v>1</v>
      </c>
      <c r="R204" s="1">
        <f t="shared" si="58"/>
        <v>1</v>
      </c>
      <c r="S204" s="1">
        <f t="shared" si="59"/>
        <v>1</v>
      </c>
      <c r="T204" s="1">
        <f t="shared" si="60"/>
        <v>1</v>
      </c>
      <c r="U204" s="26">
        <f t="shared" si="61"/>
        <v>1</v>
      </c>
      <c r="V204" s="26">
        <f t="shared" si="62"/>
        <v>0</v>
      </c>
      <c r="W204" s="1">
        <f t="shared" si="63"/>
        <v>1</v>
      </c>
      <c r="X204" s="26">
        <f t="shared" si="64"/>
        <v>1</v>
      </c>
      <c r="Y204" s="26">
        <f t="shared" si="65"/>
        <v>1</v>
      </c>
      <c r="Z204" s="1">
        <f t="shared" si="66"/>
        <v>1</v>
      </c>
      <c r="AA204"/>
      <c r="AB204"/>
    </row>
    <row r="205" spans="1:28" x14ac:dyDescent="0.55000000000000004">
      <c r="A205" s="1">
        <f t="shared" si="53"/>
        <v>205</v>
      </c>
      <c r="B205" t="s">
        <v>38</v>
      </c>
      <c r="C205" t="s">
        <v>128</v>
      </c>
      <c r="D205" t="s">
        <v>133</v>
      </c>
      <c r="E205" t="s">
        <v>2043</v>
      </c>
      <c r="F205" t="s">
        <v>390</v>
      </c>
      <c r="G205" t="s">
        <v>903</v>
      </c>
      <c r="H205" t="s">
        <v>608</v>
      </c>
      <c r="I205" t="s">
        <v>899</v>
      </c>
      <c r="J205" t="s">
        <v>2049</v>
      </c>
      <c r="K205" t="s">
        <v>906</v>
      </c>
      <c r="L205" t="s">
        <v>1103</v>
      </c>
      <c r="M205" t="s">
        <v>28</v>
      </c>
      <c r="N205" s="1">
        <f t="shared" si="54"/>
        <v>1</v>
      </c>
      <c r="O205" s="1">
        <f t="shared" si="55"/>
        <v>1</v>
      </c>
      <c r="P205" s="1">
        <f t="shared" si="56"/>
        <v>2</v>
      </c>
      <c r="Q205" s="1">
        <f t="shared" si="57"/>
        <v>0</v>
      </c>
      <c r="R205" s="1">
        <f t="shared" si="58"/>
        <v>1</v>
      </c>
      <c r="S205" s="1">
        <f t="shared" si="59"/>
        <v>0</v>
      </c>
      <c r="T205" s="1">
        <f t="shared" si="60"/>
        <v>1</v>
      </c>
      <c r="U205" s="26">
        <f t="shared" si="61"/>
        <v>1</v>
      </c>
      <c r="V205" s="26">
        <f t="shared" si="62"/>
        <v>0</v>
      </c>
      <c r="W205" s="1">
        <f t="shared" si="63"/>
        <v>1</v>
      </c>
      <c r="X205" s="26">
        <f t="shared" si="64"/>
        <v>1</v>
      </c>
      <c r="Y205" s="26">
        <f t="shared" si="65"/>
        <v>0</v>
      </c>
      <c r="Z205" s="1">
        <f t="shared" si="66"/>
        <v>1</v>
      </c>
      <c r="AA205"/>
      <c r="AB205"/>
    </row>
    <row r="206" spans="1:28" x14ac:dyDescent="0.55000000000000004">
      <c r="A206" s="1">
        <f t="shared" si="53"/>
        <v>206</v>
      </c>
      <c r="B206" t="s">
        <v>38</v>
      </c>
      <c r="C206" t="s">
        <v>128</v>
      </c>
      <c r="D206" t="s">
        <v>133</v>
      </c>
      <c r="E206" t="s">
        <v>2043</v>
      </c>
      <c r="F206" t="s">
        <v>390</v>
      </c>
      <c r="G206" t="s">
        <v>981</v>
      </c>
      <c r="H206" t="s">
        <v>590</v>
      </c>
      <c r="I206" t="s">
        <v>913</v>
      </c>
      <c r="J206" t="s">
        <v>2050</v>
      </c>
      <c r="K206" t="s">
        <v>1086</v>
      </c>
      <c r="L206" t="s">
        <v>922</v>
      </c>
      <c r="M206" t="s">
        <v>28</v>
      </c>
      <c r="N206" s="1">
        <f t="shared" si="54"/>
        <v>0</v>
      </c>
      <c r="O206" s="1">
        <f t="shared" si="55"/>
        <v>1</v>
      </c>
      <c r="P206" s="1">
        <f t="shared" si="56"/>
        <v>1</v>
      </c>
      <c r="Q206" s="1">
        <f t="shared" si="57"/>
        <v>1</v>
      </c>
      <c r="R206" s="1">
        <f t="shared" si="58"/>
        <v>1</v>
      </c>
      <c r="S206" s="1">
        <f t="shared" si="59"/>
        <v>1</v>
      </c>
      <c r="T206" s="1">
        <f t="shared" si="60"/>
        <v>1</v>
      </c>
      <c r="U206" s="26">
        <f t="shared" si="61"/>
        <v>0</v>
      </c>
      <c r="V206" s="26">
        <f t="shared" si="62"/>
        <v>0</v>
      </c>
      <c r="W206" s="1">
        <f t="shared" si="63"/>
        <v>1</v>
      </c>
      <c r="X206" s="26">
        <f t="shared" si="64"/>
        <v>1</v>
      </c>
      <c r="Y206" s="26">
        <f t="shared" si="65"/>
        <v>0</v>
      </c>
      <c r="Z206" s="1">
        <f t="shared" si="66"/>
        <v>0</v>
      </c>
      <c r="AA206"/>
      <c r="AB206"/>
    </row>
    <row r="207" spans="1:28" x14ac:dyDescent="0.55000000000000004">
      <c r="A207" s="1">
        <f t="shared" si="53"/>
        <v>207</v>
      </c>
      <c r="B207" t="s">
        <v>38</v>
      </c>
      <c r="C207" t="s">
        <v>128</v>
      </c>
      <c r="D207" t="s">
        <v>42</v>
      </c>
      <c r="E207" t="s">
        <v>1635</v>
      </c>
      <c r="F207" t="s">
        <v>956</v>
      </c>
      <c r="G207" t="s">
        <v>918</v>
      </c>
      <c r="H207" t="s">
        <v>584</v>
      </c>
      <c r="I207" t="s">
        <v>908</v>
      </c>
      <c r="J207" t="s">
        <v>1636</v>
      </c>
      <c r="K207" t="s">
        <v>921</v>
      </c>
      <c r="L207" t="s">
        <v>1087</v>
      </c>
      <c r="M207" t="s">
        <v>28</v>
      </c>
      <c r="N207" s="1">
        <f t="shared" si="54"/>
        <v>0</v>
      </c>
      <c r="O207" s="1">
        <f t="shared" si="55"/>
        <v>4</v>
      </c>
      <c r="P207" s="1">
        <f t="shared" si="56"/>
        <v>4</v>
      </c>
      <c r="Q207" s="1">
        <f t="shared" si="57"/>
        <v>1</v>
      </c>
      <c r="R207" s="1">
        <f t="shared" si="58"/>
        <v>1</v>
      </c>
      <c r="S207" s="1">
        <f t="shared" si="59"/>
        <v>1</v>
      </c>
      <c r="T207" s="1">
        <f t="shared" si="60"/>
        <v>1</v>
      </c>
      <c r="U207" s="26">
        <f t="shared" si="61"/>
        <v>0</v>
      </c>
      <c r="V207" s="26">
        <f t="shared" si="62"/>
        <v>0</v>
      </c>
      <c r="W207" s="1">
        <f t="shared" si="63"/>
        <v>0</v>
      </c>
      <c r="X207" s="26">
        <f t="shared" si="64"/>
        <v>0</v>
      </c>
      <c r="Y207" s="26">
        <f t="shared" si="65"/>
        <v>1</v>
      </c>
      <c r="Z207" s="1">
        <f t="shared" si="66"/>
        <v>1</v>
      </c>
      <c r="AA207"/>
      <c r="AB207"/>
    </row>
    <row r="208" spans="1:28" x14ac:dyDescent="0.55000000000000004">
      <c r="A208" s="1">
        <f t="shared" si="53"/>
        <v>208</v>
      </c>
      <c r="B208" t="s">
        <v>38</v>
      </c>
      <c r="C208" t="s">
        <v>128</v>
      </c>
      <c r="D208" t="s">
        <v>42</v>
      </c>
      <c r="E208" t="s">
        <v>1635</v>
      </c>
      <c r="F208" t="s">
        <v>1633</v>
      </c>
      <c r="G208" t="s">
        <v>929</v>
      </c>
      <c r="H208" t="s">
        <v>573</v>
      </c>
      <c r="I208" t="s">
        <v>898</v>
      </c>
      <c r="J208" t="s">
        <v>1637</v>
      </c>
      <c r="K208" t="s">
        <v>932</v>
      </c>
      <c r="L208" t="s">
        <v>1632</v>
      </c>
      <c r="M208" t="s">
        <v>28</v>
      </c>
      <c r="N208" s="1">
        <f t="shared" si="54"/>
        <v>2</v>
      </c>
      <c r="O208" s="1">
        <f t="shared" si="55"/>
        <v>0</v>
      </c>
      <c r="P208" s="1">
        <f t="shared" si="56"/>
        <v>2</v>
      </c>
      <c r="Q208" s="1">
        <f t="shared" si="57"/>
        <v>1</v>
      </c>
      <c r="R208" s="1">
        <f t="shared" si="58"/>
        <v>1</v>
      </c>
      <c r="S208" s="1">
        <f t="shared" si="59"/>
        <v>1</v>
      </c>
      <c r="T208" s="1">
        <f t="shared" si="60"/>
        <v>1</v>
      </c>
      <c r="U208" s="26">
        <f t="shared" si="61"/>
        <v>1</v>
      </c>
      <c r="V208" s="26">
        <f t="shared" si="62"/>
        <v>1</v>
      </c>
      <c r="W208" s="1">
        <f t="shared" si="63"/>
        <v>1</v>
      </c>
      <c r="X208" s="26">
        <f t="shared" si="64"/>
        <v>0</v>
      </c>
      <c r="Y208" s="26">
        <f t="shared" si="65"/>
        <v>0</v>
      </c>
      <c r="Z208" s="1">
        <f t="shared" si="66"/>
        <v>1</v>
      </c>
      <c r="AA208"/>
      <c r="AB208"/>
    </row>
    <row r="209" spans="1:28" x14ac:dyDescent="0.55000000000000004">
      <c r="A209" s="1">
        <f t="shared" si="53"/>
        <v>209</v>
      </c>
      <c r="B209" t="s">
        <v>38</v>
      </c>
      <c r="C209" t="s">
        <v>118</v>
      </c>
      <c r="D209" t="s">
        <v>177</v>
      </c>
      <c r="E209" t="s">
        <v>1126</v>
      </c>
      <c r="F209" t="s">
        <v>390</v>
      </c>
      <c r="G209" t="s">
        <v>979</v>
      </c>
      <c r="H209" t="s">
        <v>570</v>
      </c>
      <c r="I209" t="s">
        <v>909</v>
      </c>
      <c r="J209" t="s">
        <v>1127</v>
      </c>
      <c r="K209" t="s">
        <v>1102</v>
      </c>
      <c r="L209" t="s">
        <v>912</v>
      </c>
      <c r="M209" t="s">
        <v>28</v>
      </c>
      <c r="N209" s="1">
        <f t="shared" si="54"/>
        <v>3</v>
      </c>
      <c r="O209" s="1">
        <f t="shared" si="55"/>
        <v>1</v>
      </c>
      <c r="P209" s="1">
        <f t="shared" si="56"/>
        <v>4</v>
      </c>
      <c r="Q209" s="1">
        <f t="shared" si="57"/>
        <v>1</v>
      </c>
      <c r="R209" s="1">
        <f t="shared" si="58"/>
        <v>1</v>
      </c>
      <c r="S209" s="1">
        <f t="shared" si="59"/>
        <v>1</v>
      </c>
      <c r="T209" s="1">
        <f t="shared" si="60"/>
        <v>0</v>
      </c>
      <c r="U209" s="26">
        <f t="shared" si="61"/>
        <v>1</v>
      </c>
      <c r="V209" s="26">
        <f t="shared" si="62"/>
        <v>1</v>
      </c>
      <c r="W209" s="1">
        <f t="shared" si="63"/>
        <v>1</v>
      </c>
      <c r="X209" s="26">
        <f t="shared" si="64"/>
        <v>1</v>
      </c>
      <c r="Y209" s="26">
        <f t="shared" si="65"/>
        <v>0</v>
      </c>
      <c r="Z209" s="1">
        <f t="shared" si="66"/>
        <v>1</v>
      </c>
      <c r="AA209"/>
      <c r="AB209"/>
    </row>
    <row r="210" spans="1:28" x14ac:dyDescent="0.55000000000000004">
      <c r="A210" s="1">
        <f t="shared" si="53"/>
        <v>210</v>
      </c>
      <c r="B210" t="s">
        <v>38</v>
      </c>
      <c r="C210" t="s">
        <v>118</v>
      </c>
      <c r="D210" t="s">
        <v>177</v>
      </c>
      <c r="E210" t="s">
        <v>1126</v>
      </c>
      <c r="F210" t="s">
        <v>218</v>
      </c>
      <c r="G210" t="s">
        <v>981</v>
      </c>
      <c r="H210" t="s">
        <v>739</v>
      </c>
      <c r="I210" t="s">
        <v>898</v>
      </c>
      <c r="J210" t="s">
        <v>1128</v>
      </c>
      <c r="K210" t="s">
        <v>1086</v>
      </c>
      <c r="L210" t="s">
        <v>1129</v>
      </c>
      <c r="M210" t="s">
        <v>28</v>
      </c>
      <c r="N210" s="1">
        <f t="shared" si="54"/>
        <v>0</v>
      </c>
      <c r="O210" s="1">
        <f t="shared" si="55"/>
        <v>3</v>
      </c>
      <c r="P210" s="1">
        <f t="shared" si="56"/>
        <v>3</v>
      </c>
      <c r="Q210" s="1">
        <f t="shared" si="57"/>
        <v>1</v>
      </c>
      <c r="R210" s="1">
        <f t="shared" si="58"/>
        <v>1</v>
      </c>
      <c r="S210" s="1">
        <f t="shared" si="59"/>
        <v>1</v>
      </c>
      <c r="T210" s="1">
        <f t="shared" si="60"/>
        <v>1</v>
      </c>
      <c r="U210" s="26">
        <f t="shared" si="61"/>
        <v>0</v>
      </c>
      <c r="V210" s="26">
        <f t="shared" si="62"/>
        <v>0</v>
      </c>
      <c r="W210" s="1">
        <f t="shared" si="63"/>
        <v>0</v>
      </c>
      <c r="X210" s="26">
        <f t="shared" si="64"/>
        <v>1</v>
      </c>
      <c r="Y210" s="26">
        <f t="shared" si="65"/>
        <v>1</v>
      </c>
      <c r="Z210" s="1">
        <f t="shared" si="66"/>
        <v>1</v>
      </c>
      <c r="AA210"/>
      <c r="AB210"/>
    </row>
    <row r="211" spans="1:28" x14ac:dyDescent="0.55000000000000004">
      <c r="A211" s="1">
        <f t="shared" si="53"/>
        <v>211</v>
      </c>
      <c r="B211" t="s">
        <v>38</v>
      </c>
      <c r="C211" t="s">
        <v>130</v>
      </c>
      <c r="D211" t="s">
        <v>133</v>
      </c>
      <c r="E211" t="s">
        <v>2051</v>
      </c>
      <c r="F211" t="s">
        <v>956</v>
      </c>
      <c r="G211" t="s">
        <v>919</v>
      </c>
      <c r="H211" t="s">
        <v>581</v>
      </c>
      <c r="I211" t="s">
        <v>913</v>
      </c>
      <c r="J211" t="s">
        <v>2052</v>
      </c>
      <c r="K211" t="s">
        <v>968</v>
      </c>
      <c r="L211" t="s">
        <v>917</v>
      </c>
      <c r="M211" t="s">
        <v>28</v>
      </c>
      <c r="N211" s="1">
        <f t="shared" si="54"/>
        <v>1</v>
      </c>
      <c r="O211" s="1">
        <f t="shared" si="55"/>
        <v>2</v>
      </c>
      <c r="P211" s="1">
        <f t="shared" si="56"/>
        <v>3</v>
      </c>
      <c r="Q211" s="1">
        <f t="shared" si="57"/>
        <v>1</v>
      </c>
      <c r="R211" s="1">
        <f t="shared" si="58"/>
        <v>1</v>
      </c>
      <c r="S211" s="1">
        <f t="shared" si="59"/>
        <v>1</v>
      </c>
      <c r="T211" s="1">
        <f t="shared" si="60"/>
        <v>1</v>
      </c>
      <c r="U211" s="26">
        <f t="shared" si="61"/>
        <v>1</v>
      </c>
      <c r="V211" s="26">
        <f t="shared" si="62"/>
        <v>0</v>
      </c>
      <c r="W211" s="1">
        <f t="shared" si="63"/>
        <v>1</v>
      </c>
      <c r="X211" s="26">
        <f t="shared" si="64"/>
        <v>1</v>
      </c>
      <c r="Y211" s="26">
        <f t="shared" si="65"/>
        <v>1</v>
      </c>
      <c r="Z211" s="1">
        <f t="shared" si="66"/>
        <v>1</v>
      </c>
      <c r="AA211"/>
      <c r="AB211"/>
    </row>
    <row r="212" spans="1:28" x14ac:dyDescent="0.55000000000000004">
      <c r="A212" s="1">
        <f t="shared" si="53"/>
        <v>212</v>
      </c>
      <c r="B212" t="s">
        <v>38</v>
      </c>
      <c r="C212" t="s">
        <v>130</v>
      </c>
      <c r="D212" t="s">
        <v>133</v>
      </c>
      <c r="E212" t="s">
        <v>2051</v>
      </c>
      <c r="F212" t="s">
        <v>1633</v>
      </c>
      <c r="G212" t="s">
        <v>899</v>
      </c>
      <c r="H212" t="s">
        <v>568</v>
      </c>
      <c r="I212" t="s">
        <v>904</v>
      </c>
      <c r="J212" t="s">
        <v>2053</v>
      </c>
      <c r="K212" t="s">
        <v>973</v>
      </c>
      <c r="L212" t="s">
        <v>954</v>
      </c>
      <c r="M212" t="s">
        <v>28</v>
      </c>
      <c r="N212" s="1">
        <f t="shared" si="54"/>
        <v>0</v>
      </c>
      <c r="O212" s="1">
        <f t="shared" si="55"/>
        <v>2</v>
      </c>
      <c r="P212" s="1">
        <f t="shared" si="56"/>
        <v>2</v>
      </c>
      <c r="Q212" s="1">
        <f t="shared" si="57"/>
        <v>1</v>
      </c>
      <c r="R212" s="1">
        <f t="shared" si="58"/>
        <v>1</v>
      </c>
      <c r="S212" s="1">
        <f t="shared" si="59"/>
        <v>1</v>
      </c>
      <c r="T212" s="1">
        <f t="shared" si="60"/>
        <v>1</v>
      </c>
      <c r="U212" s="26">
        <f t="shared" si="61"/>
        <v>0</v>
      </c>
      <c r="V212" s="26">
        <f t="shared" si="62"/>
        <v>0</v>
      </c>
      <c r="W212" s="1">
        <f t="shared" si="63"/>
        <v>1</v>
      </c>
      <c r="X212" s="26">
        <f t="shared" si="64"/>
        <v>1</v>
      </c>
      <c r="Y212" s="26">
        <f t="shared" si="65"/>
        <v>1</v>
      </c>
      <c r="Z212" s="1">
        <f t="shared" si="66"/>
        <v>1</v>
      </c>
      <c r="AA212"/>
      <c r="AB212"/>
    </row>
    <row r="213" spans="1:28" x14ac:dyDescent="0.55000000000000004">
      <c r="A213" s="1">
        <f t="shared" si="53"/>
        <v>213</v>
      </c>
      <c r="B213" t="s">
        <v>38</v>
      </c>
      <c r="C213" t="s">
        <v>130</v>
      </c>
      <c r="D213" t="s">
        <v>133</v>
      </c>
      <c r="E213" t="s">
        <v>2051</v>
      </c>
      <c r="F213" t="s">
        <v>390</v>
      </c>
      <c r="G213" t="s">
        <v>898</v>
      </c>
      <c r="H213" t="s">
        <v>579</v>
      </c>
      <c r="I213" t="s">
        <v>918</v>
      </c>
      <c r="J213" t="s">
        <v>2054</v>
      </c>
      <c r="K213" t="s">
        <v>901</v>
      </c>
      <c r="L213" t="s">
        <v>960</v>
      </c>
      <c r="M213" t="s">
        <v>28</v>
      </c>
      <c r="N213" s="1">
        <f t="shared" si="54"/>
        <v>2</v>
      </c>
      <c r="O213" s="1">
        <f t="shared" si="55"/>
        <v>1</v>
      </c>
      <c r="P213" s="1">
        <f t="shared" si="56"/>
        <v>3</v>
      </c>
      <c r="Q213" s="1">
        <f t="shared" si="57"/>
        <v>1</v>
      </c>
      <c r="R213" s="1">
        <f t="shared" si="58"/>
        <v>1</v>
      </c>
      <c r="S213" s="1">
        <f t="shared" si="59"/>
        <v>1</v>
      </c>
      <c r="T213" s="1">
        <f t="shared" si="60"/>
        <v>1</v>
      </c>
      <c r="U213" s="26">
        <f t="shared" si="61"/>
        <v>1</v>
      </c>
      <c r="V213" s="26">
        <f t="shared" si="62"/>
        <v>1</v>
      </c>
      <c r="W213" s="1">
        <f t="shared" si="63"/>
        <v>1</v>
      </c>
      <c r="X213" s="26">
        <f t="shared" si="64"/>
        <v>1</v>
      </c>
      <c r="Y213" s="26">
        <f t="shared" si="65"/>
        <v>0</v>
      </c>
      <c r="Z213" s="1">
        <f t="shared" si="66"/>
        <v>1</v>
      </c>
      <c r="AA213"/>
      <c r="AB213"/>
    </row>
    <row r="214" spans="1:28" x14ac:dyDescent="0.55000000000000004">
      <c r="A214" s="1">
        <f t="shared" si="53"/>
        <v>214</v>
      </c>
      <c r="B214" t="s">
        <v>38</v>
      </c>
      <c r="C214" t="s">
        <v>130</v>
      </c>
      <c r="D214" t="s">
        <v>133</v>
      </c>
      <c r="E214" t="s">
        <v>2051</v>
      </c>
      <c r="F214" t="s">
        <v>390</v>
      </c>
      <c r="G214" t="s">
        <v>935</v>
      </c>
      <c r="H214" t="s">
        <v>708</v>
      </c>
      <c r="I214" t="s">
        <v>945</v>
      </c>
      <c r="J214" t="s">
        <v>2055</v>
      </c>
      <c r="K214" t="s">
        <v>949</v>
      </c>
      <c r="L214" t="s">
        <v>1087</v>
      </c>
      <c r="M214" t="s">
        <v>28</v>
      </c>
      <c r="N214" s="1">
        <f t="shared" si="54"/>
        <v>0</v>
      </c>
      <c r="O214" s="1">
        <f t="shared" si="55"/>
        <v>0</v>
      </c>
      <c r="P214" s="1">
        <f t="shared" si="56"/>
        <v>0</v>
      </c>
      <c r="Q214" s="1">
        <f t="shared" si="57"/>
        <v>0</v>
      </c>
      <c r="R214" s="1">
        <f t="shared" si="58"/>
        <v>1</v>
      </c>
      <c r="S214" s="1">
        <f t="shared" si="59"/>
        <v>0</v>
      </c>
      <c r="T214" s="1">
        <f t="shared" si="60"/>
        <v>1</v>
      </c>
      <c r="U214" s="26">
        <f t="shared" si="61"/>
        <v>0</v>
      </c>
      <c r="V214" s="26">
        <f t="shared" si="62"/>
        <v>0</v>
      </c>
      <c r="W214" s="1">
        <f t="shared" si="63"/>
        <v>1</v>
      </c>
      <c r="X214" s="26">
        <f t="shared" si="64"/>
        <v>0</v>
      </c>
      <c r="Y214" s="26">
        <f t="shared" si="65"/>
        <v>0</v>
      </c>
      <c r="Z214" s="1">
        <f t="shared" si="66"/>
        <v>0</v>
      </c>
      <c r="AA214"/>
      <c r="AB214"/>
    </row>
    <row r="215" spans="1:28" x14ac:dyDescent="0.55000000000000004">
      <c r="A215" s="1">
        <f t="shared" si="53"/>
        <v>215</v>
      </c>
      <c r="B215" t="s">
        <v>38</v>
      </c>
      <c r="C215" t="s">
        <v>130</v>
      </c>
      <c r="D215" t="s">
        <v>133</v>
      </c>
      <c r="E215" t="s">
        <v>2051</v>
      </c>
      <c r="F215" t="s">
        <v>390</v>
      </c>
      <c r="G215" t="s">
        <v>934</v>
      </c>
      <c r="H215" t="s">
        <v>608</v>
      </c>
      <c r="I215" t="s">
        <v>981</v>
      </c>
      <c r="J215" t="s">
        <v>2056</v>
      </c>
      <c r="K215" t="s">
        <v>937</v>
      </c>
      <c r="L215" t="s">
        <v>938</v>
      </c>
      <c r="M215" t="s">
        <v>28</v>
      </c>
      <c r="N215" s="1">
        <f t="shared" si="54"/>
        <v>1</v>
      </c>
      <c r="O215" s="1">
        <f t="shared" si="55"/>
        <v>1</v>
      </c>
      <c r="P215" s="1">
        <f t="shared" si="56"/>
        <v>2</v>
      </c>
      <c r="Q215" s="1">
        <f t="shared" si="57"/>
        <v>0</v>
      </c>
      <c r="R215" s="1">
        <f t="shared" si="58"/>
        <v>1</v>
      </c>
      <c r="S215" s="1">
        <f t="shared" si="59"/>
        <v>0</v>
      </c>
      <c r="T215" s="1">
        <f t="shared" si="60"/>
        <v>1</v>
      </c>
      <c r="U215" s="26">
        <f t="shared" si="61"/>
        <v>1</v>
      </c>
      <c r="V215" s="26">
        <f t="shared" si="62"/>
        <v>0</v>
      </c>
      <c r="W215" s="1">
        <f t="shared" si="63"/>
        <v>1</v>
      </c>
      <c r="X215" s="26">
        <f t="shared" si="64"/>
        <v>1</v>
      </c>
      <c r="Y215" s="26">
        <f t="shared" si="65"/>
        <v>0</v>
      </c>
      <c r="Z215" s="1">
        <f t="shared" si="66"/>
        <v>1</v>
      </c>
      <c r="AA215"/>
      <c r="AB215"/>
    </row>
    <row r="216" spans="1:28" x14ac:dyDescent="0.55000000000000004">
      <c r="A216" s="1">
        <f t="shared" si="53"/>
        <v>216</v>
      </c>
      <c r="B216" t="s">
        <v>38</v>
      </c>
      <c r="C216" t="s">
        <v>130</v>
      </c>
      <c r="D216" t="s">
        <v>133</v>
      </c>
      <c r="E216" t="s">
        <v>2051</v>
      </c>
      <c r="F216" t="s">
        <v>390</v>
      </c>
      <c r="G216" t="s">
        <v>908</v>
      </c>
      <c r="H216" t="s">
        <v>581</v>
      </c>
      <c r="I216" t="s">
        <v>903</v>
      </c>
      <c r="J216" t="s">
        <v>2057</v>
      </c>
      <c r="K216" t="s">
        <v>911</v>
      </c>
      <c r="L216" t="s">
        <v>1092</v>
      </c>
      <c r="M216" t="s">
        <v>28</v>
      </c>
      <c r="N216" s="1">
        <f t="shared" si="54"/>
        <v>1</v>
      </c>
      <c r="O216" s="1">
        <f t="shared" si="55"/>
        <v>2</v>
      </c>
      <c r="P216" s="1">
        <f t="shared" si="56"/>
        <v>3</v>
      </c>
      <c r="Q216" s="1">
        <f t="shared" si="57"/>
        <v>1</v>
      </c>
      <c r="R216" s="1">
        <f t="shared" si="58"/>
        <v>1</v>
      </c>
      <c r="S216" s="1">
        <f t="shared" si="59"/>
        <v>1</v>
      </c>
      <c r="T216" s="1">
        <f t="shared" si="60"/>
        <v>1</v>
      </c>
      <c r="U216" s="26">
        <f t="shared" si="61"/>
        <v>1</v>
      </c>
      <c r="V216" s="26">
        <f t="shared" si="62"/>
        <v>0</v>
      </c>
      <c r="W216" s="1">
        <f t="shared" si="63"/>
        <v>1</v>
      </c>
      <c r="X216" s="26">
        <f t="shared" si="64"/>
        <v>1</v>
      </c>
      <c r="Y216" s="26">
        <f t="shared" si="65"/>
        <v>1</v>
      </c>
      <c r="Z216" s="1">
        <f t="shared" si="66"/>
        <v>1</v>
      </c>
      <c r="AA216"/>
      <c r="AB216"/>
    </row>
    <row r="217" spans="1:28" x14ac:dyDescent="0.55000000000000004">
      <c r="A217" s="1">
        <f t="shared" si="53"/>
        <v>217</v>
      </c>
      <c r="B217" t="s">
        <v>38</v>
      </c>
      <c r="C217" t="s">
        <v>130</v>
      </c>
      <c r="D217" t="s">
        <v>133</v>
      </c>
      <c r="E217" t="s">
        <v>2051</v>
      </c>
      <c r="F217" t="s">
        <v>390</v>
      </c>
      <c r="G217" t="s">
        <v>930</v>
      </c>
      <c r="H217" t="s">
        <v>570</v>
      </c>
      <c r="I217" t="s">
        <v>929</v>
      </c>
      <c r="J217" t="s">
        <v>2058</v>
      </c>
      <c r="K217" t="s">
        <v>976</v>
      </c>
      <c r="L217" t="s">
        <v>1129</v>
      </c>
      <c r="M217" t="s">
        <v>28</v>
      </c>
      <c r="N217" s="1">
        <f t="shared" si="54"/>
        <v>3</v>
      </c>
      <c r="O217" s="1">
        <f t="shared" si="55"/>
        <v>1</v>
      </c>
      <c r="P217" s="1">
        <f t="shared" si="56"/>
        <v>4</v>
      </c>
      <c r="Q217" s="1">
        <f t="shared" si="57"/>
        <v>1</v>
      </c>
      <c r="R217" s="1">
        <f t="shared" si="58"/>
        <v>1</v>
      </c>
      <c r="S217" s="1">
        <f t="shared" si="59"/>
        <v>1</v>
      </c>
      <c r="T217" s="1">
        <f t="shared" si="60"/>
        <v>0</v>
      </c>
      <c r="U217" s="26">
        <f t="shared" si="61"/>
        <v>1</v>
      </c>
      <c r="V217" s="26">
        <f t="shared" si="62"/>
        <v>1</v>
      </c>
      <c r="W217" s="1">
        <f t="shared" si="63"/>
        <v>1</v>
      </c>
      <c r="X217" s="26">
        <f t="shared" si="64"/>
        <v>1</v>
      </c>
      <c r="Y217" s="26">
        <f t="shared" si="65"/>
        <v>0</v>
      </c>
      <c r="Z217" s="1">
        <f t="shared" si="66"/>
        <v>1</v>
      </c>
      <c r="AA217"/>
      <c r="AB217"/>
    </row>
    <row r="218" spans="1:28" x14ac:dyDescent="0.55000000000000004">
      <c r="A218" s="1">
        <f t="shared" si="53"/>
        <v>218</v>
      </c>
      <c r="B218" t="s">
        <v>38</v>
      </c>
      <c r="C218" t="s">
        <v>130</v>
      </c>
      <c r="D218" t="s">
        <v>42</v>
      </c>
      <c r="E218" t="s">
        <v>1638</v>
      </c>
      <c r="F218" t="s">
        <v>956</v>
      </c>
      <c r="G218" t="s">
        <v>909</v>
      </c>
      <c r="H218" t="s">
        <v>584</v>
      </c>
      <c r="I218" t="s">
        <v>925</v>
      </c>
      <c r="J218" t="s">
        <v>1639</v>
      </c>
      <c r="K218" t="s">
        <v>965</v>
      </c>
      <c r="L218" t="s">
        <v>1099</v>
      </c>
      <c r="M218" t="s">
        <v>28</v>
      </c>
      <c r="N218" s="1">
        <f t="shared" si="54"/>
        <v>0</v>
      </c>
      <c r="O218" s="1">
        <f t="shared" si="55"/>
        <v>4</v>
      </c>
      <c r="P218" s="1">
        <f t="shared" si="56"/>
        <v>4</v>
      </c>
      <c r="Q218" s="1">
        <f t="shared" si="57"/>
        <v>1</v>
      </c>
      <c r="R218" s="1">
        <f t="shared" si="58"/>
        <v>1</v>
      </c>
      <c r="S218" s="1">
        <f t="shared" si="59"/>
        <v>1</v>
      </c>
      <c r="T218" s="1">
        <f t="shared" si="60"/>
        <v>1</v>
      </c>
      <c r="U218" s="26">
        <f t="shared" si="61"/>
        <v>0</v>
      </c>
      <c r="V218" s="26">
        <f t="shared" si="62"/>
        <v>0</v>
      </c>
      <c r="W218" s="1">
        <f t="shared" si="63"/>
        <v>0</v>
      </c>
      <c r="X218" s="26">
        <f t="shared" si="64"/>
        <v>0</v>
      </c>
      <c r="Y218" s="26">
        <f t="shared" si="65"/>
        <v>1</v>
      </c>
      <c r="Z218" s="1">
        <f t="shared" si="66"/>
        <v>1</v>
      </c>
      <c r="AA218"/>
      <c r="AB218"/>
    </row>
    <row r="219" spans="1:28" x14ac:dyDescent="0.55000000000000004">
      <c r="A219" s="1">
        <f t="shared" si="53"/>
        <v>219</v>
      </c>
      <c r="B219" t="s">
        <v>38</v>
      </c>
      <c r="C219" t="s">
        <v>130</v>
      </c>
      <c r="D219" t="s">
        <v>42</v>
      </c>
      <c r="E219" t="s">
        <v>1638</v>
      </c>
      <c r="F219" t="s">
        <v>956</v>
      </c>
      <c r="G219" t="s">
        <v>914</v>
      </c>
      <c r="H219" t="s">
        <v>575</v>
      </c>
      <c r="I219" t="s">
        <v>979</v>
      </c>
      <c r="J219" t="s">
        <v>1640</v>
      </c>
      <c r="K219" t="s">
        <v>901</v>
      </c>
      <c r="L219" t="s">
        <v>928</v>
      </c>
      <c r="M219" t="s">
        <v>28</v>
      </c>
      <c r="N219" s="1">
        <f t="shared" si="54"/>
        <v>1</v>
      </c>
      <c r="O219" s="1">
        <f t="shared" si="55"/>
        <v>0</v>
      </c>
      <c r="P219" s="1">
        <f t="shared" si="56"/>
        <v>1</v>
      </c>
      <c r="Q219" s="1">
        <f t="shared" si="57"/>
        <v>1</v>
      </c>
      <c r="R219" s="1">
        <f t="shared" si="58"/>
        <v>1</v>
      </c>
      <c r="S219" s="1">
        <f t="shared" si="59"/>
        <v>1</v>
      </c>
      <c r="T219" s="1">
        <f t="shared" si="60"/>
        <v>1</v>
      </c>
      <c r="U219" s="26">
        <f t="shared" si="61"/>
        <v>1</v>
      </c>
      <c r="V219" s="26">
        <f t="shared" si="62"/>
        <v>0</v>
      </c>
      <c r="W219" s="1">
        <f t="shared" si="63"/>
        <v>1</v>
      </c>
      <c r="X219" s="26">
        <f t="shared" si="64"/>
        <v>0</v>
      </c>
      <c r="Y219" s="26">
        <f t="shared" si="65"/>
        <v>0</v>
      </c>
      <c r="Z219" s="1">
        <f t="shared" si="66"/>
        <v>0</v>
      </c>
      <c r="AA219"/>
      <c r="AB219"/>
    </row>
    <row r="220" spans="1:28" x14ac:dyDescent="0.55000000000000004">
      <c r="A220" s="1">
        <f t="shared" si="53"/>
        <v>220</v>
      </c>
      <c r="B220" t="s">
        <v>38</v>
      </c>
      <c r="C220" t="s">
        <v>200</v>
      </c>
      <c r="D220" t="s">
        <v>177</v>
      </c>
      <c r="E220" t="s">
        <v>1130</v>
      </c>
      <c r="F220" t="s">
        <v>390</v>
      </c>
      <c r="G220" t="s">
        <v>945</v>
      </c>
      <c r="H220" t="s">
        <v>575</v>
      </c>
      <c r="I220" t="s">
        <v>908</v>
      </c>
      <c r="J220" t="s">
        <v>1131</v>
      </c>
      <c r="K220" t="s">
        <v>947</v>
      </c>
      <c r="L220" t="s">
        <v>928</v>
      </c>
      <c r="M220" t="s">
        <v>28</v>
      </c>
      <c r="N220" s="1">
        <f t="shared" si="54"/>
        <v>1</v>
      </c>
      <c r="O220" s="1">
        <f t="shared" si="55"/>
        <v>0</v>
      </c>
      <c r="P220" s="1">
        <f t="shared" si="56"/>
        <v>1</v>
      </c>
      <c r="Q220" s="1">
        <f t="shared" si="57"/>
        <v>1</v>
      </c>
      <c r="R220" s="1">
        <f t="shared" si="58"/>
        <v>1</v>
      </c>
      <c r="S220" s="1">
        <f t="shared" si="59"/>
        <v>1</v>
      </c>
      <c r="T220" s="1">
        <f t="shared" si="60"/>
        <v>1</v>
      </c>
      <c r="U220" s="26">
        <f t="shared" si="61"/>
        <v>1</v>
      </c>
      <c r="V220" s="26">
        <f t="shared" si="62"/>
        <v>0</v>
      </c>
      <c r="W220" s="1">
        <f t="shared" si="63"/>
        <v>1</v>
      </c>
      <c r="X220" s="26">
        <f t="shared" si="64"/>
        <v>0</v>
      </c>
      <c r="Y220" s="26">
        <f t="shared" si="65"/>
        <v>0</v>
      </c>
      <c r="Z220" s="1">
        <f t="shared" si="66"/>
        <v>0</v>
      </c>
      <c r="AA220"/>
      <c r="AB220"/>
    </row>
    <row r="221" spans="1:28" x14ac:dyDescent="0.55000000000000004">
      <c r="A221" s="1">
        <f t="shared" si="53"/>
        <v>221</v>
      </c>
      <c r="B221" t="s">
        <v>38</v>
      </c>
      <c r="C221" t="s">
        <v>194</v>
      </c>
      <c r="D221" t="s">
        <v>133</v>
      </c>
      <c r="E221" t="s">
        <v>2059</v>
      </c>
      <c r="F221" t="s">
        <v>956</v>
      </c>
      <c r="G221" t="s">
        <v>925</v>
      </c>
      <c r="H221" t="s">
        <v>722</v>
      </c>
      <c r="I221" t="s">
        <v>899</v>
      </c>
      <c r="J221" t="s">
        <v>2060</v>
      </c>
      <c r="K221" t="s">
        <v>1082</v>
      </c>
      <c r="L221" t="s">
        <v>1106</v>
      </c>
      <c r="M221" t="s">
        <v>28</v>
      </c>
      <c r="N221" s="1">
        <f t="shared" si="54"/>
        <v>3</v>
      </c>
      <c r="O221" s="1">
        <f t="shared" si="55"/>
        <v>0</v>
      </c>
      <c r="P221" s="1">
        <f t="shared" si="56"/>
        <v>3</v>
      </c>
      <c r="Q221" s="1">
        <f t="shared" si="57"/>
        <v>1</v>
      </c>
      <c r="R221" s="1">
        <f t="shared" si="58"/>
        <v>1</v>
      </c>
      <c r="S221" s="1">
        <f t="shared" si="59"/>
        <v>1</v>
      </c>
      <c r="T221" s="1">
        <f t="shared" si="60"/>
        <v>0</v>
      </c>
      <c r="U221" s="26">
        <f t="shared" si="61"/>
        <v>1</v>
      </c>
      <c r="V221" s="26">
        <f t="shared" si="62"/>
        <v>1</v>
      </c>
      <c r="W221" s="1">
        <f t="shared" si="63"/>
        <v>1</v>
      </c>
      <c r="X221" s="26">
        <f t="shared" si="64"/>
        <v>0</v>
      </c>
      <c r="Y221" s="26">
        <f t="shared" si="65"/>
        <v>0</v>
      </c>
      <c r="Z221" s="1">
        <f t="shared" si="66"/>
        <v>1</v>
      </c>
      <c r="AA221"/>
      <c r="AB221"/>
    </row>
    <row r="222" spans="1:28" x14ac:dyDescent="0.55000000000000004">
      <c r="A222" s="1">
        <f t="shared" si="53"/>
        <v>222</v>
      </c>
      <c r="B222" t="s">
        <v>38</v>
      </c>
      <c r="C222" t="s">
        <v>194</v>
      </c>
      <c r="D222" t="s">
        <v>133</v>
      </c>
      <c r="E222" t="s">
        <v>2059</v>
      </c>
      <c r="F222" t="s">
        <v>2061</v>
      </c>
      <c r="G222" t="s">
        <v>913</v>
      </c>
      <c r="H222" t="s">
        <v>590</v>
      </c>
      <c r="I222" t="s">
        <v>908</v>
      </c>
      <c r="J222" t="s">
        <v>2062</v>
      </c>
      <c r="K222" t="s">
        <v>916</v>
      </c>
      <c r="L222" t="s">
        <v>1099</v>
      </c>
      <c r="M222" t="s">
        <v>28</v>
      </c>
      <c r="N222" s="1">
        <f t="shared" si="54"/>
        <v>0</v>
      </c>
      <c r="O222" s="1">
        <f t="shared" si="55"/>
        <v>1</v>
      </c>
      <c r="P222" s="1">
        <f t="shared" si="56"/>
        <v>1</v>
      </c>
      <c r="Q222" s="1">
        <f t="shared" si="57"/>
        <v>1</v>
      </c>
      <c r="R222" s="1">
        <f t="shared" si="58"/>
        <v>1</v>
      </c>
      <c r="S222" s="1">
        <f t="shared" si="59"/>
        <v>1</v>
      </c>
      <c r="T222" s="1">
        <f t="shared" si="60"/>
        <v>1</v>
      </c>
      <c r="U222" s="26">
        <f t="shared" si="61"/>
        <v>0</v>
      </c>
      <c r="V222" s="26">
        <f t="shared" si="62"/>
        <v>0</v>
      </c>
      <c r="W222" s="1">
        <f t="shared" si="63"/>
        <v>1</v>
      </c>
      <c r="X222" s="26">
        <f t="shared" si="64"/>
        <v>1</v>
      </c>
      <c r="Y222" s="26">
        <f t="shared" si="65"/>
        <v>0</v>
      </c>
      <c r="Z222" s="1">
        <f t="shared" si="66"/>
        <v>0</v>
      </c>
      <c r="AA222"/>
      <c r="AB222"/>
    </row>
    <row r="223" spans="1:28" x14ac:dyDescent="0.55000000000000004">
      <c r="A223" s="1">
        <f t="shared" si="53"/>
        <v>223</v>
      </c>
      <c r="B223" t="s">
        <v>38</v>
      </c>
      <c r="C223" t="s">
        <v>194</v>
      </c>
      <c r="D223" t="s">
        <v>133</v>
      </c>
      <c r="E223" t="s">
        <v>2059</v>
      </c>
      <c r="F223" t="s">
        <v>390</v>
      </c>
      <c r="G223" t="s">
        <v>930</v>
      </c>
      <c r="H223" t="s">
        <v>579</v>
      </c>
      <c r="I223" t="s">
        <v>909</v>
      </c>
      <c r="J223" t="s">
        <v>2063</v>
      </c>
      <c r="K223" t="s">
        <v>976</v>
      </c>
      <c r="L223" t="s">
        <v>954</v>
      </c>
      <c r="M223" t="s">
        <v>28</v>
      </c>
      <c r="N223" s="1">
        <f t="shared" si="54"/>
        <v>2</v>
      </c>
      <c r="O223" s="1">
        <f t="shared" si="55"/>
        <v>1</v>
      </c>
      <c r="P223" s="1">
        <f t="shared" si="56"/>
        <v>3</v>
      </c>
      <c r="Q223" s="1">
        <f t="shared" si="57"/>
        <v>1</v>
      </c>
      <c r="R223" s="1">
        <f t="shared" si="58"/>
        <v>1</v>
      </c>
      <c r="S223" s="1">
        <f t="shared" si="59"/>
        <v>1</v>
      </c>
      <c r="T223" s="1">
        <f t="shared" si="60"/>
        <v>1</v>
      </c>
      <c r="U223" s="26">
        <f t="shared" si="61"/>
        <v>1</v>
      </c>
      <c r="V223" s="26">
        <f t="shared" si="62"/>
        <v>1</v>
      </c>
      <c r="W223" s="1">
        <f t="shared" si="63"/>
        <v>1</v>
      </c>
      <c r="X223" s="26">
        <f t="shared" si="64"/>
        <v>1</v>
      </c>
      <c r="Y223" s="26">
        <f t="shared" si="65"/>
        <v>0</v>
      </c>
      <c r="Z223" s="1">
        <f t="shared" si="66"/>
        <v>1</v>
      </c>
      <c r="AA223"/>
      <c r="AB223"/>
    </row>
    <row r="224" spans="1:28" x14ac:dyDescent="0.55000000000000004">
      <c r="A224" s="1">
        <f t="shared" si="53"/>
        <v>224</v>
      </c>
      <c r="B224" t="s">
        <v>38</v>
      </c>
      <c r="C224" t="s">
        <v>194</v>
      </c>
      <c r="D224" t="s">
        <v>133</v>
      </c>
      <c r="E224" t="s">
        <v>2059</v>
      </c>
      <c r="F224" t="s">
        <v>390</v>
      </c>
      <c r="G224" t="s">
        <v>904</v>
      </c>
      <c r="H224" t="s">
        <v>575</v>
      </c>
      <c r="I224" t="s">
        <v>898</v>
      </c>
      <c r="J224" t="s">
        <v>2064</v>
      </c>
      <c r="K224" t="s">
        <v>952</v>
      </c>
      <c r="L224" t="s">
        <v>917</v>
      </c>
      <c r="M224" t="s">
        <v>28</v>
      </c>
      <c r="N224" s="1">
        <f t="shared" si="54"/>
        <v>1</v>
      </c>
      <c r="O224" s="1">
        <f t="shared" si="55"/>
        <v>0</v>
      </c>
      <c r="P224" s="1">
        <f t="shared" si="56"/>
        <v>1</v>
      </c>
      <c r="Q224" s="1">
        <f t="shared" si="57"/>
        <v>1</v>
      </c>
      <c r="R224" s="1">
        <f t="shared" si="58"/>
        <v>1</v>
      </c>
      <c r="S224" s="1">
        <f t="shared" si="59"/>
        <v>1</v>
      </c>
      <c r="T224" s="1">
        <f t="shared" si="60"/>
        <v>1</v>
      </c>
      <c r="U224" s="26">
        <f t="shared" si="61"/>
        <v>1</v>
      </c>
      <c r="V224" s="26">
        <f t="shared" si="62"/>
        <v>0</v>
      </c>
      <c r="W224" s="1">
        <f t="shared" si="63"/>
        <v>1</v>
      </c>
      <c r="X224" s="26">
        <f t="shared" si="64"/>
        <v>0</v>
      </c>
      <c r="Y224" s="26">
        <f t="shared" si="65"/>
        <v>0</v>
      </c>
      <c r="Z224" s="1">
        <f t="shared" si="66"/>
        <v>0</v>
      </c>
      <c r="AA224"/>
      <c r="AB224"/>
    </row>
    <row r="225" spans="1:28" x14ac:dyDescent="0.55000000000000004">
      <c r="A225" s="1">
        <f t="shared" si="53"/>
        <v>225</v>
      </c>
      <c r="B225" t="s">
        <v>38</v>
      </c>
      <c r="C225" t="s">
        <v>194</v>
      </c>
      <c r="D225" t="s">
        <v>133</v>
      </c>
      <c r="E225" t="s">
        <v>2059</v>
      </c>
      <c r="F225" t="s">
        <v>390</v>
      </c>
      <c r="G225" t="s">
        <v>945</v>
      </c>
      <c r="H225" t="s">
        <v>687</v>
      </c>
      <c r="I225" t="s">
        <v>934</v>
      </c>
      <c r="J225" t="s">
        <v>2065</v>
      </c>
      <c r="K225" t="s">
        <v>947</v>
      </c>
      <c r="L225" t="s">
        <v>922</v>
      </c>
      <c r="M225" t="s">
        <v>28</v>
      </c>
      <c r="N225" s="1">
        <f t="shared" si="54"/>
        <v>4</v>
      </c>
      <c r="O225" s="1">
        <f t="shared" si="55"/>
        <v>0</v>
      </c>
      <c r="P225" s="1">
        <f t="shared" si="56"/>
        <v>4</v>
      </c>
      <c r="Q225" s="1">
        <f t="shared" si="57"/>
        <v>1</v>
      </c>
      <c r="R225" s="1">
        <f t="shared" si="58"/>
        <v>1</v>
      </c>
      <c r="S225" s="1">
        <f t="shared" si="59"/>
        <v>1</v>
      </c>
      <c r="T225" s="1">
        <f t="shared" si="60"/>
        <v>0</v>
      </c>
      <c r="U225" s="26">
        <f t="shared" si="61"/>
        <v>0</v>
      </c>
      <c r="V225" s="26">
        <f t="shared" si="62"/>
        <v>1</v>
      </c>
      <c r="W225" s="1">
        <f t="shared" si="63"/>
        <v>1</v>
      </c>
      <c r="X225" s="26">
        <f t="shared" si="64"/>
        <v>0</v>
      </c>
      <c r="Y225" s="26">
        <f t="shared" si="65"/>
        <v>0</v>
      </c>
      <c r="Z225" s="1">
        <f t="shared" si="66"/>
        <v>1</v>
      </c>
      <c r="AA225"/>
      <c r="AB225"/>
    </row>
    <row r="226" spans="1:28" x14ac:dyDescent="0.55000000000000004">
      <c r="A226" s="1">
        <f t="shared" si="53"/>
        <v>226</v>
      </c>
      <c r="B226" t="s">
        <v>38</v>
      </c>
      <c r="C226" t="s">
        <v>194</v>
      </c>
      <c r="D226" t="s">
        <v>133</v>
      </c>
      <c r="E226" t="s">
        <v>2059</v>
      </c>
      <c r="F226" t="s">
        <v>390</v>
      </c>
      <c r="G226" t="s">
        <v>918</v>
      </c>
      <c r="H226" t="s">
        <v>590</v>
      </c>
      <c r="I226" t="s">
        <v>981</v>
      </c>
      <c r="J226" t="s">
        <v>2066</v>
      </c>
      <c r="K226" t="s">
        <v>921</v>
      </c>
      <c r="L226" t="s">
        <v>1092</v>
      </c>
      <c r="M226" t="s">
        <v>28</v>
      </c>
      <c r="N226" s="1">
        <f t="shared" si="54"/>
        <v>0</v>
      </c>
      <c r="O226" s="1">
        <f t="shared" si="55"/>
        <v>1</v>
      </c>
      <c r="P226" s="1">
        <f t="shared" si="56"/>
        <v>1</v>
      </c>
      <c r="Q226" s="1">
        <f t="shared" si="57"/>
        <v>1</v>
      </c>
      <c r="R226" s="1">
        <f t="shared" si="58"/>
        <v>1</v>
      </c>
      <c r="S226" s="1">
        <f t="shared" si="59"/>
        <v>1</v>
      </c>
      <c r="T226" s="1">
        <f t="shared" si="60"/>
        <v>1</v>
      </c>
      <c r="U226" s="26">
        <f t="shared" si="61"/>
        <v>0</v>
      </c>
      <c r="V226" s="26">
        <f t="shared" si="62"/>
        <v>0</v>
      </c>
      <c r="W226" s="1">
        <f t="shared" si="63"/>
        <v>1</v>
      </c>
      <c r="X226" s="26">
        <f t="shared" si="64"/>
        <v>1</v>
      </c>
      <c r="Y226" s="26">
        <f t="shared" si="65"/>
        <v>0</v>
      </c>
      <c r="Z226" s="1">
        <f t="shared" si="66"/>
        <v>0</v>
      </c>
      <c r="AA226"/>
      <c r="AB226"/>
    </row>
    <row r="227" spans="1:28" x14ac:dyDescent="0.55000000000000004">
      <c r="A227" s="1">
        <f t="shared" si="53"/>
        <v>227</v>
      </c>
      <c r="B227" t="s">
        <v>38</v>
      </c>
      <c r="C227" t="s">
        <v>194</v>
      </c>
      <c r="D227" t="s">
        <v>133</v>
      </c>
      <c r="E227" t="s">
        <v>2059</v>
      </c>
      <c r="F227" t="s">
        <v>390</v>
      </c>
      <c r="G227" t="s">
        <v>903</v>
      </c>
      <c r="H227" t="s">
        <v>708</v>
      </c>
      <c r="I227" t="s">
        <v>914</v>
      </c>
      <c r="J227" t="s">
        <v>2067</v>
      </c>
      <c r="K227" t="s">
        <v>906</v>
      </c>
      <c r="L227" t="s">
        <v>974</v>
      </c>
      <c r="M227" t="s">
        <v>28</v>
      </c>
      <c r="N227" s="1">
        <f t="shared" si="54"/>
        <v>0</v>
      </c>
      <c r="O227" s="1">
        <f t="shared" si="55"/>
        <v>0</v>
      </c>
      <c r="P227" s="1">
        <f t="shared" si="56"/>
        <v>0</v>
      </c>
      <c r="Q227" s="1">
        <f t="shared" si="57"/>
        <v>0</v>
      </c>
      <c r="R227" s="1">
        <f t="shared" si="58"/>
        <v>1</v>
      </c>
      <c r="S227" s="1">
        <f t="shared" si="59"/>
        <v>0</v>
      </c>
      <c r="T227" s="1">
        <f t="shared" si="60"/>
        <v>1</v>
      </c>
      <c r="U227" s="26">
        <f t="shared" si="61"/>
        <v>0</v>
      </c>
      <c r="V227" s="26">
        <f t="shared" si="62"/>
        <v>0</v>
      </c>
      <c r="W227" s="1">
        <f t="shared" si="63"/>
        <v>1</v>
      </c>
      <c r="X227" s="26">
        <f t="shared" si="64"/>
        <v>0</v>
      </c>
      <c r="Y227" s="26">
        <f t="shared" si="65"/>
        <v>0</v>
      </c>
      <c r="Z227" s="1">
        <f t="shared" si="66"/>
        <v>0</v>
      </c>
      <c r="AA227"/>
      <c r="AB227"/>
    </row>
    <row r="228" spans="1:28" x14ac:dyDescent="0.55000000000000004">
      <c r="A228" s="1">
        <f t="shared" si="53"/>
        <v>228</v>
      </c>
      <c r="B228" t="s">
        <v>38</v>
      </c>
      <c r="C228" t="s">
        <v>194</v>
      </c>
      <c r="D228" t="s">
        <v>133</v>
      </c>
      <c r="E228" t="s">
        <v>2059</v>
      </c>
      <c r="F228" t="s">
        <v>390</v>
      </c>
      <c r="G228" t="s">
        <v>924</v>
      </c>
      <c r="H228" t="s">
        <v>590</v>
      </c>
      <c r="I228" t="s">
        <v>929</v>
      </c>
      <c r="J228" t="s">
        <v>2068</v>
      </c>
      <c r="K228" t="s">
        <v>927</v>
      </c>
      <c r="L228" t="s">
        <v>902</v>
      </c>
      <c r="M228" t="s">
        <v>28</v>
      </c>
      <c r="N228" s="1">
        <f t="shared" si="54"/>
        <v>0</v>
      </c>
      <c r="O228" s="1">
        <f t="shared" si="55"/>
        <v>1</v>
      </c>
      <c r="P228" s="1">
        <f t="shared" si="56"/>
        <v>1</v>
      </c>
      <c r="Q228" s="1">
        <f t="shared" si="57"/>
        <v>1</v>
      </c>
      <c r="R228" s="1">
        <f t="shared" si="58"/>
        <v>1</v>
      </c>
      <c r="S228" s="1">
        <f t="shared" si="59"/>
        <v>1</v>
      </c>
      <c r="T228" s="1">
        <f t="shared" si="60"/>
        <v>1</v>
      </c>
      <c r="U228" s="26">
        <f t="shared" si="61"/>
        <v>0</v>
      </c>
      <c r="V228" s="26">
        <f t="shared" si="62"/>
        <v>0</v>
      </c>
      <c r="W228" s="1">
        <f t="shared" si="63"/>
        <v>1</v>
      </c>
      <c r="X228" s="26">
        <f t="shared" si="64"/>
        <v>1</v>
      </c>
      <c r="Y228" s="26">
        <f t="shared" si="65"/>
        <v>0</v>
      </c>
      <c r="Z228" s="1">
        <f t="shared" si="66"/>
        <v>0</v>
      </c>
      <c r="AA228"/>
      <c r="AB228"/>
    </row>
    <row r="229" spans="1:28" x14ac:dyDescent="0.55000000000000004">
      <c r="A229" s="1">
        <f t="shared" si="53"/>
        <v>229</v>
      </c>
      <c r="B229" t="s">
        <v>38</v>
      </c>
      <c r="C229" t="s">
        <v>194</v>
      </c>
      <c r="D229" t="s">
        <v>133</v>
      </c>
      <c r="E229" t="s">
        <v>2059</v>
      </c>
      <c r="F229" t="s">
        <v>390</v>
      </c>
      <c r="G229" t="s">
        <v>979</v>
      </c>
      <c r="H229" t="s">
        <v>579</v>
      </c>
      <c r="I229" t="s">
        <v>919</v>
      </c>
      <c r="J229" t="s">
        <v>2069</v>
      </c>
      <c r="K229" t="s">
        <v>1102</v>
      </c>
      <c r="L229" t="s">
        <v>1087</v>
      </c>
      <c r="M229" t="s">
        <v>28</v>
      </c>
      <c r="N229" s="1">
        <f t="shared" si="54"/>
        <v>2</v>
      </c>
      <c r="O229" s="1">
        <f t="shared" si="55"/>
        <v>1</v>
      </c>
      <c r="P229" s="1">
        <f t="shared" si="56"/>
        <v>3</v>
      </c>
      <c r="Q229" s="1">
        <f t="shared" si="57"/>
        <v>1</v>
      </c>
      <c r="R229" s="1">
        <f t="shared" si="58"/>
        <v>1</v>
      </c>
      <c r="S229" s="1">
        <f t="shared" si="59"/>
        <v>1</v>
      </c>
      <c r="T229" s="1">
        <f t="shared" si="60"/>
        <v>1</v>
      </c>
      <c r="U229" s="26">
        <f t="shared" si="61"/>
        <v>1</v>
      </c>
      <c r="V229" s="26">
        <f t="shared" si="62"/>
        <v>1</v>
      </c>
      <c r="W229" s="1">
        <f t="shared" si="63"/>
        <v>1</v>
      </c>
      <c r="X229" s="26">
        <f t="shared" si="64"/>
        <v>1</v>
      </c>
      <c r="Y229" s="26">
        <f t="shared" si="65"/>
        <v>0</v>
      </c>
      <c r="Z229" s="1">
        <f t="shared" si="66"/>
        <v>1</v>
      </c>
      <c r="AA229"/>
      <c r="AB229"/>
    </row>
    <row r="230" spans="1:28" x14ac:dyDescent="0.55000000000000004">
      <c r="A230" s="1">
        <f t="shared" si="53"/>
        <v>230</v>
      </c>
      <c r="B230" t="s">
        <v>38</v>
      </c>
      <c r="C230" t="s">
        <v>41</v>
      </c>
      <c r="D230" t="s">
        <v>133</v>
      </c>
      <c r="E230" t="s">
        <v>2070</v>
      </c>
      <c r="F230" t="s">
        <v>390</v>
      </c>
      <c r="G230" t="s">
        <v>934</v>
      </c>
      <c r="H230" t="s">
        <v>881</v>
      </c>
      <c r="I230" t="s">
        <v>924</v>
      </c>
      <c r="J230" t="s">
        <v>2071</v>
      </c>
      <c r="K230" t="s">
        <v>937</v>
      </c>
      <c r="L230" t="s">
        <v>966</v>
      </c>
      <c r="M230" t="s">
        <v>28</v>
      </c>
      <c r="N230" s="1">
        <f t="shared" si="54"/>
        <v>3</v>
      </c>
      <c r="O230" s="1">
        <f t="shared" si="55"/>
        <v>3</v>
      </c>
      <c r="P230" s="1">
        <f t="shared" si="56"/>
        <v>6</v>
      </c>
      <c r="Q230" s="1">
        <f t="shared" si="57"/>
        <v>0</v>
      </c>
      <c r="R230" s="1">
        <f t="shared" si="58"/>
        <v>0</v>
      </c>
      <c r="S230" s="1">
        <f t="shared" si="59"/>
        <v>0</v>
      </c>
      <c r="T230" s="1">
        <f t="shared" si="60"/>
        <v>0</v>
      </c>
      <c r="U230" s="26">
        <f t="shared" si="61"/>
        <v>1</v>
      </c>
      <c r="V230" s="26">
        <f t="shared" si="62"/>
        <v>1</v>
      </c>
      <c r="W230" s="1">
        <f t="shared" si="63"/>
        <v>0</v>
      </c>
      <c r="X230" s="26">
        <f t="shared" si="64"/>
        <v>1</v>
      </c>
      <c r="Y230" s="26">
        <f t="shared" si="65"/>
        <v>1</v>
      </c>
      <c r="Z230" s="1">
        <f t="shared" si="66"/>
        <v>1</v>
      </c>
      <c r="AA230"/>
      <c r="AB230"/>
    </row>
    <row r="231" spans="1:28" x14ac:dyDescent="0.55000000000000004">
      <c r="A231" s="1">
        <f t="shared" si="53"/>
        <v>231</v>
      </c>
      <c r="B231" t="s">
        <v>38</v>
      </c>
      <c r="C231" t="s">
        <v>41</v>
      </c>
      <c r="D231" t="s">
        <v>133</v>
      </c>
      <c r="E231" t="s">
        <v>2070</v>
      </c>
      <c r="F231" t="s">
        <v>390</v>
      </c>
      <c r="G231" t="s">
        <v>898</v>
      </c>
      <c r="H231" t="s">
        <v>683</v>
      </c>
      <c r="I231" t="s">
        <v>940</v>
      </c>
      <c r="J231" t="s">
        <v>2072</v>
      </c>
      <c r="K231" t="s">
        <v>901</v>
      </c>
      <c r="L231" t="s">
        <v>1078</v>
      </c>
      <c r="M231" t="s">
        <v>28</v>
      </c>
      <c r="N231" s="1">
        <f t="shared" si="54"/>
        <v>3</v>
      </c>
      <c r="O231" s="1">
        <f t="shared" si="55"/>
        <v>2</v>
      </c>
      <c r="P231" s="1">
        <f t="shared" si="56"/>
        <v>5</v>
      </c>
      <c r="Q231" s="1">
        <f t="shared" si="57"/>
        <v>1</v>
      </c>
      <c r="R231" s="1">
        <f t="shared" si="58"/>
        <v>0</v>
      </c>
      <c r="S231" s="1">
        <f t="shared" si="59"/>
        <v>0</v>
      </c>
      <c r="T231" s="1">
        <f t="shared" si="60"/>
        <v>0</v>
      </c>
      <c r="U231" s="26">
        <f t="shared" si="61"/>
        <v>1</v>
      </c>
      <c r="V231" s="26">
        <f t="shared" si="62"/>
        <v>1</v>
      </c>
      <c r="W231" s="1">
        <f t="shared" si="63"/>
        <v>1</v>
      </c>
      <c r="X231" s="26">
        <f t="shared" si="64"/>
        <v>1</v>
      </c>
      <c r="Y231" s="26">
        <f t="shared" si="65"/>
        <v>1</v>
      </c>
      <c r="Z231" s="1">
        <f t="shared" si="66"/>
        <v>1</v>
      </c>
      <c r="AA231"/>
      <c r="AB231"/>
    </row>
    <row r="232" spans="1:28" x14ac:dyDescent="0.55000000000000004">
      <c r="A232" s="1">
        <f t="shared" si="53"/>
        <v>232</v>
      </c>
      <c r="B232" t="s">
        <v>38</v>
      </c>
      <c r="C232" t="s">
        <v>41</v>
      </c>
      <c r="D232" t="s">
        <v>42</v>
      </c>
      <c r="E232" t="s">
        <v>1641</v>
      </c>
      <c r="F232" t="s">
        <v>956</v>
      </c>
      <c r="G232" t="s">
        <v>914</v>
      </c>
      <c r="H232" t="s">
        <v>590</v>
      </c>
      <c r="I232" t="s">
        <v>925</v>
      </c>
      <c r="J232" t="s">
        <v>1642</v>
      </c>
      <c r="K232" t="s">
        <v>901</v>
      </c>
      <c r="L232" t="s">
        <v>933</v>
      </c>
      <c r="M232" t="s">
        <v>28</v>
      </c>
      <c r="N232" s="1">
        <f t="shared" si="54"/>
        <v>0</v>
      </c>
      <c r="O232" s="1">
        <f t="shared" si="55"/>
        <v>1</v>
      </c>
      <c r="P232" s="1">
        <f t="shared" si="56"/>
        <v>1</v>
      </c>
      <c r="Q232" s="1">
        <f t="shared" si="57"/>
        <v>1</v>
      </c>
      <c r="R232" s="1">
        <f t="shared" si="58"/>
        <v>1</v>
      </c>
      <c r="S232" s="1">
        <f t="shared" si="59"/>
        <v>1</v>
      </c>
      <c r="T232" s="1">
        <f t="shared" si="60"/>
        <v>1</v>
      </c>
      <c r="U232" s="26">
        <f t="shared" si="61"/>
        <v>0</v>
      </c>
      <c r="V232" s="26">
        <f t="shared" si="62"/>
        <v>0</v>
      </c>
      <c r="W232" s="1">
        <f t="shared" si="63"/>
        <v>1</v>
      </c>
      <c r="X232" s="26">
        <f t="shared" si="64"/>
        <v>1</v>
      </c>
      <c r="Y232" s="26">
        <f t="shared" si="65"/>
        <v>0</v>
      </c>
      <c r="Z232" s="1">
        <f t="shared" si="66"/>
        <v>0</v>
      </c>
      <c r="AA232"/>
      <c r="AB232"/>
    </row>
    <row r="233" spans="1:28" x14ac:dyDescent="0.55000000000000004">
      <c r="A233" s="1">
        <f t="shared" si="53"/>
        <v>233</v>
      </c>
      <c r="B233" t="s">
        <v>38</v>
      </c>
      <c r="C233" t="s">
        <v>41</v>
      </c>
      <c r="D233" t="s">
        <v>42</v>
      </c>
      <c r="E233" t="s">
        <v>1641</v>
      </c>
      <c r="F233" t="s">
        <v>956</v>
      </c>
      <c r="G233" t="s">
        <v>919</v>
      </c>
      <c r="H233" t="s">
        <v>683</v>
      </c>
      <c r="I233" t="s">
        <v>904</v>
      </c>
      <c r="J233" t="s">
        <v>1643</v>
      </c>
      <c r="K233" t="s">
        <v>968</v>
      </c>
      <c r="L233" t="s">
        <v>984</v>
      </c>
      <c r="M233" t="s">
        <v>28</v>
      </c>
      <c r="N233" s="1">
        <f t="shared" si="54"/>
        <v>3</v>
      </c>
      <c r="O233" s="1">
        <f t="shared" si="55"/>
        <v>2</v>
      </c>
      <c r="P233" s="1">
        <f t="shared" si="56"/>
        <v>5</v>
      </c>
      <c r="Q233" s="1">
        <f t="shared" si="57"/>
        <v>1</v>
      </c>
      <c r="R233" s="1">
        <f t="shared" si="58"/>
        <v>0</v>
      </c>
      <c r="S233" s="1">
        <f t="shared" si="59"/>
        <v>0</v>
      </c>
      <c r="T233" s="1">
        <f t="shared" si="60"/>
        <v>0</v>
      </c>
      <c r="U233" s="26">
        <f t="shared" si="61"/>
        <v>1</v>
      </c>
      <c r="V233" s="26">
        <f t="shared" si="62"/>
        <v>1</v>
      </c>
      <c r="W233" s="1">
        <f t="shared" si="63"/>
        <v>1</v>
      </c>
      <c r="X233" s="26">
        <f t="shared" si="64"/>
        <v>1</v>
      </c>
      <c r="Y233" s="26">
        <f t="shared" si="65"/>
        <v>1</v>
      </c>
      <c r="Z233" s="1">
        <f t="shared" si="66"/>
        <v>1</v>
      </c>
      <c r="AA233"/>
      <c r="AB233"/>
    </row>
    <row r="234" spans="1:28" x14ac:dyDescent="0.55000000000000004">
      <c r="A234" s="1">
        <f t="shared" si="53"/>
        <v>234</v>
      </c>
      <c r="B234" t="s">
        <v>38</v>
      </c>
      <c r="C234" t="s">
        <v>41</v>
      </c>
      <c r="D234" t="s">
        <v>42</v>
      </c>
      <c r="E234" t="s">
        <v>1641</v>
      </c>
      <c r="F234" t="s">
        <v>1633</v>
      </c>
      <c r="G234" t="s">
        <v>899</v>
      </c>
      <c r="H234" t="s">
        <v>573</v>
      </c>
      <c r="I234" t="s">
        <v>918</v>
      </c>
      <c r="J234" t="s">
        <v>1644</v>
      </c>
      <c r="K234" t="s">
        <v>973</v>
      </c>
      <c r="L234" t="s">
        <v>912</v>
      </c>
      <c r="M234" t="s">
        <v>28</v>
      </c>
      <c r="N234" s="1">
        <f t="shared" si="54"/>
        <v>2</v>
      </c>
      <c r="O234" s="1">
        <f t="shared" si="55"/>
        <v>0</v>
      </c>
      <c r="P234" s="1">
        <f t="shared" si="56"/>
        <v>2</v>
      </c>
      <c r="Q234" s="1">
        <f t="shared" si="57"/>
        <v>1</v>
      </c>
      <c r="R234" s="1">
        <f t="shared" si="58"/>
        <v>1</v>
      </c>
      <c r="S234" s="1">
        <f t="shared" si="59"/>
        <v>1</v>
      </c>
      <c r="T234" s="1">
        <f t="shared" si="60"/>
        <v>1</v>
      </c>
      <c r="U234" s="26">
        <f t="shared" si="61"/>
        <v>1</v>
      </c>
      <c r="V234" s="26">
        <f t="shared" si="62"/>
        <v>1</v>
      </c>
      <c r="W234" s="1">
        <f t="shared" si="63"/>
        <v>1</v>
      </c>
      <c r="X234" s="26">
        <f t="shared" si="64"/>
        <v>0</v>
      </c>
      <c r="Y234" s="26">
        <f t="shared" si="65"/>
        <v>0</v>
      </c>
      <c r="Z234" s="1">
        <f t="shared" si="66"/>
        <v>1</v>
      </c>
      <c r="AA234"/>
      <c r="AB234"/>
    </row>
    <row r="235" spans="1:28" x14ac:dyDescent="0.55000000000000004">
      <c r="A235" s="1">
        <f t="shared" si="53"/>
        <v>235</v>
      </c>
      <c r="B235" t="s">
        <v>38</v>
      </c>
      <c r="C235" t="s">
        <v>41</v>
      </c>
      <c r="D235" t="s">
        <v>42</v>
      </c>
      <c r="E235" t="s">
        <v>1641</v>
      </c>
      <c r="F235" t="s">
        <v>390</v>
      </c>
      <c r="G235" t="s">
        <v>929</v>
      </c>
      <c r="H235" t="s">
        <v>579</v>
      </c>
      <c r="I235" t="s">
        <v>979</v>
      </c>
      <c r="J235" t="s">
        <v>1645</v>
      </c>
      <c r="K235" t="s">
        <v>932</v>
      </c>
      <c r="L235" t="s">
        <v>1122</v>
      </c>
      <c r="M235" t="s">
        <v>28</v>
      </c>
      <c r="N235" s="1">
        <f t="shared" si="54"/>
        <v>2</v>
      </c>
      <c r="O235" s="1">
        <f t="shared" si="55"/>
        <v>1</v>
      </c>
      <c r="P235" s="1">
        <f t="shared" si="56"/>
        <v>3</v>
      </c>
      <c r="Q235" s="1">
        <f t="shared" si="57"/>
        <v>1</v>
      </c>
      <c r="R235" s="1">
        <f t="shared" si="58"/>
        <v>1</v>
      </c>
      <c r="S235" s="1">
        <f t="shared" si="59"/>
        <v>1</v>
      </c>
      <c r="T235" s="1">
        <f t="shared" si="60"/>
        <v>1</v>
      </c>
      <c r="U235" s="26">
        <f t="shared" si="61"/>
        <v>1</v>
      </c>
      <c r="V235" s="26">
        <f t="shared" si="62"/>
        <v>1</v>
      </c>
      <c r="W235" s="1">
        <f t="shared" si="63"/>
        <v>1</v>
      </c>
      <c r="X235" s="26">
        <f t="shared" si="64"/>
        <v>1</v>
      </c>
      <c r="Y235" s="26">
        <f t="shared" si="65"/>
        <v>0</v>
      </c>
      <c r="Z235" s="1">
        <f t="shared" si="66"/>
        <v>1</v>
      </c>
      <c r="AA235"/>
      <c r="AB235"/>
    </row>
    <row r="236" spans="1:28" x14ac:dyDescent="0.55000000000000004">
      <c r="A236" s="1">
        <f t="shared" si="53"/>
        <v>236</v>
      </c>
      <c r="B236" t="s">
        <v>38</v>
      </c>
      <c r="C236" t="s">
        <v>41</v>
      </c>
      <c r="D236" t="s">
        <v>42</v>
      </c>
      <c r="E236" t="s">
        <v>1641</v>
      </c>
      <c r="F236" t="s">
        <v>390</v>
      </c>
      <c r="G236" t="s">
        <v>913</v>
      </c>
      <c r="H236" t="s">
        <v>581</v>
      </c>
      <c r="I236" t="s">
        <v>945</v>
      </c>
      <c r="J236" t="s">
        <v>1646</v>
      </c>
      <c r="K236" t="s">
        <v>916</v>
      </c>
      <c r="L236" t="s">
        <v>960</v>
      </c>
      <c r="M236" t="s">
        <v>28</v>
      </c>
      <c r="N236" s="1">
        <f t="shared" si="54"/>
        <v>1</v>
      </c>
      <c r="O236" s="1">
        <f t="shared" si="55"/>
        <v>2</v>
      </c>
      <c r="P236" s="1">
        <f t="shared" si="56"/>
        <v>3</v>
      </c>
      <c r="Q236" s="1">
        <f t="shared" si="57"/>
        <v>1</v>
      </c>
      <c r="R236" s="1">
        <f t="shared" si="58"/>
        <v>1</v>
      </c>
      <c r="S236" s="1">
        <f t="shared" si="59"/>
        <v>1</v>
      </c>
      <c r="T236" s="1">
        <f t="shared" si="60"/>
        <v>1</v>
      </c>
      <c r="U236" s="26">
        <f t="shared" si="61"/>
        <v>1</v>
      </c>
      <c r="V236" s="26">
        <f t="shared" si="62"/>
        <v>0</v>
      </c>
      <c r="W236" s="1">
        <f t="shared" si="63"/>
        <v>1</v>
      </c>
      <c r="X236" s="26">
        <f t="shared" si="64"/>
        <v>1</v>
      </c>
      <c r="Y236" s="26">
        <f t="shared" si="65"/>
        <v>1</v>
      </c>
      <c r="Z236" s="1">
        <f t="shared" si="66"/>
        <v>1</v>
      </c>
      <c r="AA236"/>
      <c r="AB236"/>
    </row>
    <row r="237" spans="1:28" x14ac:dyDescent="0.55000000000000004">
      <c r="A237" s="1">
        <f t="shared" si="53"/>
        <v>237</v>
      </c>
      <c r="B237" t="s">
        <v>38</v>
      </c>
      <c r="C237" t="s">
        <v>41</v>
      </c>
      <c r="D237" t="s">
        <v>42</v>
      </c>
      <c r="E237" t="s">
        <v>1641</v>
      </c>
      <c r="F237" t="s">
        <v>390</v>
      </c>
      <c r="G237" t="s">
        <v>981</v>
      </c>
      <c r="H237" t="s">
        <v>722</v>
      </c>
      <c r="I237" t="s">
        <v>903</v>
      </c>
      <c r="J237" t="s">
        <v>1647</v>
      </c>
      <c r="K237" t="s">
        <v>1086</v>
      </c>
      <c r="L237" t="s">
        <v>907</v>
      </c>
      <c r="M237" t="s">
        <v>28</v>
      </c>
      <c r="N237" s="1">
        <f t="shared" si="54"/>
        <v>3</v>
      </c>
      <c r="O237" s="1">
        <f t="shared" si="55"/>
        <v>0</v>
      </c>
      <c r="P237" s="1">
        <f t="shared" si="56"/>
        <v>3</v>
      </c>
      <c r="Q237" s="1">
        <f t="shared" si="57"/>
        <v>1</v>
      </c>
      <c r="R237" s="1">
        <f t="shared" si="58"/>
        <v>1</v>
      </c>
      <c r="S237" s="1">
        <f t="shared" si="59"/>
        <v>1</v>
      </c>
      <c r="T237" s="1">
        <f t="shared" si="60"/>
        <v>0</v>
      </c>
      <c r="U237" s="26">
        <f t="shared" si="61"/>
        <v>1</v>
      </c>
      <c r="V237" s="26">
        <f t="shared" si="62"/>
        <v>1</v>
      </c>
      <c r="W237" s="1">
        <f t="shared" si="63"/>
        <v>1</v>
      </c>
      <c r="X237" s="26">
        <f t="shared" si="64"/>
        <v>0</v>
      </c>
      <c r="Y237" s="26">
        <f t="shared" si="65"/>
        <v>0</v>
      </c>
      <c r="Z237" s="1">
        <f t="shared" si="66"/>
        <v>1</v>
      </c>
      <c r="AA237"/>
      <c r="AB237"/>
    </row>
    <row r="238" spans="1:28" x14ac:dyDescent="0.55000000000000004">
      <c r="A238" s="1">
        <f t="shared" si="53"/>
        <v>238</v>
      </c>
      <c r="B238" t="s">
        <v>38</v>
      </c>
      <c r="C238" t="s">
        <v>41</v>
      </c>
      <c r="D238" t="s">
        <v>42</v>
      </c>
      <c r="E238" t="s">
        <v>1641</v>
      </c>
      <c r="F238" t="s">
        <v>390</v>
      </c>
      <c r="G238" t="s">
        <v>909</v>
      </c>
      <c r="H238" t="s">
        <v>568</v>
      </c>
      <c r="I238" t="s">
        <v>908</v>
      </c>
      <c r="J238" t="s">
        <v>1648</v>
      </c>
      <c r="K238" t="s">
        <v>965</v>
      </c>
      <c r="L238" t="s">
        <v>1103</v>
      </c>
      <c r="M238" t="s">
        <v>28</v>
      </c>
      <c r="N238" s="1">
        <f t="shared" si="54"/>
        <v>0</v>
      </c>
      <c r="O238" s="1">
        <f t="shared" si="55"/>
        <v>2</v>
      </c>
      <c r="P238" s="1">
        <f t="shared" si="56"/>
        <v>2</v>
      </c>
      <c r="Q238" s="1">
        <f t="shared" si="57"/>
        <v>1</v>
      </c>
      <c r="R238" s="1">
        <f t="shared" si="58"/>
        <v>1</v>
      </c>
      <c r="S238" s="1">
        <f t="shared" si="59"/>
        <v>1</v>
      </c>
      <c r="T238" s="1">
        <f t="shared" si="60"/>
        <v>1</v>
      </c>
      <c r="U238" s="26">
        <f t="shared" si="61"/>
        <v>0</v>
      </c>
      <c r="V238" s="26">
        <f t="shared" si="62"/>
        <v>0</v>
      </c>
      <c r="W238" s="1">
        <f t="shared" si="63"/>
        <v>1</v>
      </c>
      <c r="X238" s="26">
        <f t="shared" si="64"/>
        <v>1</v>
      </c>
      <c r="Y238" s="26">
        <f t="shared" si="65"/>
        <v>1</v>
      </c>
      <c r="Z238" s="1">
        <f t="shared" si="66"/>
        <v>1</v>
      </c>
      <c r="AA238"/>
      <c r="AB238"/>
    </row>
    <row r="239" spans="1:28" x14ac:dyDescent="0.55000000000000004">
      <c r="A239" s="1">
        <f t="shared" si="53"/>
        <v>239</v>
      </c>
      <c r="B239" t="s">
        <v>38</v>
      </c>
      <c r="C239" t="s">
        <v>41</v>
      </c>
      <c r="D239" t="s">
        <v>179</v>
      </c>
      <c r="E239" t="s">
        <v>955</v>
      </c>
      <c r="F239" t="s">
        <v>956</v>
      </c>
      <c r="G239" t="s">
        <v>935</v>
      </c>
      <c r="H239" t="s">
        <v>664</v>
      </c>
      <c r="I239" t="s">
        <v>930</v>
      </c>
      <c r="J239" t="s">
        <v>957</v>
      </c>
      <c r="K239" t="s">
        <v>949</v>
      </c>
      <c r="L239" t="s">
        <v>944</v>
      </c>
      <c r="M239" t="s">
        <v>28</v>
      </c>
      <c r="N239" s="1">
        <f t="shared" si="54"/>
        <v>2</v>
      </c>
      <c r="O239" s="1">
        <f t="shared" si="55"/>
        <v>2</v>
      </c>
      <c r="P239" s="1">
        <f t="shared" si="56"/>
        <v>4</v>
      </c>
      <c r="Q239" s="1">
        <f t="shared" si="57"/>
        <v>0</v>
      </c>
      <c r="R239" s="1">
        <f t="shared" si="58"/>
        <v>1</v>
      </c>
      <c r="S239" s="1">
        <f t="shared" si="59"/>
        <v>0</v>
      </c>
      <c r="T239" s="1">
        <f t="shared" si="60"/>
        <v>1</v>
      </c>
      <c r="U239" s="26">
        <f t="shared" si="61"/>
        <v>1</v>
      </c>
      <c r="V239" s="26">
        <f t="shared" si="62"/>
        <v>1</v>
      </c>
      <c r="W239" s="1">
        <f t="shared" si="63"/>
        <v>1</v>
      </c>
      <c r="X239" s="26">
        <f t="shared" si="64"/>
        <v>1</v>
      </c>
      <c r="Y239" s="26">
        <f t="shared" si="65"/>
        <v>1</v>
      </c>
      <c r="Z239" s="1">
        <f t="shared" si="66"/>
        <v>1</v>
      </c>
      <c r="AA239"/>
      <c r="AB239"/>
    </row>
    <row r="240" spans="1:28" x14ac:dyDescent="0.55000000000000004">
      <c r="A240" s="1">
        <f t="shared" si="53"/>
        <v>240</v>
      </c>
      <c r="B240" t="s">
        <v>38</v>
      </c>
      <c r="C240" t="s">
        <v>128</v>
      </c>
      <c r="D240" t="s">
        <v>177</v>
      </c>
      <c r="E240" t="s">
        <v>1132</v>
      </c>
      <c r="F240" t="s">
        <v>218</v>
      </c>
      <c r="G240" t="s">
        <v>940</v>
      </c>
      <c r="H240" t="s">
        <v>817</v>
      </c>
      <c r="I240" t="s">
        <v>934</v>
      </c>
      <c r="J240" t="s">
        <v>1133</v>
      </c>
      <c r="K240" t="s">
        <v>942</v>
      </c>
      <c r="L240" t="s">
        <v>1099</v>
      </c>
      <c r="M240" t="s">
        <v>28</v>
      </c>
      <c r="N240" s="1">
        <f t="shared" si="54"/>
        <v>4</v>
      </c>
      <c r="O240" s="1">
        <f t="shared" si="55"/>
        <v>1</v>
      </c>
      <c r="P240" s="1">
        <f t="shared" si="56"/>
        <v>5</v>
      </c>
      <c r="Q240" s="1">
        <f t="shared" si="57"/>
        <v>1</v>
      </c>
      <c r="R240" s="1">
        <f t="shared" si="58"/>
        <v>0</v>
      </c>
      <c r="S240" s="1">
        <f t="shared" si="59"/>
        <v>0</v>
      </c>
      <c r="T240" s="1">
        <f t="shared" si="60"/>
        <v>0</v>
      </c>
      <c r="U240" s="26">
        <f t="shared" si="61"/>
        <v>0</v>
      </c>
      <c r="V240" s="26">
        <f t="shared" si="62"/>
        <v>1</v>
      </c>
      <c r="W240" s="1">
        <f t="shared" si="63"/>
        <v>1</v>
      </c>
      <c r="X240" s="26">
        <f t="shared" si="64"/>
        <v>1</v>
      </c>
      <c r="Y240" s="26">
        <f t="shared" si="65"/>
        <v>0</v>
      </c>
      <c r="Z240" s="1">
        <f t="shared" si="66"/>
        <v>1</v>
      </c>
      <c r="AA240"/>
      <c r="AB240"/>
    </row>
    <row r="241" spans="1:28" x14ac:dyDescent="0.55000000000000004">
      <c r="A241" s="1">
        <f t="shared" si="53"/>
        <v>241</v>
      </c>
      <c r="B241" t="s">
        <v>38</v>
      </c>
      <c r="C241" t="s">
        <v>194</v>
      </c>
      <c r="D241" t="s">
        <v>42</v>
      </c>
      <c r="E241" t="s">
        <v>1649</v>
      </c>
      <c r="F241" t="s">
        <v>390</v>
      </c>
      <c r="G241" t="s">
        <v>940</v>
      </c>
      <c r="H241" t="s">
        <v>708</v>
      </c>
      <c r="I241" t="s">
        <v>935</v>
      </c>
      <c r="J241" t="s">
        <v>1650</v>
      </c>
      <c r="K241" t="s">
        <v>942</v>
      </c>
      <c r="L241" t="s">
        <v>1095</v>
      </c>
      <c r="M241" t="s">
        <v>28</v>
      </c>
      <c r="N241" s="1">
        <f t="shared" si="54"/>
        <v>0</v>
      </c>
      <c r="O241" s="1">
        <f t="shared" si="55"/>
        <v>0</v>
      </c>
      <c r="P241" s="1">
        <f t="shared" si="56"/>
        <v>0</v>
      </c>
      <c r="Q241" s="1">
        <f t="shared" si="57"/>
        <v>0</v>
      </c>
      <c r="R241" s="1">
        <f t="shared" si="58"/>
        <v>1</v>
      </c>
      <c r="S241" s="1">
        <f t="shared" si="59"/>
        <v>0</v>
      </c>
      <c r="T241" s="1">
        <f t="shared" si="60"/>
        <v>1</v>
      </c>
      <c r="U241" s="26">
        <f t="shared" si="61"/>
        <v>0</v>
      </c>
      <c r="V241" s="26">
        <f t="shared" si="62"/>
        <v>0</v>
      </c>
      <c r="W241" s="1">
        <f t="shared" si="63"/>
        <v>1</v>
      </c>
      <c r="X241" s="26">
        <f t="shared" si="64"/>
        <v>0</v>
      </c>
      <c r="Y241" s="26">
        <f t="shared" si="65"/>
        <v>0</v>
      </c>
      <c r="Z241" s="1">
        <f t="shared" si="66"/>
        <v>0</v>
      </c>
      <c r="AA241"/>
      <c r="AB241"/>
    </row>
    <row r="242" spans="1:28" x14ac:dyDescent="0.55000000000000004">
      <c r="A242" s="1">
        <f t="shared" si="53"/>
        <v>242</v>
      </c>
      <c r="B242" t="s">
        <v>38</v>
      </c>
      <c r="C242" t="s">
        <v>69</v>
      </c>
      <c r="D242" t="s">
        <v>133</v>
      </c>
      <c r="E242" t="s">
        <v>2073</v>
      </c>
      <c r="F242" t="s">
        <v>956</v>
      </c>
      <c r="G242" t="s">
        <v>914</v>
      </c>
      <c r="H242" t="s">
        <v>575</v>
      </c>
      <c r="I242" t="s">
        <v>981</v>
      </c>
      <c r="J242" t="s">
        <v>2074</v>
      </c>
      <c r="K242" t="s">
        <v>901</v>
      </c>
      <c r="L242" t="s">
        <v>1122</v>
      </c>
      <c r="M242" t="s">
        <v>28</v>
      </c>
      <c r="N242" s="1">
        <f t="shared" si="54"/>
        <v>1</v>
      </c>
      <c r="O242" s="1">
        <f t="shared" si="55"/>
        <v>0</v>
      </c>
      <c r="P242" s="1">
        <f t="shared" si="56"/>
        <v>1</v>
      </c>
      <c r="Q242" s="1">
        <f t="shared" si="57"/>
        <v>1</v>
      </c>
      <c r="R242" s="1">
        <f t="shared" si="58"/>
        <v>1</v>
      </c>
      <c r="S242" s="1">
        <f t="shared" si="59"/>
        <v>1</v>
      </c>
      <c r="T242" s="1">
        <f t="shared" si="60"/>
        <v>1</v>
      </c>
      <c r="U242" s="26">
        <f t="shared" si="61"/>
        <v>1</v>
      </c>
      <c r="V242" s="26">
        <f t="shared" si="62"/>
        <v>0</v>
      </c>
      <c r="W242" s="1">
        <f t="shared" si="63"/>
        <v>1</v>
      </c>
      <c r="X242" s="26">
        <f t="shared" si="64"/>
        <v>0</v>
      </c>
      <c r="Y242" s="26">
        <f t="shared" si="65"/>
        <v>0</v>
      </c>
      <c r="Z242" s="1">
        <f t="shared" si="66"/>
        <v>0</v>
      </c>
      <c r="AA242"/>
      <c r="AB242"/>
    </row>
    <row r="243" spans="1:28" x14ac:dyDescent="0.55000000000000004">
      <c r="A243" s="1">
        <f t="shared" si="53"/>
        <v>243</v>
      </c>
      <c r="B243" t="s">
        <v>38</v>
      </c>
      <c r="C243" t="s">
        <v>69</v>
      </c>
      <c r="D243" t="s">
        <v>133</v>
      </c>
      <c r="E243" t="s">
        <v>2073</v>
      </c>
      <c r="F243" t="s">
        <v>956</v>
      </c>
      <c r="G243" t="s">
        <v>918</v>
      </c>
      <c r="H243" t="s">
        <v>581</v>
      </c>
      <c r="I243" t="s">
        <v>940</v>
      </c>
      <c r="J243" t="s">
        <v>2075</v>
      </c>
      <c r="K243" t="s">
        <v>921</v>
      </c>
      <c r="L243" t="s">
        <v>1087</v>
      </c>
      <c r="M243" t="s">
        <v>28</v>
      </c>
      <c r="N243" s="1">
        <f t="shared" si="54"/>
        <v>1</v>
      </c>
      <c r="O243" s="1">
        <f t="shared" si="55"/>
        <v>2</v>
      </c>
      <c r="P243" s="1">
        <f t="shared" si="56"/>
        <v>3</v>
      </c>
      <c r="Q243" s="1">
        <f t="shared" si="57"/>
        <v>1</v>
      </c>
      <c r="R243" s="1">
        <f t="shared" si="58"/>
        <v>1</v>
      </c>
      <c r="S243" s="1">
        <f t="shared" si="59"/>
        <v>1</v>
      </c>
      <c r="T243" s="1">
        <f t="shared" si="60"/>
        <v>1</v>
      </c>
      <c r="U243" s="26">
        <f t="shared" si="61"/>
        <v>1</v>
      </c>
      <c r="V243" s="26">
        <f t="shared" si="62"/>
        <v>0</v>
      </c>
      <c r="W243" s="1">
        <f t="shared" si="63"/>
        <v>1</v>
      </c>
      <c r="X243" s="26">
        <f t="shared" si="64"/>
        <v>1</v>
      </c>
      <c r="Y243" s="26">
        <f t="shared" si="65"/>
        <v>1</v>
      </c>
      <c r="Z243" s="1">
        <f t="shared" si="66"/>
        <v>1</v>
      </c>
      <c r="AA243"/>
      <c r="AB243"/>
    </row>
    <row r="244" spans="1:28" x14ac:dyDescent="0.55000000000000004">
      <c r="A244" s="1">
        <f t="shared" si="53"/>
        <v>244</v>
      </c>
      <c r="B244" t="s">
        <v>38</v>
      </c>
      <c r="C244" t="s">
        <v>69</v>
      </c>
      <c r="D244" t="s">
        <v>133</v>
      </c>
      <c r="E244" t="s">
        <v>2073</v>
      </c>
      <c r="F244" t="s">
        <v>390</v>
      </c>
      <c r="G244" t="s">
        <v>979</v>
      </c>
      <c r="H244" t="s">
        <v>1340</v>
      </c>
      <c r="I244" t="s">
        <v>935</v>
      </c>
      <c r="J244" t="s">
        <v>2076</v>
      </c>
      <c r="K244" t="s">
        <v>1102</v>
      </c>
      <c r="L244" t="s">
        <v>1099</v>
      </c>
      <c r="M244" t="s">
        <v>28</v>
      </c>
      <c r="N244" s="1">
        <f t="shared" si="54"/>
        <v>2</v>
      </c>
      <c r="O244" s="1">
        <f t="shared" si="55"/>
        <v>5</v>
      </c>
      <c r="P244" s="1">
        <f t="shared" si="56"/>
        <v>7</v>
      </c>
      <c r="Q244" s="1">
        <f t="shared" si="57"/>
        <v>1</v>
      </c>
      <c r="R244" s="1">
        <f t="shared" si="58"/>
        <v>0</v>
      </c>
      <c r="S244" s="1">
        <f t="shared" si="59"/>
        <v>0</v>
      </c>
      <c r="T244" s="1">
        <f t="shared" si="60"/>
        <v>1</v>
      </c>
      <c r="U244" s="26">
        <f t="shared" si="61"/>
        <v>1</v>
      </c>
      <c r="V244" s="26">
        <f t="shared" si="62"/>
        <v>1</v>
      </c>
      <c r="W244" s="1">
        <f t="shared" si="63"/>
        <v>0</v>
      </c>
      <c r="X244" s="26">
        <f t="shared" si="64"/>
        <v>0</v>
      </c>
      <c r="Y244" s="26">
        <f t="shared" si="65"/>
        <v>1</v>
      </c>
      <c r="Z244" s="1">
        <f t="shared" si="66"/>
        <v>1</v>
      </c>
      <c r="AA244"/>
      <c r="AB244"/>
    </row>
    <row r="245" spans="1:28" x14ac:dyDescent="0.55000000000000004">
      <c r="A245" s="1">
        <f t="shared" si="53"/>
        <v>245</v>
      </c>
      <c r="B245" t="s">
        <v>38</v>
      </c>
      <c r="C245" t="s">
        <v>69</v>
      </c>
      <c r="D245" t="s">
        <v>42</v>
      </c>
      <c r="E245" t="s">
        <v>1651</v>
      </c>
      <c r="F245" t="s">
        <v>1633</v>
      </c>
      <c r="G245" t="s">
        <v>908</v>
      </c>
      <c r="H245" t="s">
        <v>708</v>
      </c>
      <c r="I245" t="s">
        <v>899</v>
      </c>
      <c r="J245" t="s">
        <v>1652</v>
      </c>
      <c r="K245" t="s">
        <v>911</v>
      </c>
      <c r="L245" t="s">
        <v>1137</v>
      </c>
      <c r="M245" t="s">
        <v>28</v>
      </c>
      <c r="N245" s="1">
        <f t="shared" si="54"/>
        <v>0</v>
      </c>
      <c r="O245" s="1">
        <f t="shared" si="55"/>
        <v>0</v>
      </c>
      <c r="P245" s="1">
        <f t="shared" si="56"/>
        <v>0</v>
      </c>
      <c r="Q245" s="1">
        <f t="shared" si="57"/>
        <v>0</v>
      </c>
      <c r="R245" s="1">
        <f t="shared" si="58"/>
        <v>1</v>
      </c>
      <c r="S245" s="1">
        <f t="shared" si="59"/>
        <v>0</v>
      </c>
      <c r="T245" s="1">
        <f t="shared" si="60"/>
        <v>1</v>
      </c>
      <c r="U245" s="26">
        <f t="shared" si="61"/>
        <v>0</v>
      </c>
      <c r="V245" s="26">
        <f t="shared" si="62"/>
        <v>0</v>
      </c>
      <c r="W245" s="1">
        <f t="shared" si="63"/>
        <v>1</v>
      </c>
      <c r="X245" s="26">
        <f t="shared" si="64"/>
        <v>0</v>
      </c>
      <c r="Y245" s="26">
        <f t="shared" si="65"/>
        <v>0</v>
      </c>
      <c r="Z245" s="1">
        <f t="shared" si="66"/>
        <v>0</v>
      </c>
      <c r="AA245"/>
      <c r="AB245"/>
    </row>
    <row r="246" spans="1:28" x14ac:dyDescent="0.55000000000000004">
      <c r="A246" s="1">
        <f t="shared" si="53"/>
        <v>246</v>
      </c>
      <c r="B246" t="s">
        <v>38</v>
      </c>
      <c r="C246" t="s">
        <v>69</v>
      </c>
      <c r="D246" t="s">
        <v>42</v>
      </c>
      <c r="E246" t="s">
        <v>1651</v>
      </c>
      <c r="F246" t="s">
        <v>390</v>
      </c>
      <c r="G246" t="s">
        <v>925</v>
      </c>
      <c r="H246" t="s">
        <v>573</v>
      </c>
      <c r="I246" t="s">
        <v>945</v>
      </c>
      <c r="J246" t="s">
        <v>1653</v>
      </c>
      <c r="K246" t="s">
        <v>1082</v>
      </c>
      <c r="L246" t="s">
        <v>984</v>
      </c>
      <c r="M246" t="s">
        <v>28</v>
      </c>
      <c r="N246" s="1">
        <f t="shared" si="54"/>
        <v>2</v>
      </c>
      <c r="O246" s="1">
        <f t="shared" si="55"/>
        <v>0</v>
      </c>
      <c r="P246" s="1">
        <f t="shared" si="56"/>
        <v>2</v>
      </c>
      <c r="Q246" s="1">
        <f t="shared" si="57"/>
        <v>1</v>
      </c>
      <c r="R246" s="1">
        <f t="shared" si="58"/>
        <v>1</v>
      </c>
      <c r="S246" s="1">
        <f t="shared" si="59"/>
        <v>1</v>
      </c>
      <c r="T246" s="1">
        <f t="shared" si="60"/>
        <v>1</v>
      </c>
      <c r="U246" s="26">
        <f t="shared" si="61"/>
        <v>1</v>
      </c>
      <c r="V246" s="26">
        <f t="shared" si="62"/>
        <v>1</v>
      </c>
      <c r="W246" s="1">
        <f t="shared" si="63"/>
        <v>1</v>
      </c>
      <c r="X246" s="26">
        <f t="shared" si="64"/>
        <v>0</v>
      </c>
      <c r="Y246" s="26">
        <f t="shared" si="65"/>
        <v>0</v>
      </c>
      <c r="Z246" s="1">
        <f t="shared" si="66"/>
        <v>1</v>
      </c>
      <c r="AA246"/>
      <c r="AB246"/>
    </row>
    <row r="247" spans="1:28" x14ac:dyDescent="0.55000000000000004">
      <c r="A247" s="1">
        <f t="shared" si="53"/>
        <v>247</v>
      </c>
      <c r="B247" t="s">
        <v>38</v>
      </c>
      <c r="C247" t="s">
        <v>69</v>
      </c>
      <c r="D247" t="s">
        <v>42</v>
      </c>
      <c r="E247" t="s">
        <v>1651</v>
      </c>
      <c r="F247" t="s">
        <v>390</v>
      </c>
      <c r="G247" t="s">
        <v>903</v>
      </c>
      <c r="H247" t="s">
        <v>581</v>
      </c>
      <c r="I247" t="s">
        <v>930</v>
      </c>
      <c r="J247" t="s">
        <v>1654</v>
      </c>
      <c r="K247" t="s">
        <v>906</v>
      </c>
      <c r="L247" t="s">
        <v>1106</v>
      </c>
      <c r="M247" t="s">
        <v>28</v>
      </c>
      <c r="N247" s="1">
        <f t="shared" si="54"/>
        <v>1</v>
      </c>
      <c r="O247" s="1">
        <f t="shared" si="55"/>
        <v>2</v>
      </c>
      <c r="P247" s="1">
        <f t="shared" si="56"/>
        <v>3</v>
      </c>
      <c r="Q247" s="1">
        <f t="shared" si="57"/>
        <v>1</v>
      </c>
      <c r="R247" s="1">
        <f t="shared" si="58"/>
        <v>1</v>
      </c>
      <c r="S247" s="1">
        <f t="shared" si="59"/>
        <v>1</v>
      </c>
      <c r="T247" s="1">
        <f t="shared" si="60"/>
        <v>1</v>
      </c>
      <c r="U247" s="26">
        <f t="shared" si="61"/>
        <v>1</v>
      </c>
      <c r="V247" s="26">
        <f t="shared" si="62"/>
        <v>0</v>
      </c>
      <c r="W247" s="1">
        <f t="shared" si="63"/>
        <v>1</v>
      </c>
      <c r="X247" s="26">
        <f t="shared" si="64"/>
        <v>1</v>
      </c>
      <c r="Y247" s="26">
        <f t="shared" si="65"/>
        <v>1</v>
      </c>
      <c r="Z247" s="1">
        <f t="shared" si="66"/>
        <v>1</v>
      </c>
      <c r="AA247"/>
      <c r="AB247"/>
    </row>
    <row r="248" spans="1:28" x14ac:dyDescent="0.55000000000000004">
      <c r="A248" s="1">
        <f t="shared" si="53"/>
        <v>248</v>
      </c>
      <c r="B248" t="s">
        <v>38</v>
      </c>
      <c r="C248" t="s">
        <v>69</v>
      </c>
      <c r="D248" t="s">
        <v>42</v>
      </c>
      <c r="E248" t="s">
        <v>1651</v>
      </c>
      <c r="F248" t="s">
        <v>390</v>
      </c>
      <c r="G248" t="s">
        <v>898</v>
      </c>
      <c r="H248" t="s">
        <v>590</v>
      </c>
      <c r="I248" t="s">
        <v>919</v>
      </c>
      <c r="J248" t="s">
        <v>1655</v>
      </c>
      <c r="K248" t="s">
        <v>901</v>
      </c>
      <c r="L248" t="s">
        <v>922</v>
      </c>
      <c r="M248" t="s">
        <v>28</v>
      </c>
      <c r="N248" s="1">
        <f t="shared" si="54"/>
        <v>0</v>
      </c>
      <c r="O248" s="1">
        <f t="shared" si="55"/>
        <v>1</v>
      </c>
      <c r="P248" s="1">
        <f t="shared" si="56"/>
        <v>1</v>
      </c>
      <c r="Q248" s="1">
        <f t="shared" si="57"/>
        <v>1</v>
      </c>
      <c r="R248" s="1">
        <f t="shared" si="58"/>
        <v>1</v>
      </c>
      <c r="S248" s="1">
        <f t="shared" si="59"/>
        <v>1</v>
      </c>
      <c r="T248" s="1">
        <f t="shared" si="60"/>
        <v>1</v>
      </c>
      <c r="U248" s="26">
        <f t="shared" si="61"/>
        <v>0</v>
      </c>
      <c r="V248" s="26">
        <f t="shared" si="62"/>
        <v>0</v>
      </c>
      <c r="W248" s="1">
        <f t="shared" si="63"/>
        <v>1</v>
      </c>
      <c r="X248" s="26">
        <f t="shared" si="64"/>
        <v>1</v>
      </c>
      <c r="Y248" s="26">
        <f t="shared" si="65"/>
        <v>0</v>
      </c>
      <c r="Z248" s="1">
        <f t="shared" si="66"/>
        <v>0</v>
      </c>
      <c r="AA248"/>
      <c r="AB248"/>
    </row>
    <row r="249" spans="1:28" x14ac:dyDescent="0.55000000000000004">
      <c r="A249" s="1">
        <f t="shared" si="53"/>
        <v>249</v>
      </c>
      <c r="B249" t="s">
        <v>38</v>
      </c>
      <c r="C249" t="s">
        <v>69</v>
      </c>
      <c r="D249" t="s">
        <v>42</v>
      </c>
      <c r="E249" t="s">
        <v>1651</v>
      </c>
      <c r="F249" t="s">
        <v>390</v>
      </c>
      <c r="G249" t="s">
        <v>929</v>
      </c>
      <c r="H249" t="s">
        <v>739</v>
      </c>
      <c r="I249" t="s">
        <v>913</v>
      </c>
      <c r="J249" t="s">
        <v>1656</v>
      </c>
      <c r="K249" t="s">
        <v>932</v>
      </c>
      <c r="L249" t="s">
        <v>944</v>
      </c>
      <c r="M249" t="s">
        <v>28</v>
      </c>
      <c r="N249" s="1">
        <f t="shared" si="54"/>
        <v>0</v>
      </c>
      <c r="O249" s="1">
        <f t="shared" si="55"/>
        <v>3</v>
      </c>
      <c r="P249" s="1">
        <f t="shared" si="56"/>
        <v>3</v>
      </c>
      <c r="Q249" s="1">
        <f t="shared" si="57"/>
        <v>1</v>
      </c>
      <c r="R249" s="1">
        <f t="shared" si="58"/>
        <v>1</v>
      </c>
      <c r="S249" s="1">
        <f t="shared" si="59"/>
        <v>1</v>
      </c>
      <c r="T249" s="1">
        <f t="shared" si="60"/>
        <v>1</v>
      </c>
      <c r="U249" s="26">
        <f t="shared" si="61"/>
        <v>0</v>
      </c>
      <c r="V249" s="26">
        <f t="shared" si="62"/>
        <v>0</v>
      </c>
      <c r="W249" s="1">
        <f t="shared" si="63"/>
        <v>0</v>
      </c>
      <c r="X249" s="26">
        <f t="shared" si="64"/>
        <v>1</v>
      </c>
      <c r="Y249" s="26">
        <f t="shared" si="65"/>
        <v>1</v>
      </c>
      <c r="Z249" s="1">
        <f t="shared" si="66"/>
        <v>1</v>
      </c>
      <c r="AA249"/>
      <c r="AB249"/>
    </row>
    <row r="250" spans="1:28" x14ac:dyDescent="0.55000000000000004">
      <c r="A250" s="1">
        <f t="shared" si="53"/>
        <v>250</v>
      </c>
      <c r="B250" t="s">
        <v>38</v>
      </c>
      <c r="C250" t="s">
        <v>69</v>
      </c>
      <c r="D250" t="s">
        <v>42</v>
      </c>
      <c r="E250" t="s">
        <v>1651</v>
      </c>
      <c r="F250" t="s">
        <v>390</v>
      </c>
      <c r="G250" t="s">
        <v>904</v>
      </c>
      <c r="H250" t="s">
        <v>573</v>
      </c>
      <c r="I250" t="s">
        <v>934</v>
      </c>
      <c r="J250" t="s">
        <v>1657</v>
      </c>
      <c r="K250" t="s">
        <v>952</v>
      </c>
      <c r="L250" t="s">
        <v>912</v>
      </c>
      <c r="M250" t="s">
        <v>28</v>
      </c>
      <c r="N250" s="1">
        <f t="shared" si="54"/>
        <v>2</v>
      </c>
      <c r="O250" s="1">
        <f t="shared" si="55"/>
        <v>0</v>
      </c>
      <c r="P250" s="1">
        <f t="shared" si="56"/>
        <v>2</v>
      </c>
      <c r="Q250" s="1">
        <f t="shared" si="57"/>
        <v>1</v>
      </c>
      <c r="R250" s="1">
        <f t="shared" si="58"/>
        <v>1</v>
      </c>
      <c r="S250" s="1">
        <f t="shared" si="59"/>
        <v>1</v>
      </c>
      <c r="T250" s="1">
        <f t="shared" si="60"/>
        <v>1</v>
      </c>
      <c r="U250" s="26">
        <f t="shared" si="61"/>
        <v>1</v>
      </c>
      <c r="V250" s="26">
        <f t="shared" si="62"/>
        <v>1</v>
      </c>
      <c r="W250" s="1">
        <f t="shared" si="63"/>
        <v>1</v>
      </c>
      <c r="X250" s="26">
        <f t="shared" si="64"/>
        <v>0</v>
      </c>
      <c r="Y250" s="26">
        <f t="shared" si="65"/>
        <v>0</v>
      </c>
      <c r="Z250" s="1">
        <f t="shared" si="66"/>
        <v>1</v>
      </c>
      <c r="AA250"/>
      <c r="AB250"/>
    </row>
    <row r="251" spans="1:28" x14ac:dyDescent="0.55000000000000004">
      <c r="A251" s="1">
        <f t="shared" si="53"/>
        <v>251</v>
      </c>
      <c r="B251" t="s">
        <v>38</v>
      </c>
      <c r="C251" t="s">
        <v>69</v>
      </c>
      <c r="D251" t="s">
        <v>179</v>
      </c>
      <c r="E251" t="s">
        <v>958</v>
      </c>
      <c r="F251" t="s">
        <v>390</v>
      </c>
      <c r="G251" t="s">
        <v>924</v>
      </c>
      <c r="H251" t="s">
        <v>570</v>
      </c>
      <c r="I251" t="s">
        <v>909</v>
      </c>
      <c r="J251" t="s">
        <v>959</v>
      </c>
      <c r="K251" t="s">
        <v>927</v>
      </c>
      <c r="L251" t="s">
        <v>960</v>
      </c>
      <c r="M251" t="s">
        <v>28</v>
      </c>
      <c r="N251" s="1">
        <f t="shared" si="54"/>
        <v>3</v>
      </c>
      <c r="O251" s="1">
        <f t="shared" si="55"/>
        <v>1</v>
      </c>
      <c r="P251" s="1">
        <f t="shared" si="56"/>
        <v>4</v>
      </c>
      <c r="Q251" s="1">
        <f t="shared" si="57"/>
        <v>1</v>
      </c>
      <c r="R251" s="1">
        <f t="shared" si="58"/>
        <v>1</v>
      </c>
      <c r="S251" s="1">
        <f t="shared" si="59"/>
        <v>1</v>
      </c>
      <c r="T251" s="1">
        <f t="shared" si="60"/>
        <v>0</v>
      </c>
      <c r="U251" s="26">
        <f t="shared" si="61"/>
        <v>1</v>
      </c>
      <c r="V251" s="26">
        <f t="shared" si="62"/>
        <v>1</v>
      </c>
      <c r="W251" s="1">
        <f t="shared" si="63"/>
        <v>1</v>
      </c>
      <c r="X251" s="26">
        <f t="shared" si="64"/>
        <v>1</v>
      </c>
      <c r="Y251" s="26">
        <f t="shared" si="65"/>
        <v>0</v>
      </c>
      <c r="Z251" s="1">
        <f t="shared" si="66"/>
        <v>1</v>
      </c>
      <c r="AA251"/>
      <c r="AB251"/>
    </row>
    <row r="252" spans="1:28" x14ac:dyDescent="0.55000000000000004">
      <c r="A252" s="1">
        <f t="shared" si="53"/>
        <v>252</v>
      </c>
      <c r="B252" t="s">
        <v>38</v>
      </c>
      <c r="C252" t="s">
        <v>176</v>
      </c>
      <c r="D252" t="s">
        <v>133</v>
      </c>
      <c r="E252" t="s">
        <v>2077</v>
      </c>
      <c r="F252" t="s">
        <v>956</v>
      </c>
      <c r="G252" t="s">
        <v>919</v>
      </c>
      <c r="H252" t="s">
        <v>608</v>
      </c>
      <c r="I252" t="s">
        <v>935</v>
      </c>
      <c r="J252" t="s">
        <v>2078</v>
      </c>
      <c r="K252" t="s">
        <v>968</v>
      </c>
      <c r="L252" t="s">
        <v>1137</v>
      </c>
      <c r="M252" t="s">
        <v>28</v>
      </c>
      <c r="N252" s="1">
        <f t="shared" si="54"/>
        <v>1</v>
      </c>
      <c r="O252" s="1">
        <f t="shared" si="55"/>
        <v>1</v>
      </c>
      <c r="P252" s="1">
        <f t="shared" si="56"/>
        <v>2</v>
      </c>
      <c r="Q252" s="1">
        <f t="shared" si="57"/>
        <v>0</v>
      </c>
      <c r="R252" s="1">
        <f t="shared" si="58"/>
        <v>1</v>
      </c>
      <c r="S252" s="1">
        <f t="shared" si="59"/>
        <v>0</v>
      </c>
      <c r="T252" s="1">
        <f t="shared" si="60"/>
        <v>1</v>
      </c>
      <c r="U252" s="26">
        <f t="shared" si="61"/>
        <v>1</v>
      </c>
      <c r="V252" s="26">
        <f t="shared" si="62"/>
        <v>0</v>
      </c>
      <c r="W252" s="1">
        <f t="shared" si="63"/>
        <v>1</v>
      </c>
      <c r="X252" s="26">
        <f t="shared" si="64"/>
        <v>1</v>
      </c>
      <c r="Y252" s="26">
        <f t="shared" si="65"/>
        <v>0</v>
      </c>
      <c r="Z252" s="1">
        <f t="shared" si="66"/>
        <v>1</v>
      </c>
      <c r="AA252"/>
      <c r="AB252"/>
    </row>
    <row r="253" spans="1:28" x14ac:dyDescent="0.55000000000000004">
      <c r="A253" s="1">
        <f t="shared" si="53"/>
        <v>253</v>
      </c>
      <c r="B253" t="s">
        <v>38</v>
      </c>
      <c r="C253" t="s">
        <v>176</v>
      </c>
      <c r="D253" t="s">
        <v>133</v>
      </c>
      <c r="E253" t="s">
        <v>2077</v>
      </c>
      <c r="F253" t="s">
        <v>1633</v>
      </c>
      <c r="G253" t="s">
        <v>899</v>
      </c>
      <c r="H253" t="s">
        <v>577</v>
      </c>
      <c r="I253" t="s">
        <v>981</v>
      </c>
      <c r="J253" t="s">
        <v>2079</v>
      </c>
      <c r="K253" t="s">
        <v>973</v>
      </c>
      <c r="L253" t="s">
        <v>907</v>
      </c>
      <c r="M253" t="s">
        <v>28</v>
      </c>
      <c r="N253" s="1">
        <f t="shared" si="54"/>
        <v>1</v>
      </c>
      <c r="O253" s="1">
        <f t="shared" si="55"/>
        <v>3</v>
      </c>
      <c r="P253" s="1">
        <f t="shared" si="56"/>
        <v>4</v>
      </c>
      <c r="Q253" s="1">
        <f t="shared" si="57"/>
        <v>1</v>
      </c>
      <c r="R253" s="1">
        <f t="shared" si="58"/>
        <v>1</v>
      </c>
      <c r="S253" s="1">
        <f t="shared" si="59"/>
        <v>1</v>
      </c>
      <c r="T253" s="1">
        <f t="shared" si="60"/>
        <v>1</v>
      </c>
      <c r="U253" s="26">
        <f t="shared" si="61"/>
        <v>1</v>
      </c>
      <c r="V253" s="26">
        <f t="shared" si="62"/>
        <v>0</v>
      </c>
      <c r="W253" s="1">
        <f t="shared" si="63"/>
        <v>0</v>
      </c>
      <c r="X253" s="26">
        <f t="shared" si="64"/>
        <v>1</v>
      </c>
      <c r="Y253" s="26">
        <f t="shared" si="65"/>
        <v>1</v>
      </c>
      <c r="Z253" s="1">
        <f t="shared" si="66"/>
        <v>1</v>
      </c>
      <c r="AA253"/>
      <c r="AB253"/>
    </row>
    <row r="254" spans="1:28" x14ac:dyDescent="0.55000000000000004">
      <c r="A254" s="1">
        <f t="shared" si="53"/>
        <v>254</v>
      </c>
      <c r="B254" t="s">
        <v>38</v>
      </c>
      <c r="C254" t="s">
        <v>176</v>
      </c>
      <c r="D254" t="s">
        <v>133</v>
      </c>
      <c r="E254" t="s">
        <v>2077</v>
      </c>
      <c r="F254" t="s">
        <v>390</v>
      </c>
      <c r="G254" t="s">
        <v>925</v>
      </c>
      <c r="H254" t="s">
        <v>722</v>
      </c>
      <c r="I254" t="s">
        <v>924</v>
      </c>
      <c r="J254" t="s">
        <v>2080</v>
      </c>
      <c r="K254" t="s">
        <v>1082</v>
      </c>
      <c r="L254" t="s">
        <v>1092</v>
      </c>
      <c r="M254" t="s">
        <v>28</v>
      </c>
      <c r="N254" s="1">
        <f t="shared" si="54"/>
        <v>3</v>
      </c>
      <c r="O254" s="1">
        <f t="shared" si="55"/>
        <v>0</v>
      </c>
      <c r="P254" s="1">
        <f t="shared" si="56"/>
        <v>3</v>
      </c>
      <c r="Q254" s="1">
        <f t="shared" si="57"/>
        <v>1</v>
      </c>
      <c r="R254" s="1">
        <f t="shared" si="58"/>
        <v>1</v>
      </c>
      <c r="S254" s="1">
        <f t="shared" si="59"/>
        <v>1</v>
      </c>
      <c r="T254" s="1">
        <f t="shared" si="60"/>
        <v>0</v>
      </c>
      <c r="U254" s="26">
        <f t="shared" si="61"/>
        <v>1</v>
      </c>
      <c r="V254" s="26">
        <f t="shared" si="62"/>
        <v>1</v>
      </c>
      <c r="W254" s="1">
        <f t="shared" si="63"/>
        <v>1</v>
      </c>
      <c r="X254" s="26">
        <f t="shared" si="64"/>
        <v>0</v>
      </c>
      <c r="Y254" s="26">
        <f t="shared" si="65"/>
        <v>0</v>
      </c>
      <c r="Z254" s="1">
        <f t="shared" si="66"/>
        <v>1</v>
      </c>
      <c r="AA254"/>
      <c r="AB254"/>
    </row>
    <row r="255" spans="1:28" x14ac:dyDescent="0.55000000000000004">
      <c r="A255" s="1">
        <f t="shared" si="53"/>
        <v>255</v>
      </c>
      <c r="B255" t="s">
        <v>38</v>
      </c>
      <c r="C255" t="s">
        <v>176</v>
      </c>
      <c r="D255" t="s">
        <v>133</v>
      </c>
      <c r="E255" t="s">
        <v>2077</v>
      </c>
      <c r="F255" t="s">
        <v>390</v>
      </c>
      <c r="G255" t="s">
        <v>945</v>
      </c>
      <c r="H255" t="s">
        <v>590</v>
      </c>
      <c r="I255" t="s">
        <v>918</v>
      </c>
      <c r="J255" t="s">
        <v>2081</v>
      </c>
      <c r="K255" t="s">
        <v>947</v>
      </c>
      <c r="L255" t="s">
        <v>960</v>
      </c>
      <c r="M255" t="s">
        <v>28</v>
      </c>
      <c r="N255" s="1">
        <f t="shared" si="54"/>
        <v>0</v>
      </c>
      <c r="O255" s="1">
        <f t="shared" si="55"/>
        <v>1</v>
      </c>
      <c r="P255" s="1">
        <f t="shared" si="56"/>
        <v>1</v>
      </c>
      <c r="Q255" s="1">
        <f t="shared" si="57"/>
        <v>1</v>
      </c>
      <c r="R255" s="1">
        <f t="shared" si="58"/>
        <v>1</v>
      </c>
      <c r="S255" s="1">
        <f t="shared" si="59"/>
        <v>1</v>
      </c>
      <c r="T255" s="1">
        <f t="shared" si="60"/>
        <v>1</v>
      </c>
      <c r="U255" s="26">
        <f t="shared" si="61"/>
        <v>0</v>
      </c>
      <c r="V255" s="26">
        <f t="shared" si="62"/>
        <v>0</v>
      </c>
      <c r="W255" s="1">
        <f t="shared" si="63"/>
        <v>1</v>
      </c>
      <c r="X255" s="26">
        <f t="shared" si="64"/>
        <v>1</v>
      </c>
      <c r="Y255" s="26">
        <f t="shared" si="65"/>
        <v>0</v>
      </c>
      <c r="Z255" s="1">
        <f t="shared" si="66"/>
        <v>0</v>
      </c>
      <c r="AA255"/>
      <c r="AB255"/>
    </row>
    <row r="256" spans="1:28" x14ac:dyDescent="0.55000000000000004">
      <c r="A256" s="1">
        <f t="shared" si="53"/>
        <v>256</v>
      </c>
      <c r="B256" t="s">
        <v>38</v>
      </c>
      <c r="C256" t="s">
        <v>176</v>
      </c>
      <c r="D256" t="s">
        <v>133</v>
      </c>
      <c r="E256" t="s">
        <v>2077</v>
      </c>
      <c r="F256" t="s">
        <v>390</v>
      </c>
      <c r="G256" t="s">
        <v>930</v>
      </c>
      <c r="H256" t="s">
        <v>575</v>
      </c>
      <c r="I256" t="s">
        <v>914</v>
      </c>
      <c r="J256" t="s">
        <v>2082</v>
      </c>
      <c r="K256" t="s">
        <v>976</v>
      </c>
      <c r="L256" t="s">
        <v>1095</v>
      </c>
      <c r="M256" t="s">
        <v>28</v>
      </c>
      <c r="N256" s="1">
        <f t="shared" si="54"/>
        <v>1</v>
      </c>
      <c r="O256" s="1">
        <f t="shared" si="55"/>
        <v>0</v>
      </c>
      <c r="P256" s="1">
        <f t="shared" si="56"/>
        <v>1</v>
      </c>
      <c r="Q256" s="1">
        <f t="shared" si="57"/>
        <v>1</v>
      </c>
      <c r="R256" s="1">
        <f t="shared" si="58"/>
        <v>1</v>
      </c>
      <c r="S256" s="1">
        <f t="shared" si="59"/>
        <v>1</v>
      </c>
      <c r="T256" s="1">
        <f t="shared" si="60"/>
        <v>1</v>
      </c>
      <c r="U256" s="26">
        <f t="shared" si="61"/>
        <v>1</v>
      </c>
      <c r="V256" s="26">
        <f t="shared" si="62"/>
        <v>0</v>
      </c>
      <c r="W256" s="1">
        <f t="shared" si="63"/>
        <v>1</v>
      </c>
      <c r="X256" s="26">
        <f t="shared" si="64"/>
        <v>0</v>
      </c>
      <c r="Y256" s="26">
        <f t="shared" si="65"/>
        <v>0</v>
      </c>
      <c r="Z256" s="1">
        <f t="shared" si="66"/>
        <v>0</v>
      </c>
      <c r="AA256"/>
      <c r="AB256"/>
    </row>
    <row r="257" spans="1:28" x14ac:dyDescent="0.55000000000000004">
      <c r="A257" s="1">
        <f t="shared" si="53"/>
        <v>257</v>
      </c>
      <c r="B257" t="s">
        <v>38</v>
      </c>
      <c r="C257" t="s">
        <v>176</v>
      </c>
      <c r="D257" t="s">
        <v>133</v>
      </c>
      <c r="E257" t="s">
        <v>2077</v>
      </c>
      <c r="F257" t="s">
        <v>390</v>
      </c>
      <c r="G257" t="s">
        <v>909</v>
      </c>
      <c r="H257" t="s">
        <v>608</v>
      </c>
      <c r="I257" t="s">
        <v>979</v>
      </c>
      <c r="J257" t="s">
        <v>2083</v>
      </c>
      <c r="K257" t="s">
        <v>965</v>
      </c>
      <c r="L257" t="s">
        <v>944</v>
      </c>
      <c r="M257" t="s">
        <v>28</v>
      </c>
      <c r="N257" s="1">
        <f t="shared" si="54"/>
        <v>1</v>
      </c>
      <c r="O257" s="1">
        <f t="shared" si="55"/>
        <v>1</v>
      </c>
      <c r="P257" s="1">
        <f t="shared" si="56"/>
        <v>2</v>
      </c>
      <c r="Q257" s="1">
        <f t="shared" si="57"/>
        <v>0</v>
      </c>
      <c r="R257" s="1">
        <f t="shared" si="58"/>
        <v>1</v>
      </c>
      <c r="S257" s="1">
        <f t="shared" si="59"/>
        <v>0</v>
      </c>
      <c r="T257" s="1">
        <f t="shared" si="60"/>
        <v>1</v>
      </c>
      <c r="U257" s="26">
        <f t="shared" si="61"/>
        <v>1</v>
      </c>
      <c r="V257" s="26">
        <f t="shared" si="62"/>
        <v>0</v>
      </c>
      <c r="W257" s="1">
        <f t="shared" si="63"/>
        <v>1</v>
      </c>
      <c r="X257" s="26">
        <f t="shared" si="64"/>
        <v>1</v>
      </c>
      <c r="Y257" s="26">
        <f t="shared" si="65"/>
        <v>0</v>
      </c>
      <c r="Z257" s="1">
        <f t="shared" si="66"/>
        <v>1</v>
      </c>
      <c r="AA257"/>
      <c r="AB257"/>
    </row>
    <row r="258" spans="1:28" x14ac:dyDescent="0.55000000000000004">
      <c r="A258" s="1">
        <f t="shared" si="53"/>
        <v>258</v>
      </c>
      <c r="B258" t="s">
        <v>38</v>
      </c>
      <c r="C258" t="s">
        <v>176</v>
      </c>
      <c r="D258" t="s">
        <v>133</v>
      </c>
      <c r="E258" t="s">
        <v>2077</v>
      </c>
      <c r="F258" t="s">
        <v>390</v>
      </c>
      <c r="G258" t="s">
        <v>934</v>
      </c>
      <c r="H258" t="s">
        <v>664</v>
      </c>
      <c r="I258" t="s">
        <v>898</v>
      </c>
      <c r="J258" t="s">
        <v>2084</v>
      </c>
      <c r="K258" t="s">
        <v>937</v>
      </c>
      <c r="L258" t="s">
        <v>974</v>
      </c>
      <c r="M258" t="s">
        <v>28</v>
      </c>
      <c r="N258" s="1">
        <f t="shared" si="54"/>
        <v>2</v>
      </c>
      <c r="O258" s="1">
        <f t="shared" si="55"/>
        <v>2</v>
      </c>
      <c r="P258" s="1">
        <f t="shared" si="56"/>
        <v>4</v>
      </c>
      <c r="Q258" s="1">
        <f t="shared" si="57"/>
        <v>0</v>
      </c>
      <c r="R258" s="1">
        <f t="shared" si="58"/>
        <v>1</v>
      </c>
      <c r="S258" s="1">
        <f t="shared" si="59"/>
        <v>0</v>
      </c>
      <c r="T258" s="1">
        <f t="shared" si="60"/>
        <v>1</v>
      </c>
      <c r="U258" s="26">
        <f t="shared" si="61"/>
        <v>1</v>
      </c>
      <c r="V258" s="26">
        <f t="shared" si="62"/>
        <v>1</v>
      </c>
      <c r="W258" s="1">
        <f t="shared" si="63"/>
        <v>1</v>
      </c>
      <c r="X258" s="26">
        <f t="shared" si="64"/>
        <v>1</v>
      </c>
      <c r="Y258" s="26">
        <f t="shared" si="65"/>
        <v>1</v>
      </c>
      <c r="Z258" s="1">
        <f t="shared" si="66"/>
        <v>1</v>
      </c>
      <c r="AA258"/>
      <c r="AB258"/>
    </row>
    <row r="259" spans="1:28" x14ac:dyDescent="0.55000000000000004">
      <c r="A259" s="1">
        <f t="shared" ref="A259:A322" si="67">A258+1</f>
        <v>259</v>
      </c>
      <c r="B259" t="s">
        <v>38</v>
      </c>
      <c r="C259" t="s">
        <v>176</v>
      </c>
      <c r="D259" t="s">
        <v>133</v>
      </c>
      <c r="E259" t="s">
        <v>2077</v>
      </c>
      <c r="F259" t="s">
        <v>390</v>
      </c>
      <c r="G259" t="s">
        <v>908</v>
      </c>
      <c r="H259" t="s">
        <v>575</v>
      </c>
      <c r="I259" t="s">
        <v>929</v>
      </c>
      <c r="J259" t="s">
        <v>2085</v>
      </c>
      <c r="K259" t="s">
        <v>911</v>
      </c>
      <c r="L259" t="s">
        <v>1078</v>
      </c>
      <c r="M259" t="s">
        <v>28</v>
      </c>
      <c r="N259" s="1">
        <f t="shared" ref="N259:N322" si="68">VALUE(LEFT(H259,1))</f>
        <v>1</v>
      </c>
      <c r="O259" s="1">
        <f t="shared" ref="O259:O322" si="69">VALUE(RIGHT(H259,1))</f>
        <v>0</v>
      </c>
      <c r="P259" s="1">
        <f t="shared" ref="P259:P322" si="70">SUM(N259,O259)</f>
        <v>1</v>
      </c>
      <c r="Q259" s="1">
        <f t="shared" ref="Q259:Q322" si="71">IF(N259&lt;&gt;O259, 1, 0)</f>
        <v>1</v>
      </c>
      <c r="R259" s="1">
        <f t="shared" ref="R259:R322" si="72">IF(P259&lt;=4,1,0)</f>
        <v>1</v>
      </c>
      <c r="S259" s="1">
        <f t="shared" ref="S259:S322" si="73">IF(AND(Q259=1,R259=1),1,0)</f>
        <v>1</v>
      </c>
      <c r="T259" s="1">
        <f t="shared" ref="T259:T322" si="74">IF(N259&lt;=2,1,0)</f>
        <v>1</v>
      </c>
      <c r="U259" s="26">
        <f t="shared" ref="U259:U322" si="75">IF(AND(N259&gt;=1,N259&lt;=3),1,0)</f>
        <v>1</v>
      </c>
      <c r="V259" s="26">
        <f t="shared" ref="V259:V322" si="76">IF(AND(N259&gt;=2,N259&lt;=5),1,0)</f>
        <v>0</v>
      </c>
      <c r="W259" s="1">
        <f t="shared" ref="W259:W322" si="77">IF(O259&lt;=2,1,0)</f>
        <v>1</v>
      </c>
      <c r="X259" s="26">
        <f t="shared" ref="X259:X322" si="78">IF(AND(O259&gt;=1,O259&lt;=3),1,0)</f>
        <v>0</v>
      </c>
      <c r="Y259" s="26">
        <f t="shared" ref="Y259:Y322" si="79">IF(AND(O259&gt;=2,O259&lt;=5),1,0)</f>
        <v>0</v>
      </c>
      <c r="Z259" s="1">
        <f t="shared" ref="Z259:Z322" si="80">IF(P259&gt;=2,1,0)</f>
        <v>0</v>
      </c>
      <c r="AA259"/>
      <c r="AB259"/>
    </row>
    <row r="260" spans="1:28" x14ac:dyDescent="0.55000000000000004">
      <c r="A260" s="1">
        <f t="shared" si="67"/>
        <v>260</v>
      </c>
      <c r="B260" t="s">
        <v>38</v>
      </c>
      <c r="C260" t="s">
        <v>176</v>
      </c>
      <c r="D260" t="s">
        <v>133</v>
      </c>
      <c r="E260" t="s">
        <v>2077</v>
      </c>
      <c r="F260" t="s">
        <v>390</v>
      </c>
      <c r="G260" t="s">
        <v>940</v>
      </c>
      <c r="H260" t="s">
        <v>579</v>
      </c>
      <c r="I260" t="s">
        <v>903</v>
      </c>
      <c r="J260" t="s">
        <v>2086</v>
      </c>
      <c r="K260" t="s">
        <v>942</v>
      </c>
      <c r="L260" t="s">
        <v>928</v>
      </c>
      <c r="M260" t="s">
        <v>28</v>
      </c>
      <c r="N260" s="1">
        <f t="shared" si="68"/>
        <v>2</v>
      </c>
      <c r="O260" s="1">
        <f t="shared" si="69"/>
        <v>1</v>
      </c>
      <c r="P260" s="1">
        <f t="shared" si="70"/>
        <v>3</v>
      </c>
      <c r="Q260" s="1">
        <f t="shared" si="71"/>
        <v>1</v>
      </c>
      <c r="R260" s="1">
        <f t="shared" si="72"/>
        <v>1</v>
      </c>
      <c r="S260" s="1">
        <f t="shared" si="73"/>
        <v>1</v>
      </c>
      <c r="T260" s="1">
        <f t="shared" si="74"/>
        <v>1</v>
      </c>
      <c r="U260" s="26">
        <f t="shared" si="75"/>
        <v>1</v>
      </c>
      <c r="V260" s="26">
        <f t="shared" si="76"/>
        <v>1</v>
      </c>
      <c r="W260" s="1">
        <f t="shared" si="77"/>
        <v>1</v>
      </c>
      <c r="X260" s="26">
        <f t="shared" si="78"/>
        <v>1</v>
      </c>
      <c r="Y260" s="26">
        <f t="shared" si="79"/>
        <v>0</v>
      </c>
      <c r="Z260" s="1">
        <f t="shared" si="80"/>
        <v>1</v>
      </c>
      <c r="AA260"/>
      <c r="AB260"/>
    </row>
    <row r="261" spans="1:28" x14ac:dyDescent="0.55000000000000004">
      <c r="A261" s="1">
        <f t="shared" si="67"/>
        <v>261</v>
      </c>
      <c r="B261" t="s">
        <v>38</v>
      </c>
      <c r="C261" t="s">
        <v>176</v>
      </c>
      <c r="D261" t="s">
        <v>42</v>
      </c>
      <c r="E261" t="s">
        <v>1658</v>
      </c>
      <c r="F261" t="s">
        <v>1633</v>
      </c>
      <c r="G261" t="s">
        <v>913</v>
      </c>
      <c r="H261" t="s">
        <v>579</v>
      </c>
      <c r="I261" t="s">
        <v>904</v>
      </c>
      <c r="J261" t="s">
        <v>1659</v>
      </c>
      <c r="K261" t="s">
        <v>916</v>
      </c>
      <c r="L261" t="s">
        <v>1660</v>
      </c>
      <c r="M261" t="s">
        <v>28</v>
      </c>
      <c r="N261" s="1">
        <f t="shared" si="68"/>
        <v>2</v>
      </c>
      <c r="O261" s="1">
        <f t="shared" si="69"/>
        <v>1</v>
      </c>
      <c r="P261" s="1">
        <f t="shared" si="70"/>
        <v>3</v>
      </c>
      <c r="Q261" s="1">
        <f t="shared" si="71"/>
        <v>1</v>
      </c>
      <c r="R261" s="1">
        <f t="shared" si="72"/>
        <v>1</v>
      </c>
      <c r="S261" s="1">
        <f t="shared" si="73"/>
        <v>1</v>
      </c>
      <c r="T261" s="1">
        <f t="shared" si="74"/>
        <v>1</v>
      </c>
      <c r="U261" s="26">
        <f t="shared" si="75"/>
        <v>1</v>
      </c>
      <c r="V261" s="26">
        <f t="shared" si="76"/>
        <v>1</v>
      </c>
      <c r="W261" s="1">
        <f t="shared" si="77"/>
        <v>1</v>
      </c>
      <c r="X261" s="26">
        <f t="shared" si="78"/>
        <v>1</v>
      </c>
      <c r="Y261" s="26">
        <f t="shared" si="79"/>
        <v>0</v>
      </c>
      <c r="Z261" s="1">
        <f t="shared" si="80"/>
        <v>1</v>
      </c>
      <c r="AA261"/>
      <c r="AB261"/>
    </row>
    <row r="262" spans="1:28" x14ac:dyDescent="0.55000000000000004">
      <c r="A262" s="1">
        <f t="shared" si="67"/>
        <v>262</v>
      </c>
      <c r="B262" t="s">
        <v>38</v>
      </c>
      <c r="C262" t="s">
        <v>82</v>
      </c>
      <c r="D262" t="s">
        <v>177</v>
      </c>
      <c r="E262" t="s">
        <v>1134</v>
      </c>
      <c r="F262" t="s">
        <v>1090</v>
      </c>
      <c r="G262" t="s">
        <v>908</v>
      </c>
      <c r="H262" t="s">
        <v>590</v>
      </c>
      <c r="I262" t="s">
        <v>945</v>
      </c>
      <c r="J262" t="s">
        <v>1135</v>
      </c>
      <c r="K262" t="s">
        <v>911</v>
      </c>
      <c r="L262" t="s">
        <v>1087</v>
      </c>
      <c r="M262" t="s">
        <v>28</v>
      </c>
      <c r="N262" s="1">
        <f t="shared" si="68"/>
        <v>0</v>
      </c>
      <c r="O262" s="1">
        <f t="shared" si="69"/>
        <v>1</v>
      </c>
      <c r="P262" s="1">
        <f t="shared" si="70"/>
        <v>1</v>
      </c>
      <c r="Q262" s="1">
        <f t="shared" si="71"/>
        <v>1</v>
      </c>
      <c r="R262" s="1">
        <f t="shared" si="72"/>
        <v>1</v>
      </c>
      <c r="S262" s="1">
        <f t="shared" si="73"/>
        <v>1</v>
      </c>
      <c r="T262" s="1">
        <f t="shared" si="74"/>
        <v>1</v>
      </c>
      <c r="U262" s="26">
        <f t="shared" si="75"/>
        <v>0</v>
      </c>
      <c r="V262" s="26">
        <f t="shared" si="76"/>
        <v>0</v>
      </c>
      <c r="W262" s="1">
        <f t="shared" si="77"/>
        <v>1</v>
      </c>
      <c r="X262" s="26">
        <f t="shared" si="78"/>
        <v>1</v>
      </c>
      <c r="Y262" s="26">
        <f t="shared" si="79"/>
        <v>0</v>
      </c>
      <c r="Z262" s="1">
        <f t="shared" si="80"/>
        <v>0</v>
      </c>
      <c r="AA262"/>
      <c r="AB262"/>
    </row>
    <row r="263" spans="1:28" x14ac:dyDescent="0.55000000000000004">
      <c r="A263" s="1">
        <f t="shared" si="67"/>
        <v>263</v>
      </c>
      <c r="B263" t="s">
        <v>38</v>
      </c>
      <c r="C263" t="s">
        <v>82</v>
      </c>
      <c r="D263" t="s">
        <v>177</v>
      </c>
      <c r="E263" t="s">
        <v>1134</v>
      </c>
      <c r="F263" t="s">
        <v>390</v>
      </c>
      <c r="G263" t="s">
        <v>925</v>
      </c>
      <c r="H263" t="s">
        <v>570</v>
      </c>
      <c r="I263" t="s">
        <v>929</v>
      </c>
      <c r="J263" t="s">
        <v>1136</v>
      </c>
      <c r="K263" t="s">
        <v>1082</v>
      </c>
      <c r="L263" t="s">
        <v>1137</v>
      </c>
      <c r="M263" t="s">
        <v>28</v>
      </c>
      <c r="N263" s="1">
        <f t="shared" si="68"/>
        <v>3</v>
      </c>
      <c r="O263" s="1">
        <f t="shared" si="69"/>
        <v>1</v>
      </c>
      <c r="P263" s="1">
        <f t="shared" si="70"/>
        <v>4</v>
      </c>
      <c r="Q263" s="1">
        <f t="shared" si="71"/>
        <v>1</v>
      </c>
      <c r="R263" s="1">
        <f t="shared" si="72"/>
        <v>1</v>
      </c>
      <c r="S263" s="1">
        <f t="shared" si="73"/>
        <v>1</v>
      </c>
      <c r="T263" s="1">
        <f t="shared" si="74"/>
        <v>0</v>
      </c>
      <c r="U263" s="26">
        <f t="shared" si="75"/>
        <v>1</v>
      </c>
      <c r="V263" s="26">
        <f t="shared" si="76"/>
        <v>1</v>
      </c>
      <c r="W263" s="1">
        <f t="shared" si="77"/>
        <v>1</v>
      </c>
      <c r="X263" s="26">
        <f t="shared" si="78"/>
        <v>1</v>
      </c>
      <c r="Y263" s="26">
        <f t="shared" si="79"/>
        <v>0</v>
      </c>
      <c r="Z263" s="1">
        <f t="shared" si="80"/>
        <v>1</v>
      </c>
      <c r="AA263"/>
      <c r="AB263"/>
    </row>
    <row r="264" spans="1:28" x14ac:dyDescent="0.55000000000000004">
      <c r="A264" s="1">
        <f t="shared" si="67"/>
        <v>264</v>
      </c>
      <c r="B264" t="s">
        <v>38</v>
      </c>
      <c r="C264" t="s">
        <v>76</v>
      </c>
      <c r="D264" t="s">
        <v>174</v>
      </c>
      <c r="E264" t="s">
        <v>1355</v>
      </c>
      <c r="F264" t="s">
        <v>390</v>
      </c>
      <c r="G264" t="s">
        <v>904</v>
      </c>
      <c r="H264" t="s">
        <v>1214</v>
      </c>
      <c r="I264" t="s">
        <v>940</v>
      </c>
      <c r="J264" t="s">
        <v>1356</v>
      </c>
      <c r="K264" t="s">
        <v>952</v>
      </c>
      <c r="L264" t="s">
        <v>1097</v>
      </c>
      <c r="M264" t="s">
        <v>28</v>
      </c>
      <c r="N264" s="1">
        <f t="shared" si="68"/>
        <v>4</v>
      </c>
      <c r="O264" s="1">
        <f t="shared" si="69"/>
        <v>2</v>
      </c>
      <c r="P264" s="1">
        <f t="shared" si="70"/>
        <v>6</v>
      </c>
      <c r="Q264" s="1">
        <f t="shared" si="71"/>
        <v>1</v>
      </c>
      <c r="R264" s="1">
        <f t="shared" si="72"/>
        <v>0</v>
      </c>
      <c r="S264" s="1">
        <f t="shared" si="73"/>
        <v>0</v>
      </c>
      <c r="T264" s="1">
        <f t="shared" si="74"/>
        <v>0</v>
      </c>
      <c r="U264" s="26">
        <f t="shared" si="75"/>
        <v>0</v>
      </c>
      <c r="V264" s="26">
        <f t="shared" si="76"/>
        <v>1</v>
      </c>
      <c r="W264" s="1">
        <f t="shared" si="77"/>
        <v>1</v>
      </c>
      <c r="X264" s="26">
        <f t="shared" si="78"/>
        <v>1</v>
      </c>
      <c r="Y264" s="26">
        <f t="shared" si="79"/>
        <v>1</v>
      </c>
      <c r="Z264" s="1">
        <f t="shared" si="80"/>
        <v>1</v>
      </c>
      <c r="AA264"/>
      <c r="AB264"/>
    </row>
    <row r="265" spans="1:28" x14ac:dyDescent="0.55000000000000004">
      <c r="A265" s="1">
        <f t="shared" si="67"/>
        <v>265</v>
      </c>
      <c r="B265" t="s">
        <v>38</v>
      </c>
      <c r="C265" t="s">
        <v>76</v>
      </c>
      <c r="D265" t="s">
        <v>133</v>
      </c>
      <c r="E265" t="s">
        <v>2087</v>
      </c>
      <c r="F265" t="s">
        <v>956</v>
      </c>
      <c r="G265" t="s">
        <v>935</v>
      </c>
      <c r="H265" t="s">
        <v>708</v>
      </c>
      <c r="I265" t="s">
        <v>899</v>
      </c>
      <c r="J265" t="s">
        <v>2088</v>
      </c>
      <c r="K265" t="s">
        <v>949</v>
      </c>
      <c r="L265" t="s">
        <v>928</v>
      </c>
      <c r="M265" t="s">
        <v>28</v>
      </c>
      <c r="N265" s="1">
        <f t="shared" si="68"/>
        <v>0</v>
      </c>
      <c r="O265" s="1">
        <f t="shared" si="69"/>
        <v>0</v>
      </c>
      <c r="P265" s="1">
        <f t="shared" si="70"/>
        <v>0</v>
      </c>
      <c r="Q265" s="1">
        <f t="shared" si="71"/>
        <v>0</v>
      </c>
      <c r="R265" s="1">
        <f t="shared" si="72"/>
        <v>1</v>
      </c>
      <c r="S265" s="1">
        <f t="shared" si="73"/>
        <v>0</v>
      </c>
      <c r="T265" s="1">
        <f t="shared" si="74"/>
        <v>1</v>
      </c>
      <c r="U265" s="26">
        <f t="shared" si="75"/>
        <v>0</v>
      </c>
      <c r="V265" s="26">
        <f t="shared" si="76"/>
        <v>0</v>
      </c>
      <c r="W265" s="1">
        <f t="shared" si="77"/>
        <v>1</v>
      </c>
      <c r="X265" s="26">
        <f t="shared" si="78"/>
        <v>0</v>
      </c>
      <c r="Y265" s="26">
        <f t="shared" si="79"/>
        <v>0</v>
      </c>
      <c r="Z265" s="1">
        <f t="shared" si="80"/>
        <v>0</v>
      </c>
      <c r="AA265"/>
      <c r="AB265"/>
    </row>
    <row r="266" spans="1:28" x14ac:dyDescent="0.55000000000000004">
      <c r="A266" s="1">
        <f t="shared" si="67"/>
        <v>266</v>
      </c>
      <c r="B266" t="s">
        <v>38</v>
      </c>
      <c r="C266" t="s">
        <v>76</v>
      </c>
      <c r="D266" t="s">
        <v>133</v>
      </c>
      <c r="E266" t="s">
        <v>2087</v>
      </c>
      <c r="F266" t="s">
        <v>390</v>
      </c>
      <c r="G266" t="s">
        <v>903</v>
      </c>
      <c r="H266" t="s">
        <v>1285</v>
      </c>
      <c r="I266" t="s">
        <v>979</v>
      </c>
      <c r="J266" t="s">
        <v>2089</v>
      </c>
      <c r="K266" t="s">
        <v>906</v>
      </c>
      <c r="L266" t="s">
        <v>1678</v>
      </c>
      <c r="M266" t="s">
        <v>28</v>
      </c>
      <c r="N266" s="1">
        <f t="shared" si="68"/>
        <v>3</v>
      </c>
      <c r="O266" s="1">
        <f t="shared" si="69"/>
        <v>4</v>
      </c>
      <c r="P266" s="1">
        <f t="shared" si="70"/>
        <v>7</v>
      </c>
      <c r="Q266" s="1">
        <f t="shared" si="71"/>
        <v>1</v>
      </c>
      <c r="R266" s="1">
        <f t="shared" si="72"/>
        <v>0</v>
      </c>
      <c r="S266" s="1">
        <f t="shared" si="73"/>
        <v>0</v>
      </c>
      <c r="T266" s="1">
        <f t="shared" si="74"/>
        <v>0</v>
      </c>
      <c r="U266" s="26">
        <f t="shared" si="75"/>
        <v>1</v>
      </c>
      <c r="V266" s="26">
        <f t="shared" si="76"/>
        <v>1</v>
      </c>
      <c r="W266" s="1">
        <f t="shared" si="77"/>
        <v>0</v>
      </c>
      <c r="X266" s="26">
        <f t="shared" si="78"/>
        <v>0</v>
      </c>
      <c r="Y266" s="26">
        <f t="shared" si="79"/>
        <v>1</v>
      </c>
      <c r="Z266" s="1">
        <f t="shared" si="80"/>
        <v>1</v>
      </c>
      <c r="AA266"/>
      <c r="AB266"/>
    </row>
    <row r="267" spans="1:28" x14ac:dyDescent="0.55000000000000004">
      <c r="A267" s="1">
        <f t="shared" si="67"/>
        <v>267</v>
      </c>
      <c r="B267" t="s">
        <v>38</v>
      </c>
      <c r="C267" t="s">
        <v>76</v>
      </c>
      <c r="D267" t="s">
        <v>133</v>
      </c>
      <c r="E267" t="s">
        <v>2087</v>
      </c>
      <c r="F267" t="s">
        <v>390</v>
      </c>
      <c r="G267" t="s">
        <v>924</v>
      </c>
      <c r="H267" t="s">
        <v>608</v>
      </c>
      <c r="I267" t="s">
        <v>945</v>
      </c>
      <c r="J267" t="s">
        <v>2090</v>
      </c>
      <c r="K267" t="s">
        <v>927</v>
      </c>
      <c r="L267" t="s">
        <v>1122</v>
      </c>
      <c r="M267" t="s">
        <v>28</v>
      </c>
      <c r="N267" s="1">
        <f t="shared" si="68"/>
        <v>1</v>
      </c>
      <c r="O267" s="1">
        <f t="shared" si="69"/>
        <v>1</v>
      </c>
      <c r="P267" s="1">
        <f t="shared" si="70"/>
        <v>2</v>
      </c>
      <c r="Q267" s="1">
        <f t="shared" si="71"/>
        <v>0</v>
      </c>
      <c r="R267" s="1">
        <f t="shared" si="72"/>
        <v>1</v>
      </c>
      <c r="S267" s="1">
        <f t="shared" si="73"/>
        <v>0</v>
      </c>
      <c r="T267" s="1">
        <f t="shared" si="74"/>
        <v>1</v>
      </c>
      <c r="U267" s="26">
        <f t="shared" si="75"/>
        <v>1</v>
      </c>
      <c r="V267" s="26">
        <f t="shared" si="76"/>
        <v>0</v>
      </c>
      <c r="W267" s="1">
        <f t="shared" si="77"/>
        <v>1</v>
      </c>
      <c r="X267" s="26">
        <f t="shared" si="78"/>
        <v>1</v>
      </c>
      <c r="Y267" s="26">
        <f t="shared" si="79"/>
        <v>0</v>
      </c>
      <c r="Z267" s="1">
        <f t="shared" si="80"/>
        <v>1</v>
      </c>
      <c r="AA267"/>
      <c r="AB267"/>
    </row>
    <row r="268" spans="1:28" x14ac:dyDescent="0.55000000000000004">
      <c r="A268" s="1">
        <f t="shared" si="67"/>
        <v>268</v>
      </c>
      <c r="B268" t="s">
        <v>38</v>
      </c>
      <c r="C268" t="s">
        <v>76</v>
      </c>
      <c r="D268" t="s">
        <v>133</v>
      </c>
      <c r="E268" t="s">
        <v>2087</v>
      </c>
      <c r="F268" t="s">
        <v>390</v>
      </c>
      <c r="G268" t="s">
        <v>929</v>
      </c>
      <c r="H268" t="s">
        <v>683</v>
      </c>
      <c r="I268" t="s">
        <v>918</v>
      </c>
      <c r="J268" t="s">
        <v>2091</v>
      </c>
      <c r="K268" t="s">
        <v>932</v>
      </c>
      <c r="L268" t="s">
        <v>1099</v>
      </c>
      <c r="M268" t="s">
        <v>28</v>
      </c>
      <c r="N268" s="1">
        <f t="shared" si="68"/>
        <v>3</v>
      </c>
      <c r="O268" s="1">
        <f t="shared" si="69"/>
        <v>2</v>
      </c>
      <c r="P268" s="1">
        <f t="shared" si="70"/>
        <v>5</v>
      </c>
      <c r="Q268" s="1">
        <f t="shared" si="71"/>
        <v>1</v>
      </c>
      <c r="R268" s="1">
        <f t="shared" si="72"/>
        <v>0</v>
      </c>
      <c r="S268" s="1">
        <f t="shared" si="73"/>
        <v>0</v>
      </c>
      <c r="T268" s="1">
        <f t="shared" si="74"/>
        <v>0</v>
      </c>
      <c r="U268" s="26">
        <f t="shared" si="75"/>
        <v>1</v>
      </c>
      <c r="V268" s="26">
        <f t="shared" si="76"/>
        <v>1</v>
      </c>
      <c r="W268" s="1">
        <f t="shared" si="77"/>
        <v>1</v>
      </c>
      <c r="X268" s="26">
        <f t="shared" si="78"/>
        <v>1</v>
      </c>
      <c r="Y268" s="26">
        <f t="shared" si="79"/>
        <v>1</v>
      </c>
      <c r="Z268" s="1">
        <f t="shared" si="80"/>
        <v>1</v>
      </c>
      <c r="AA268"/>
      <c r="AB268"/>
    </row>
    <row r="269" spans="1:28" x14ac:dyDescent="0.55000000000000004">
      <c r="A269" s="1">
        <f t="shared" si="67"/>
        <v>269</v>
      </c>
      <c r="B269" t="s">
        <v>38</v>
      </c>
      <c r="C269" t="s">
        <v>76</v>
      </c>
      <c r="D269" t="s">
        <v>133</v>
      </c>
      <c r="E269" t="s">
        <v>2087</v>
      </c>
      <c r="F269" t="s">
        <v>390</v>
      </c>
      <c r="G269" t="s">
        <v>914</v>
      </c>
      <c r="H269" t="s">
        <v>739</v>
      </c>
      <c r="I269" t="s">
        <v>908</v>
      </c>
      <c r="J269" t="s">
        <v>2092</v>
      </c>
      <c r="K269" t="s">
        <v>901</v>
      </c>
      <c r="L269" t="s">
        <v>960</v>
      </c>
      <c r="M269" t="s">
        <v>28</v>
      </c>
      <c r="N269" s="1">
        <f t="shared" si="68"/>
        <v>0</v>
      </c>
      <c r="O269" s="1">
        <f t="shared" si="69"/>
        <v>3</v>
      </c>
      <c r="P269" s="1">
        <f t="shared" si="70"/>
        <v>3</v>
      </c>
      <c r="Q269" s="1">
        <f t="shared" si="71"/>
        <v>1</v>
      </c>
      <c r="R269" s="1">
        <f t="shared" si="72"/>
        <v>1</v>
      </c>
      <c r="S269" s="1">
        <f t="shared" si="73"/>
        <v>1</v>
      </c>
      <c r="T269" s="1">
        <f t="shared" si="74"/>
        <v>1</v>
      </c>
      <c r="U269" s="26">
        <f t="shared" si="75"/>
        <v>0</v>
      </c>
      <c r="V269" s="26">
        <f t="shared" si="76"/>
        <v>0</v>
      </c>
      <c r="W269" s="1">
        <f t="shared" si="77"/>
        <v>0</v>
      </c>
      <c r="X269" s="26">
        <f t="shared" si="78"/>
        <v>1</v>
      </c>
      <c r="Y269" s="26">
        <f t="shared" si="79"/>
        <v>1</v>
      </c>
      <c r="Z269" s="1">
        <f t="shared" si="80"/>
        <v>1</v>
      </c>
      <c r="AA269"/>
      <c r="AB269"/>
    </row>
    <row r="270" spans="1:28" x14ac:dyDescent="0.55000000000000004">
      <c r="A270" s="1">
        <f t="shared" si="67"/>
        <v>270</v>
      </c>
      <c r="B270" t="s">
        <v>38</v>
      </c>
      <c r="C270" t="s">
        <v>76</v>
      </c>
      <c r="D270" t="s">
        <v>133</v>
      </c>
      <c r="E270" t="s">
        <v>2087</v>
      </c>
      <c r="F270" t="s">
        <v>390</v>
      </c>
      <c r="G270" t="s">
        <v>913</v>
      </c>
      <c r="H270" t="s">
        <v>575</v>
      </c>
      <c r="I270" t="s">
        <v>934</v>
      </c>
      <c r="J270" t="s">
        <v>2093</v>
      </c>
      <c r="K270" t="s">
        <v>916</v>
      </c>
      <c r="L270" t="s">
        <v>954</v>
      </c>
      <c r="M270" t="s">
        <v>28</v>
      </c>
      <c r="N270" s="1">
        <f t="shared" si="68"/>
        <v>1</v>
      </c>
      <c r="O270" s="1">
        <f t="shared" si="69"/>
        <v>0</v>
      </c>
      <c r="P270" s="1">
        <f t="shared" si="70"/>
        <v>1</v>
      </c>
      <c r="Q270" s="1">
        <f t="shared" si="71"/>
        <v>1</v>
      </c>
      <c r="R270" s="1">
        <f t="shared" si="72"/>
        <v>1</v>
      </c>
      <c r="S270" s="1">
        <f t="shared" si="73"/>
        <v>1</v>
      </c>
      <c r="T270" s="1">
        <f t="shared" si="74"/>
        <v>1</v>
      </c>
      <c r="U270" s="26">
        <f t="shared" si="75"/>
        <v>1</v>
      </c>
      <c r="V270" s="26">
        <f t="shared" si="76"/>
        <v>0</v>
      </c>
      <c r="W270" s="1">
        <f t="shared" si="77"/>
        <v>1</v>
      </c>
      <c r="X270" s="26">
        <f t="shared" si="78"/>
        <v>0</v>
      </c>
      <c r="Y270" s="26">
        <f t="shared" si="79"/>
        <v>0</v>
      </c>
      <c r="Z270" s="1">
        <f t="shared" si="80"/>
        <v>0</v>
      </c>
      <c r="AA270"/>
      <c r="AB270"/>
    </row>
    <row r="271" spans="1:28" x14ac:dyDescent="0.55000000000000004">
      <c r="A271" s="1">
        <f t="shared" si="67"/>
        <v>271</v>
      </c>
      <c r="B271" t="s">
        <v>38</v>
      </c>
      <c r="C271" t="s">
        <v>76</v>
      </c>
      <c r="D271" t="s">
        <v>133</v>
      </c>
      <c r="E271" t="s">
        <v>2087</v>
      </c>
      <c r="F271" t="s">
        <v>390</v>
      </c>
      <c r="G271" t="s">
        <v>909</v>
      </c>
      <c r="H271" t="s">
        <v>581</v>
      </c>
      <c r="I271" t="s">
        <v>919</v>
      </c>
      <c r="J271" t="s">
        <v>2094</v>
      </c>
      <c r="K271" t="s">
        <v>965</v>
      </c>
      <c r="L271" t="s">
        <v>1092</v>
      </c>
      <c r="M271" t="s">
        <v>28</v>
      </c>
      <c r="N271" s="1">
        <f t="shared" si="68"/>
        <v>1</v>
      </c>
      <c r="O271" s="1">
        <f t="shared" si="69"/>
        <v>2</v>
      </c>
      <c r="P271" s="1">
        <f t="shared" si="70"/>
        <v>3</v>
      </c>
      <c r="Q271" s="1">
        <f t="shared" si="71"/>
        <v>1</v>
      </c>
      <c r="R271" s="1">
        <f t="shared" si="72"/>
        <v>1</v>
      </c>
      <c r="S271" s="1">
        <f t="shared" si="73"/>
        <v>1</v>
      </c>
      <c r="T271" s="1">
        <f t="shared" si="74"/>
        <v>1</v>
      </c>
      <c r="U271" s="26">
        <f t="shared" si="75"/>
        <v>1</v>
      </c>
      <c r="V271" s="26">
        <f t="shared" si="76"/>
        <v>0</v>
      </c>
      <c r="W271" s="1">
        <f t="shared" si="77"/>
        <v>1</v>
      </c>
      <c r="X271" s="26">
        <f t="shared" si="78"/>
        <v>1</v>
      </c>
      <c r="Y271" s="26">
        <f t="shared" si="79"/>
        <v>1</v>
      </c>
      <c r="Z271" s="1">
        <f t="shared" si="80"/>
        <v>1</v>
      </c>
      <c r="AA271"/>
      <c r="AB271"/>
    </row>
    <row r="272" spans="1:28" x14ac:dyDescent="0.55000000000000004">
      <c r="A272" s="1">
        <f t="shared" si="67"/>
        <v>272</v>
      </c>
      <c r="B272" t="s">
        <v>38</v>
      </c>
      <c r="C272" t="s">
        <v>76</v>
      </c>
      <c r="D272" t="s">
        <v>133</v>
      </c>
      <c r="E272" t="s">
        <v>2087</v>
      </c>
      <c r="F272" t="s">
        <v>218</v>
      </c>
      <c r="G272" t="s">
        <v>981</v>
      </c>
      <c r="H272" t="s">
        <v>708</v>
      </c>
      <c r="I272" t="s">
        <v>925</v>
      </c>
      <c r="J272" t="s">
        <v>2095</v>
      </c>
      <c r="K272" t="s">
        <v>1086</v>
      </c>
      <c r="L272" t="s">
        <v>1078</v>
      </c>
      <c r="M272" t="s">
        <v>28</v>
      </c>
      <c r="N272" s="1">
        <f t="shared" si="68"/>
        <v>0</v>
      </c>
      <c r="O272" s="1">
        <f t="shared" si="69"/>
        <v>0</v>
      </c>
      <c r="P272" s="1">
        <f t="shared" si="70"/>
        <v>0</v>
      </c>
      <c r="Q272" s="1">
        <f t="shared" si="71"/>
        <v>0</v>
      </c>
      <c r="R272" s="1">
        <f t="shared" si="72"/>
        <v>1</v>
      </c>
      <c r="S272" s="1">
        <f t="shared" si="73"/>
        <v>0</v>
      </c>
      <c r="T272" s="1">
        <f t="shared" si="74"/>
        <v>1</v>
      </c>
      <c r="U272" s="26">
        <f t="shared" si="75"/>
        <v>0</v>
      </c>
      <c r="V272" s="26">
        <f t="shared" si="76"/>
        <v>0</v>
      </c>
      <c r="W272" s="1">
        <f t="shared" si="77"/>
        <v>1</v>
      </c>
      <c r="X272" s="26">
        <f t="shared" si="78"/>
        <v>0</v>
      </c>
      <c r="Y272" s="26">
        <f t="shared" si="79"/>
        <v>0</v>
      </c>
      <c r="Z272" s="1">
        <f t="shared" si="80"/>
        <v>0</v>
      </c>
      <c r="AA272"/>
      <c r="AB272"/>
    </row>
    <row r="273" spans="1:28" x14ac:dyDescent="0.55000000000000004">
      <c r="A273" s="1">
        <f t="shared" si="67"/>
        <v>273</v>
      </c>
      <c r="B273" t="s">
        <v>38</v>
      </c>
      <c r="C273" t="s">
        <v>76</v>
      </c>
      <c r="D273" t="s">
        <v>42</v>
      </c>
      <c r="E273" t="s">
        <v>1661</v>
      </c>
      <c r="F273" t="s">
        <v>390</v>
      </c>
      <c r="G273" t="s">
        <v>898</v>
      </c>
      <c r="H273" t="s">
        <v>584</v>
      </c>
      <c r="I273" t="s">
        <v>930</v>
      </c>
      <c r="J273" t="s">
        <v>1662</v>
      </c>
      <c r="K273" t="s">
        <v>901</v>
      </c>
      <c r="L273" t="s">
        <v>1137</v>
      </c>
      <c r="M273" t="s">
        <v>28</v>
      </c>
      <c r="N273" s="1">
        <f t="shared" si="68"/>
        <v>0</v>
      </c>
      <c r="O273" s="1">
        <f t="shared" si="69"/>
        <v>4</v>
      </c>
      <c r="P273" s="1">
        <f t="shared" si="70"/>
        <v>4</v>
      </c>
      <c r="Q273" s="1">
        <f t="shared" si="71"/>
        <v>1</v>
      </c>
      <c r="R273" s="1">
        <f t="shared" si="72"/>
        <v>1</v>
      </c>
      <c r="S273" s="1">
        <f t="shared" si="73"/>
        <v>1</v>
      </c>
      <c r="T273" s="1">
        <f t="shared" si="74"/>
        <v>1</v>
      </c>
      <c r="U273" s="26">
        <f t="shared" si="75"/>
        <v>0</v>
      </c>
      <c r="V273" s="26">
        <f t="shared" si="76"/>
        <v>0</v>
      </c>
      <c r="W273" s="1">
        <f t="shared" si="77"/>
        <v>0</v>
      </c>
      <c r="X273" s="26">
        <f t="shared" si="78"/>
        <v>0</v>
      </c>
      <c r="Y273" s="26">
        <f t="shared" si="79"/>
        <v>1</v>
      </c>
      <c r="Z273" s="1">
        <f t="shared" si="80"/>
        <v>1</v>
      </c>
      <c r="AA273"/>
      <c r="AB273"/>
    </row>
    <row r="274" spans="1:28" x14ac:dyDescent="0.55000000000000004">
      <c r="A274" s="1">
        <f t="shared" si="67"/>
        <v>274</v>
      </c>
      <c r="B274" t="s">
        <v>38</v>
      </c>
      <c r="C274" t="s">
        <v>78</v>
      </c>
      <c r="D274" t="s">
        <v>133</v>
      </c>
      <c r="E274" t="s">
        <v>2096</v>
      </c>
      <c r="F274" t="s">
        <v>956</v>
      </c>
      <c r="G274" t="s">
        <v>918</v>
      </c>
      <c r="H274" t="s">
        <v>708</v>
      </c>
      <c r="I274" t="s">
        <v>914</v>
      </c>
      <c r="J274" t="s">
        <v>2097</v>
      </c>
      <c r="K274" t="s">
        <v>921</v>
      </c>
      <c r="L274" t="s">
        <v>974</v>
      </c>
      <c r="M274" t="s">
        <v>28</v>
      </c>
      <c r="N274" s="1">
        <f t="shared" si="68"/>
        <v>0</v>
      </c>
      <c r="O274" s="1">
        <f t="shared" si="69"/>
        <v>0</v>
      </c>
      <c r="P274" s="1">
        <f t="shared" si="70"/>
        <v>0</v>
      </c>
      <c r="Q274" s="1">
        <f t="shared" si="71"/>
        <v>0</v>
      </c>
      <c r="R274" s="1">
        <f t="shared" si="72"/>
        <v>1</v>
      </c>
      <c r="S274" s="1">
        <f t="shared" si="73"/>
        <v>0</v>
      </c>
      <c r="T274" s="1">
        <f t="shared" si="74"/>
        <v>1</v>
      </c>
      <c r="U274" s="26">
        <f t="shared" si="75"/>
        <v>0</v>
      </c>
      <c r="V274" s="26">
        <f t="shared" si="76"/>
        <v>0</v>
      </c>
      <c r="W274" s="1">
        <f t="shared" si="77"/>
        <v>1</v>
      </c>
      <c r="X274" s="26">
        <f t="shared" si="78"/>
        <v>0</v>
      </c>
      <c r="Y274" s="26">
        <f t="shared" si="79"/>
        <v>0</v>
      </c>
      <c r="Z274" s="1">
        <f t="shared" si="80"/>
        <v>0</v>
      </c>
      <c r="AA274"/>
      <c r="AB274"/>
    </row>
    <row r="275" spans="1:28" x14ac:dyDescent="0.55000000000000004">
      <c r="A275" s="1">
        <f t="shared" si="67"/>
        <v>275</v>
      </c>
      <c r="B275" t="s">
        <v>38</v>
      </c>
      <c r="C275" t="s">
        <v>78</v>
      </c>
      <c r="D275" t="s">
        <v>133</v>
      </c>
      <c r="E275" t="s">
        <v>2096</v>
      </c>
      <c r="F275" t="s">
        <v>390</v>
      </c>
      <c r="G275" t="s">
        <v>930</v>
      </c>
      <c r="H275" t="s">
        <v>847</v>
      </c>
      <c r="I275" t="s">
        <v>913</v>
      </c>
      <c r="J275" t="s">
        <v>2098</v>
      </c>
      <c r="K275" t="s">
        <v>976</v>
      </c>
      <c r="L275" t="s">
        <v>966</v>
      </c>
      <c r="M275" t="s">
        <v>28</v>
      </c>
      <c r="N275" s="1">
        <f t="shared" si="68"/>
        <v>5</v>
      </c>
      <c r="O275" s="1">
        <f t="shared" si="69"/>
        <v>0</v>
      </c>
      <c r="P275" s="1">
        <f t="shared" si="70"/>
        <v>5</v>
      </c>
      <c r="Q275" s="1">
        <f t="shared" si="71"/>
        <v>1</v>
      </c>
      <c r="R275" s="1">
        <f t="shared" si="72"/>
        <v>0</v>
      </c>
      <c r="S275" s="1">
        <f t="shared" si="73"/>
        <v>0</v>
      </c>
      <c r="T275" s="1">
        <f t="shared" si="74"/>
        <v>0</v>
      </c>
      <c r="U275" s="26">
        <f t="shared" si="75"/>
        <v>0</v>
      </c>
      <c r="V275" s="26">
        <f t="shared" si="76"/>
        <v>1</v>
      </c>
      <c r="W275" s="1">
        <f t="shared" si="77"/>
        <v>1</v>
      </c>
      <c r="X275" s="26">
        <f t="shared" si="78"/>
        <v>0</v>
      </c>
      <c r="Y275" s="26">
        <f t="shared" si="79"/>
        <v>0</v>
      </c>
      <c r="Z275" s="1">
        <f t="shared" si="80"/>
        <v>1</v>
      </c>
      <c r="AA275"/>
      <c r="AB275"/>
    </row>
    <row r="276" spans="1:28" x14ac:dyDescent="0.55000000000000004">
      <c r="A276" s="1">
        <f t="shared" si="67"/>
        <v>276</v>
      </c>
      <c r="B276" t="s">
        <v>38</v>
      </c>
      <c r="C276" t="s">
        <v>78</v>
      </c>
      <c r="D276" t="s">
        <v>133</v>
      </c>
      <c r="E276" t="s">
        <v>2096</v>
      </c>
      <c r="F276" t="s">
        <v>390</v>
      </c>
      <c r="G276" t="s">
        <v>945</v>
      </c>
      <c r="H276" t="s">
        <v>575</v>
      </c>
      <c r="I276" t="s">
        <v>981</v>
      </c>
      <c r="J276" t="s">
        <v>2099</v>
      </c>
      <c r="K276" t="s">
        <v>947</v>
      </c>
      <c r="L276" t="s">
        <v>933</v>
      </c>
      <c r="M276" t="s">
        <v>28</v>
      </c>
      <c r="N276" s="1">
        <f t="shared" si="68"/>
        <v>1</v>
      </c>
      <c r="O276" s="1">
        <f t="shared" si="69"/>
        <v>0</v>
      </c>
      <c r="P276" s="1">
        <f t="shared" si="70"/>
        <v>1</v>
      </c>
      <c r="Q276" s="1">
        <f t="shared" si="71"/>
        <v>1</v>
      </c>
      <c r="R276" s="1">
        <f t="shared" si="72"/>
        <v>1</v>
      </c>
      <c r="S276" s="1">
        <f t="shared" si="73"/>
        <v>1</v>
      </c>
      <c r="T276" s="1">
        <f t="shared" si="74"/>
        <v>1</v>
      </c>
      <c r="U276" s="26">
        <f t="shared" si="75"/>
        <v>1</v>
      </c>
      <c r="V276" s="26">
        <f t="shared" si="76"/>
        <v>0</v>
      </c>
      <c r="W276" s="1">
        <f t="shared" si="77"/>
        <v>1</v>
      </c>
      <c r="X276" s="26">
        <f t="shared" si="78"/>
        <v>0</v>
      </c>
      <c r="Y276" s="26">
        <f t="shared" si="79"/>
        <v>0</v>
      </c>
      <c r="Z276" s="1">
        <f t="shared" si="80"/>
        <v>0</v>
      </c>
      <c r="AA276"/>
      <c r="AB276"/>
    </row>
    <row r="277" spans="1:28" x14ac:dyDescent="0.55000000000000004">
      <c r="A277" s="1">
        <f t="shared" si="67"/>
        <v>277</v>
      </c>
      <c r="B277" t="s">
        <v>38</v>
      </c>
      <c r="C277" t="s">
        <v>78</v>
      </c>
      <c r="D277" t="s">
        <v>42</v>
      </c>
      <c r="E277" t="s">
        <v>1663</v>
      </c>
      <c r="F277" t="s">
        <v>1633</v>
      </c>
      <c r="G277" t="s">
        <v>899</v>
      </c>
      <c r="H277" t="s">
        <v>608</v>
      </c>
      <c r="I277" t="s">
        <v>919</v>
      </c>
      <c r="J277" t="s">
        <v>1664</v>
      </c>
      <c r="K277" t="s">
        <v>973</v>
      </c>
      <c r="L277" t="s">
        <v>1103</v>
      </c>
      <c r="M277" t="s">
        <v>28</v>
      </c>
      <c r="N277" s="1">
        <f t="shared" si="68"/>
        <v>1</v>
      </c>
      <c r="O277" s="1">
        <f t="shared" si="69"/>
        <v>1</v>
      </c>
      <c r="P277" s="1">
        <f t="shared" si="70"/>
        <v>2</v>
      </c>
      <c r="Q277" s="1">
        <f t="shared" si="71"/>
        <v>0</v>
      </c>
      <c r="R277" s="1">
        <f t="shared" si="72"/>
        <v>1</v>
      </c>
      <c r="S277" s="1">
        <f t="shared" si="73"/>
        <v>0</v>
      </c>
      <c r="T277" s="1">
        <f t="shared" si="74"/>
        <v>1</v>
      </c>
      <c r="U277" s="26">
        <f t="shared" si="75"/>
        <v>1</v>
      </c>
      <c r="V277" s="26">
        <f t="shared" si="76"/>
        <v>0</v>
      </c>
      <c r="W277" s="1">
        <f t="shared" si="77"/>
        <v>1</v>
      </c>
      <c r="X277" s="26">
        <f t="shared" si="78"/>
        <v>1</v>
      </c>
      <c r="Y277" s="26">
        <f t="shared" si="79"/>
        <v>0</v>
      </c>
      <c r="Z277" s="1">
        <f t="shared" si="80"/>
        <v>1</v>
      </c>
      <c r="AA277"/>
      <c r="AB277"/>
    </row>
    <row r="278" spans="1:28" x14ac:dyDescent="0.55000000000000004">
      <c r="A278" s="1">
        <f t="shared" si="67"/>
        <v>278</v>
      </c>
      <c r="B278" t="s">
        <v>38</v>
      </c>
      <c r="C278" t="s">
        <v>78</v>
      </c>
      <c r="D278" t="s">
        <v>42</v>
      </c>
      <c r="E278" t="s">
        <v>1663</v>
      </c>
      <c r="F278" t="s">
        <v>390</v>
      </c>
      <c r="G278" t="s">
        <v>903</v>
      </c>
      <c r="H278" t="s">
        <v>608</v>
      </c>
      <c r="I278" t="s">
        <v>898</v>
      </c>
      <c r="J278" t="s">
        <v>1665</v>
      </c>
      <c r="K278" t="s">
        <v>906</v>
      </c>
      <c r="L278" t="s">
        <v>1087</v>
      </c>
      <c r="M278" t="s">
        <v>28</v>
      </c>
      <c r="N278" s="1">
        <f t="shared" si="68"/>
        <v>1</v>
      </c>
      <c r="O278" s="1">
        <f t="shared" si="69"/>
        <v>1</v>
      </c>
      <c r="P278" s="1">
        <f t="shared" si="70"/>
        <v>2</v>
      </c>
      <c r="Q278" s="1">
        <f t="shared" si="71"/>
        <v>0</v>
      </c>
      <c r="R278" s="1">
        <f t="shared" si="72"/>
        <v>1</v>
      </c>
      <c r="S278" s="1">
        <f t="shared" si="73"/>
        <v>0</v>
      </c>
      <c r="T278" s="1">
        <f t="shared" si="74"/>
        <v>1</v>
      </c>
      <c r="U278" s="26">
        <f t="shared" si="75"/>
        <v>1</v>
      </c>
      <c r="V278" s="26">
        <f t="shared" si="76"/>
        <v>0</v>
      </c>
      <c r="W278" s="1">
        <f t="shared" si="77"/>
        <v>1</v>
      </c>
      <c r="X278" s="26">
        <f t="shared" si="78"/>
        <v>1</v>
      </c>
      <c r="Y278" s="26">
        <f t="shared" si="79"/>
        <v>0</v>
      </c>
      <c r="Z278" s="1">
        <f t="shared" si="80"/>
        <v>1</v>
      </c>
      <c r="AA278"/>
      <c r="AB278"/>
    </row>
    <row r="279" spans="1:28" x14ac:dyDescent="0.55000000000000004">
      <c r="A279" s="1">
        <f t="shared" si="67"/>
        <v>279</v>
      </c>
      <c r="B279" t="s">
        <v>38</v>
      </c>
      <c r="C279" t="s">
        <v>78</v>
      </c>
      <c r="D279" t="s">
        <v>42</v>
      </c>
      <c r="E279" t="s">
        <v>1663</v>
      </c>
      <c r="F279" t="s">
        <v>390</v>
      </c>
      <c r="G279" t="s">
        <v>940</v>
      </c>
      <c r="H279" t="s">
        <v>575</v>
      </c>
      <c r="I279" t="s">
        <v>909</v>
      </c>
      <c r="J279" t="s">
        <v>1666</v>
      </c>
      <c r="K279" t="s">
        <v>942</v>
      </c>
      <c r="L279" t="s">
        <v>984</v>
      </c>
      <c r="M279" t="s">
        <v>28</v>
      </c>
      <c r="N279" s="1">
        <f t="shared" si="68"/>
        <v>1</v>
      </c>
      <c r="O279" s="1">
        <f t="shared" si="69"/>
        <v>0</v>
      </c>
      <c r="P279" s="1">
        <f t="shared" si="70"/>
        <v>1</v>
      </c>
      <c r="Q279" s="1">
        <f t="shared" si="71"/>
        <v>1</v>
      </c>
      <c r="R279" s="1">
        <f t="shared" si="72"/>
        <v>1</v>
      </c>
      <c r="S279" s="1">
        <f t="shared" si="73"/>
        <v>1</v>
      </c>
      <c r="T279" s="1">
        <f t="shared" si="74"/>
        <v>1</v>
      </c>
      <c r="U279" s="26">
        <f t="shared" si="75"/>
        <v>1</v>
      </c>
      <c r="V279" s="26">
        <f t="shared" si="76"/>
        <v>0</v>
      </c>
      <c r="W279" s="1">
        <f t="shared" si="77"/>
        <v>1</v>
      </c>
      <c r="X279" s="26">
        <f t="shared" si="78"/>
        <v>0</v>
      </c>
      <c r="Y279" s="26">
        <f t="shared" si="79"/>
        <v>0</v>
      </c>
      <c r="Z279" s="1">
        <f t="shared" si="80"/>
        <v>0</v>
      </c>
      <c r="AA279"/>
      <c r="AB279"/>
    </row>
    <row r="280" spans="1:28" x14ac:dyDescent="0.55000000000000004">
      <c r="A280" s="1">
        <f t="shared" si="67"/>
        <v>280</v>
      </c>
      <c r="B280" t="s">
        <v>38</v>
      </c>
      <c r="C280" t="s">
        <v>78</v>
      </c>
      <c r="D280" t="s">
        <v>42</v>
      </c>
      <c r="E280" t="s">
        <v>1663</v>
      </c>
      <c r="F280" t="s">
        <v>390</v>
      </c>
      <c r="G280" t="s">
        <v>904</v>
      </c>
      <c r="H280" t="s">
        <v>579</v>
      </c>
      <c r="I280" t="s">
        <v>935</v>
      </c>
      <c r="J280" t="s">
        <v>1667</v>
      </c>
      <c r="K280" t="s">
        <v>952</v>
      </c>
      <c r="L280" t="s">
        <v>954</v>
      </c>
      <c r="M280" t="s">
        <v>28</v>
      </c>
      <c r="N280" s="1">
        <f t="shared" si="68"/>
        <v>2</v>
      </c>
      <c r="O280" s="1">
        <f t="shared" si="69"/>
        <v>1</v>
      </c>
      <c r="P280" s="1">
        <f t="shared" si="70"/>
        <v>3</v>
      </c>
      <c r="Q280" s="1">
        <f t="shared" si="71"/>
        <v>1</v>
      </c>
      <c r="R280" s="1">
        <f t="shared" si="72"/>
        <v>1</v>
      </c>
      <c r="S280" s="1">
        <f t="shared" si="73"/>
        <v>1</v>
      </c>
      <c r="T280" s="1">
        <f t="shared" si="74"/>
        <v>1</v>
      </c>
      <c r="U280" s="26">
        <f t="shared" si="75"/>
        <v>1</v>
      </c>
      <c r="V280" s="26">
        <f t="shared" si="76"/>
        <v>1</v>
      </c>
      <c r="W280" s="1">
        <f t="shared" si="77"/>
        <v>1</v>
      </c>
      <c r="X280" s="26">
        <f t="shared" si="78"/>
        <v>1</v>
      </c>
      <c r="Y280" s="26">
        <f t="shared" si="79"/>
        <v>0</v>
      </c>
      <c r="Z280" s="1">
        <f t="shared" si="80"/>
        <v>1</v>
      </c>
      <c r="AA280"/>
      <c r="AB280"/>
    </row>
    <row r="281" spans="1:28" x14ac:dyDescent="0.55000000000000004">
      <c r="A281" s="1">
        <f t="shared" si="67"/>
        <v>281</v>
      </c>
      <c r="B281" t="s">
        <v>38</v>
      </c>
      <c r="C281" t="s">
        <v>78</v>
      </c>
      <c r="D281" t="s">
        <v>42</v>
      </c>
      <c r="E281" t="s">
        <v>1663</v>
      </c>
      <c r="F281" t="s">
        <v>390</v>
      </c>
      <c r="G281" t="s">
        <v>924</v>
      </c>
      <c r="H281" t="s">
        <v>608</v>
      </c>
      <c r="I281" t="s">
        <v>908</v>
      </c>
      <c r="J281" t="s">
        <v>1668</v>
      </c>
      <c r="K281" t="s">
        <v>927</v>
      </c>
      <c r="L281" t="s">
        <v>907</v>
      </c>
      <c r="M281" t="s">
        <v>28</v>
      </c>
      <c r="N281" s="1">
        <f t="shared" si="68"/>
        <v>1</v>
      </c>
      <c r="O281" s="1">
        <f t="shared" si="69"/>
        <v>1</v>
      </c>
      <c r="P281" s="1">
        <f t="shared" si="70"/>
        <v>2</v>
      </c>
      <c r="Q281" s="1">
        <f t="shared" si="71"/>
        <v>0</v>
      </c>
      <c r="R281" s="1">
        <f t="shared" si="72"/>
        <v>1</v>
      </c>
      <c r="S281" s="1">
        <f t="shared" si="73"/>
        <v>0</v>
      </c>
      <c r="T281" s="1">
        <f t="shared" si="74"/>
        <v>1</v>
      </c>
      <c r="U281" s="26">
        <f t="shared" si="75"/>
        <v>1</v>
      </c>
      <c r="V281" s="26">
        <f t="shared" si="76"/>
        <v>0</v>
      </c>
      <c r="W281" s="1">
        <f t="shared" si="77"/>
        <v>1</v>
      </c>
      <c r="X281" s="26">
        <f t="shared" si="78"/>
        <v>1</v>
      </c>
      <c r="Y281" s="26">
        <f t="shared" si="79"/>
        <v>0</v>
      </c>
      <c r="Z281" s="1">
        <f t="shared" si="80"/>
        <v>1</v>
      </c>
      <c r="AA281"/>
      <c r="AB281"/>
    </row>
    <row r="282" spans="1:28" x14ac:dyDescent="0.55000000000000004">
      <c r="A282" s="1">
        <f t="shared" si="67"/>
        <v>282</v>
      </c>
      <c r="B282" t="s">
        <v>38</v>
      </c>
      <c r="C282" t="s">
        <v>78</v>
      </c>
      <c r="D282" t="s">
        <v>42</v>
      </c>
      <c r="E282" t="s">
        <v>1663</v>
      </c>
      <c r="F282" t="s">
        <v>390</v>
      </c>
      <c r="G282" t="s">
        <v>979</v>
      </c>
      <c r="H282" t="s">
        <v>1669</v>
      </c>
      <c r="I282" t="s">
        <v>925</v>
      </c>
      <c r="J282" t="s">
        <v>1670</v>
      </c>
      <c r="K282" t="s">
        <v>1102</v>
      </c>
      <c r="L282" t="s">
        <v>1095</v>
      </c>
      <c r="M282" t="s">
        <v>28</v>
      </c>
      <c r="N282" s="1">
        <f t="shared" si="68"/>
        <v>5</v>
      </c>
      <c r="O282" s="1">
        <f t="shared" si="69"/>
        <v>3</v>
      </c>
      <c r="P282" s="1">
        <f t="shared" si="70"/>
        <v>8</v>
      </c>
      <c r="Q282" s="1">
        <f t="shared" si="71"/>
        <v>1</v>
      </c>
      <c r="R282" s="1">
        <f t="shared" si="72"/>
        <v>0</v>
      </c>
      <c r="S282" s="1">
        <f t="shared" si="73"/>
        <v>0</v>
      </c>
      <c r="T282" s="1">
        <f t="shared" si="74"/>
        <v>0</v>
      </c>
      <c r="U282" s="26">
        <f t="shared" si="75"/>
        <v>0</v>
      </c>
      <c r="V282" s="26">
        <f t="shared" si="76"/>
        <v>1</v>
      </c>
      <c r="W282" s="1">
        <f t="shared" si="77"/>
        <v>0</v>
      </c>
      <c r="X282" s="26">
        <f t="shared" si="78"/>
        <v>1</v>
      </c>
      <c r="Y282" s="26">
        <f t="shared" si="79"/>
        <v>1</v>
      </c>
      <c r="Z282" s="1">
        <f t="shared" si="80"/>
        <v>1</v>
      </c>
      <c r="AA282"/>
      <c r="AB282"/>
    </row>
    <row r="283" spans="1:28" x14ac:dyDescent="0.55000000000000004">
      <c r="A283" s="1">
        <f t="shared" si="67"/>
        <v>283</v>
      </c>
      <c r="B283" t="s">
        <v>38</v>
      </c>
      <c r="C283" t="s">
        <v>78</v>
      </c>
      <c r="D283" t="s">
        <v>42</v>
      </c>
      <c r="E283" t="s">
        <v>1663</v>
      </c>
      <c r="F283" t="s">
        <v>390</v>
      </c>
      <c r="G283" t="s">
        <v>934</v>
      </c>
      <c r="H283" t="s">
        <v>1411</v>
      </c>
      <c r="I283" t="s">
        <v>929</v>
      </c>
      <c r="J283" t="s">
        <v>1671</v>
      </c>
      <c r="K283" t="s">
        <v>937</v>
      </c>
      <c r="L283" t="s">
        <v>1672</v>
      </c>
      <c r="M283" t="s">
        <v>28</v>
      </c>
      <c r="N283" s="1">
        <f t="shared" si="68"/>
        <v>4</v>
      </c>
      <c r="O283" s="1">
        <f t="shared" si="69"/>
        <v>5</v>
      </c>
      <c r="P283" s="1">
        <f t="shared" si="70"/>
        <v>9</v>
      </c>
      <c r="Q283" s="1">
        <f t="shared" si="71"/>
        <v>1</v>
      </c>
      <c r="R283" s="1">
        <f t="shared" si="72"/>
        <v>0</v>
      </c>
      <c r="S283" s="1">
        <f t="shared" si="73"/>
        <v>0</v>
      </c>
      <c r="T283" s="1">
        <f t="shared" si="74"/>
        <v>0</v>
      </c>
      <c r="U283" s="26">
        <f t="shared" si="75"/>
        <v>0</v>
      </c>
      <c r="V283" s="26">
        <f t="shared" si="76"/>
        <v>1</v>
      </c>
      <c r="W283" s="1">
        <f t="shared" si="77"/>
        <v>0</v>
      </c>
      <c r="X283" s="26">
        <f t="shared" si="78"/>
        <v>0</v>
      </c>
      <c r="Y283" s="26">
        <f t="shared" si="79"/>
        <v>1</v>
      </c>
      <c r="Z283" s="1">
        <f t="shared" si="80"/>
        <v>1</v>
      </c>
      <c r="AA283"/>
      <c r="AB283"/>
    </row>
    <row r="284" spans="1:28" x14ac:dyDescent="0.55000000000000004">
      <c r="A284" s="1">
        <f t="shared" si="67"/>
        <v>284</v>
      </c>
      <c r="B284" t="s">
        <v>38</v>
      </c>
      <c r="C284" t="s">
        <v>80</v>
      </c>
      <c r="D284" t="s">
        <v>174</v>
      </c>
      <c r="E284" t="s">
        <v>1357</v>
      </c>
      <c r="F284" t="s">
        <v>1090</v>
      </c>
      <c r="G284" t="s">
        <v>908</v>
      </c>
      <c r="H284" t="s">
        <v>608</v>
      </c>
      <c r="I284" t="s">
        <v>930</v>
      </c>
      <c r="J284" t="s">
        <v>1358</v>
      </c>
      <c r="K284" t="s">
        <v>911</v>
      </c>
      <c r="L284" t="s">
        <v>984</v>
      </c>
      <c r="M284" t="s">
        <v>28</v>
      </c>
      <c r="N284" s="1">
        <f t="shared" si="68"/>
        <v>1</v>
      </c>
      <c r="O284" s="1">
        <f t="shared" si="69"/>
        <v>1</v>
      </c>
      <c r="P284" s="1">
        <f t="shared" si="70"/>
        <v>2</v>
      </c>
      <c r="Q284" s="1">
        <f t="shared" si="71"/>
        <v>0</v>
      </c>
      <c r="R284" s="1">
        <f t="shared" si="72"/>
        <v>1</v>
      </c>
      <c r="S284" s="1">
        <f t="shared" si="73"/>
        <v>0</v>
      </c>
      <c r="T284" s="1">
        <f t="shared" si="74"/>
        <v>1</v>
      </c>
      <c r="U284" s="26">
        <f t="shared" si="75"/>
        <v>1</v>
      </c>
      <c r="V284" s="26">
        <f t="shared" si="76"/>
        <v>0</v>
      </c>
      <c r="W284" s="1">
        <f t="shared" si="77"/>
        <v>1</v>
      </c>
      <c r="X284" s="26">
        <f t="shared" si="78"/>
        <v>1</v>
      </c>
      <c r="Y284" s="26">
        <f t="shared" si="79"/>
        <v>0</v>
      </c>
      <c r="Z284" s="1">
        <f t="shared" si="80"/>
        <v>1</v>
      </c>
      <c r="AA284"/>
      <c r="AB284"/>
    </row>
    <row r="285" spans="1:28" x14ac:dyDescent="0.55000000000000004">
      <c r="A285" s="1">
        <f t="shared" si="67"/>
        <v>285</v>
      </c>
      <c r="B285" t="s">
        <v>38</v>
      </c>
      <c r="C285" t="s">
        <v>80</v>
      </c>
      <c r="D285" t="s">
        <v>174</v>
      </c>
      <c r="E285" t="s">
        <v>1357</v>
      </c>
      <c r="F285" t="s">
        <v>390</v>
      </c>
      <c r="G285" t="s">
        <v>945</v>
      </c>
      <c r="H285" t="s">
        <v>708</v>
      </c>
      <c r="I285" t="s">
        <v>904</v>
      </c>
      <c r="J285" t="s">
        <v>1359</v>
      </c>
      <c r="K285" t="s">
        <v>947</v>
      </c>
      <c r="L285" t="s">
        <v>922</v>
      </c>
      <c r="M285" t="s">
        <v>28</v>
      </c>
      <c r="N285" s="1">
        <f t="shared" si="68"/>
        <v>0</v>
      </c>
      <c r="O285" s="1">
        <f t="shared" si="69"/>
        <v>0</v>
      </c>
      <c r="P285" s="1">
        <f t="shared" si="70"/>
        <v>0</v>
      </c>
      <c r="Q285" s="1">
        <f t="shared" si="71"/>
        <v>0</v>
      </c>
      <c r="R285" s="1">
        <f t="shared" si="72"/>
        <v>1</v>
      </c>
      <c r="S285" s="1">
        <f t="shared" si="73"/>
        <v>0</v>
      </c>
      <c r="T285" s="1">
        <f t="shared" si="74"/>
        <v>1</v>
      </c>
      <c r="U285" s="26">
        <f t="shared" si="75"/>
        <v>0</v>
      </c>
      <c r="V285" s="26">
        <f t="shared" si="76"/>
        <v>0</v>
      </c>
      <c r="W285" s="1">
        <f t="shared" si="77"/>
        <v>1</v>
      </c>
      <c r="X285" s="26">
        <f t="shared" si="78"/>
        <v>0</v>
      </c>
      <c r="Y285" s="26">
        <f t="shared" si="79"/>
        <v>0</v>
      </c>
      <c r="Z285" s="1">
        <f t="shared" si="80"/>
        <v>0</v>
      </c>
      <c r="AA285"/>
      <c r="AB285"/>
    </row>
    <row r="286" spans="1:28" x14ac:dyDescent="0.55000000000000004">
      <c r="A286" s="1">
        <f t="shared" si="67"/>
        <v>286</v>
      </c>
      <c r="B286" t="s">
        <v>38</v>
      </c>
      <c r="C286" t="s">
        <v>80</v>
      </c>
      <c r="D286" t="s">
        <v>174</v>
      </c>
      <c r="E286" t="s">
        <v>1357</v>
      </c>
      <c r="F286" t="s">
        <v>390</v>
      </c>
      <c r="G286" t="s">
        <v>925</v>
      </c>
      <c r="H286" t="s">
        <v>608</v>
      </c>
      <c r="I286" t="s">
        <v>918</v>
      </c>
      <c r="J286" t="s">
        <v>1360</v>
      </c>
      <c r="K286" t="s">
        <v>1082</v>
      </c>
      <c r="L286" t="s">
        <v>1103</v>
      </c>
      <c r="M286" t="s">
        <v>28</v>
      </c>
      <c r="N286" s="1">
        <f t="shared" si="68"/>
        <v>1</v>
      </c>
      <c r="O286" s="1">
        <f t="shared" si="69"/>
        <v>1</v>
      </c>
      <c r="P286" s="1">
        <f t="shared" si="70"/>
        <v>2</v>
      </c>
      <c r="Q286" s="1">
        <f t="shared" si="71"/>
        <v>0</v>
      </c>
      <c r="R286" s="1">
        <f t="shared" si="72"/>
        <v>1</v>
      </c>
      <c r="S286" s="1">
        <f t="shared" si="73"/>
        <v>0</v>
      </c>
      <c r="T286" s="1">
        <f t="shared" si="74"/>
        <v>1</v>
      </c>
      <c r="U286" s="26">
        <f t="shared" si="75"/>
        <v>1</v>
      </c>
      <c r="V286" s="26">
        <f t="shared" si="76"/>
        <v>0</v>
      </c>
      <c r="W286" s="1">
        <f t="shared" si="77"/>
        <v>1</v>
      </c>
      <c r="X286" s="26">
        <f t="shared" si="78"/>
        <v>1</v>
      </c>
      <c r="Y286" s="26">
        <f t="shared" si="79"/>
        <v>0</v>
      </c>
      <c r="Z286" s="1">
        <f t="shared" si="80"/>
        <v>1</v>
      </c>
      <c r="AA286"/>
      <c r="AB286"/>
    </row>
    <row r="287" spans="1:28" x14ac:dyDescent="0.55000000000000004">
      <c r="A287" s="1">
        <f t="shared" si="67"/>
        <v>287</v>
      </c>
      <c r="B287" t="s">
        <v>38</v>
      </c>
      <c r="C287" t="s">
        <v>80</v>
      </c>
      <c r="D287" t="s">
        <v>133</v>
      </c>
      <c r="E287" t="s">
        <v>2100</v>
      </c>
      <c r="F287" t="s">
        <v>956</v>
      </c>
      <c r="G287" t="s">
        <v>935</v>
      </c>
      <c r="H287" t="s">
        <v>798</v>
      </c>
      <c r="I287" t="s">
        <v>924</v>
      </c>
      <c r="J287" t="s">
        <v>2101</v>
      </c>
      <c r="K287" t="s">
        <v>949</v>
      </c>
      <c r="L287" t="s">
        <v>938</v>
      </c>
      <c r="M287" t="s">
        <v>28</v>
      </c>
      <c r="N287" s="1">
        <f t="shared" si="68"/>
        <v>2</v>
      </c>
      <c r="O287" s="1">
        <f t="shared" si="69"/>
        <v>4</v>
      </c>
      <c r="P287" s="1">
        <f t="shared" si="70"/>
        <v>6</v>
      </c>
      <c r="Q287" s="1">
        <f t="shared" si="71"/>
        <v>1</v>
      </c>
      <c r="R287" s="1">
        <f t="shared" si="72"/>
        <v>0</v>
      </c>
      <c r="S287" s="1">
        <f t="shared" si="73"/>
        <v>0</v>
      </c>
      <c r="T287" s="1">
        <f t="shared" si="74"/>
        <v>1</v>
      </c>
      <c r="U287" s="26">
        <f t="shared" si="75"/>
        <v>1</v>
      </c>
      <c r="V287" s="26">
        <f t="shared" si="76"/>
        <v>1</v>
      </c>
      <c r="W287" s="1">
        <f t="shared" si="77"/>
        <v>0</v>
      </c>
      <c r="X287" s="26">
        <f t="shared" si="78"/>
        <v>0</v>
      </c>
      <c r="Y287" s="26">
        <f t="shared" si="79"/>
        <v>1</v>
      </c>
      <c r="Z287" s="1">
        <f t="shared" si="80"/>
        <v>1</v>
      </c>
      <c r="AA287"/>
      <c r="AB287"/>
    </row>
    <row r="288" spans="1:28" x14ac:dyDescent="0.55000000000000004">
      <c r="A288" s="1">
        <f t="shared" si="67"/>
        <v>288</v>
      </c>
      <c r="B288" t="s">
        <v>38</v>
      </c>
      <c r="C288" t="s">
        <v>80</v>
      </c>
      <c r="D288" t="s">
        <v>133</v>
      </c>
      <c r="E288" t="s">
        <v>2100</v>
      </c>
      <c r="F288" t="s">
        <v>2061</v>
      </c>
      <c r="G288" t="s">
        <v>913</v>
      </c>
      <c r="H288" t="s">
        <v>590</v>
      </c>
      <c r="I288" t="s">
        <v>903</v>
      </c>
      <c r="J288" t="s">
        <v>2102</v>
      </c>
      <c r="K288" t="s">
        <v>916</v>
      </c>
      <c r="L288" t="s">
        <v>974</v>
      </c>
      <c r="M288" t="s">
        <v>28</v>
      </c>
      <c r="N288" s="1">
        <f t="shared" si="68"/>
        <v>0</v>
      </c>
      <c r="O288" s="1">
        <f t="shared" si="69"/>
        <v>1</v>
      </c>
      <c r="P288" s="1">
        <f t="shared" si="70"/>
        <v>1</v>
      </c>
      <c r="Q288" s="1">
        <f t="shared" si="71"/>
        <v>1</v>
      </c>
      <c r="R288" s="1">
        <f t="shared" si="72"/>
        <v>1</v>
      </c>
      <c r="S288" s="1">
        <f t="shared" si="73"/>
        <v>1</v>
      </c>
      <c r="T288" s="1">
        <f t="shared" si="74"/>
        <v>1</v>
      </c>
      <c r="U288" s="26">
        <f t="shared" si="75"/>
        <v>0</v>
      </c>
      <c r="V288" s="26">
        <f t="shared" si="76"/>
        <v>0</v>
      </c>
      <c r="W288" s="1">
        <f t="shared" si="77"/>
        <v>1</v>
      </c>
      <c r="X288" s="26">
        <f t="shared" si="78"/>
        <v>1</v>
      </c>
      <c r="Y288" s="26">
        <f t="shared" si="79"/>
        <v>0</v>
      </c>
      <c r="Z288" s="1">
        <f t="shared" si="80"/>
        <v>0</v>
      </c>
      <c r="AA288"/>
      <c r="AB288"/>
    </row>
    <row r="289" spans="1:28" x14ac:dyDescent="0.55000000000000004">
      <c r="A289" s="1">
        <f t="shared" si="67"/>
        <v>289</v>
      </c>
      <c r="B289" t="s">
        <v>38</v>
      </c>
      <c r="C289" t="s">
        <v>80</v>
      </c>
      <c r="D289" t="s">
        <v>133</v>
      </c>
      <c r="E289" t="s">
        <v>2100</v>
      </c>
      <c r="F289" t="s">
        <v>390</v>
      </c>
      <c r="G289" t="s">
        <v>909</v>
      </c>
      <c r="H289" t="s">
        <v>590</v>
      </c>
      <c r="I289" t="s">
        <v>899</v>
      </c>
      <c r="J289" t="s">
        <v>2103</v>
      </c>
      <c r="K289" t="s">
        <v>965</v>
      </c>
      <c r="L289" t="s">
        <v>1106</v>
      </c>
      <c r="M289" t="s">
        <v>28</v>
      </c>
      <c r="N289" s="1">
        <f t="shared" si="68"/>
        <v>0</v>
      </c>
      <c r="O289" s="1">
        <f t="shared" si="69"/>
        <v>1</v>
      </c>
      <c r="P289" s="1">
        <f t="shared" si="70"/>
        <v>1</v>
      </c>
      <c r="Q289" s="1">
        <f t="shared" si="71"/>
        <v>1</v>
      </c>
      <c r="R289" s="1">
        <f t="shared" si="72"/>
        <v>1</v>
      </c>
      <c r="S289" s="1">
        <f t="shared" si="73"/>
        <v>1</v>
      </c>
      <c r="T289" s="1">
        <f t="shared" si="74"/>
        <v>1</v>
      </c>
      <c r="U289" s="26">
        <f t="shared" si="75"/>
        <v>0</v>
      </c>
      <c r="V289" s="26">
        <f t="shared" si="76"/>
        <v>0</v>
      </c>
      <c r="W289" s="1">
        <f t="shared" si="77"/>
        <v>1</v>
      </c>
      <c r="X289" s="26">
        <f t="shared" si="78"/>
        <v>1</v>
      </c>
      <c r="Y289" s="26">
        <f t="shared" si="79"/>
        <v>0</v>
      </c>
      <c r="Z289" s="1">
        <f t="shared" si="80"/>
        <v>0</v>
      </c>
      <c r="AA289"/>
      <c r="AB289"/>
    </row>
    <row r="290" spans="1:28" x14ac:dyDescent="0.55000000000000004">
      <c r="A290" s="1">
        <f t="shared" si="67"/>
        <v>290</v>
      </c>
      <c r="B290" t="s">
        <v>38</v>
      </c>
      <c r="C290" t="s">
        <v>80</v>
      </c>
      <c r="D290" t="s">
        <v>133</v>
      </c>
      <c r="E290" t="s">
        <v>2100</v>
      </c>
      <c r="F290" t="s">
        <v>390</v>
      </c>
      <c r="G290" t="s">
        <v>919</v>
      </c>
      <c r="H290" t="s">
        <v>722</v>
      </c>
      <c r="I290" t="s">
        <v>934</v>
      </c>
      <c r="J290" t="s">
        <v>2104</v>
      </c>
      <c r="K290" t="s">
        <v>968</v>
      </c>
      <c r="L290" t="s">
        <v>960</v>
      </c>
      <c r="M290" t="s">
        <v>28</v>
      </c>
      <c r="N290" s="1">
        <f t="shared" si="68"/>
        <v>3</v>
      </c>
      <c r="O290" s="1">
        <f t="shared" si="69"/>
        <v>0</v>
      </c>
      <c r="P290" s="1">
        <f t="shared" si="70"/>
        <v>3</v>
      </c>
      <c r="Q290" s="1">
        <f t="shared" si="71"/>
        <v>1</v>
      </c>
      <c r="R290" s="1">
        <f t="shared" si="72"/>
        <v>1</v>
      </c>
      <c r="S290" s="1">
        <f t="shared" si="73"/>
        <v>1</v>
      </c>
      <c r="T290" s="1">
        <f t="shared" si="74"/>
        <v>0</v>
      </c>
      <c r="U290" s="26">
        <f t="shared" si="75"/>
        <v>1</v>
      </c>
      <c r="V290" s="26">
        <f t="shared" si="76"/>
        <v>1</v>
      </c>
      <c r="W290" s="1">
        <f t="shared" si="77"/>
        <v>1</v>
      </c>
      <c r="X290" s="26">
        <f t="shared" si="78"/>
        <v>0</v>
      </c>
      <c r="Y290" s="26">
        <f t="shared" si="79"/>
        <v>0</v>
      </c>
      <c r="Z290" s="1">
        <f t="shared" si="80"/>
        <v>1</v>
      </c>
      <c r="AA290"/>
      <c r="AB290"/>
    </row>
    <row r="291" spans="1:28" x14ac:dyDescent="0.55000000000000004">
      <c r="A291" s="1">
        <f t="shared" si="67"/>
        <v>291</v>
      </c>
      <c r="B291" t="s">
        <v>38</v>
      </c>
      <c r="C291" t="s">
        <v>80</v>
      </c>
      <c r="D291" t="s">
        <v>133</v>
      </c>
      <c r="E291" t="s">
        <v>2100</v>
      </c>
      <c r="F291" t="s">
        <v>390</v>
      </c>
      <c r="G291" t="s">
        <v>929</v>
      </c>
      <c r="H291" t="s">
        <v>575</v>
      </c>
      <c r="I291" t="s">
        <v>940</v>
      </c>
      <c r="J291" t="s">
        <v>2105</v>
      </c>
      <c r="K291" t="s">
        <v>932</v>
      </c>
      <c r="L291" t="s">
        <v>2106</v>
      </c>
      <c r="M291" t="s">
        <v>28</v>
      </c>
      <c r="N291" s="1">
        <f t="shared" si="68"/>
        <v>1</v>
      </c>
      <c r="O291" s="1">
        <f t="shared" si="69"/>
        <v>0</v>
      </c>
      <c r="P291" s="1">
        <f t="shared" si="70"/>
        <v>1</v>
      </c>
      <c r="Q291" s="1">
        <f t="shared" si="71"/>
        <v>1</v>
      </c>
      <c r="R291" s="1">
        <f t="shared" si="72"/>
        <v>1</v>
      </c>
      <c r="S291" s="1">
        <f t="shared" si="73"/>
        <v>1</v>
      </c>
      <c r="T291" s="1">
        <f t="shared" si="74"/>
        <v>1</v>
      </c>
      <c r="U291" s="26">
        <f t="shared" si="75"/>
        <v>1</v>
      </c>
      <c r="V291" s="26">
        <f t="shared" si="76"/>
        <v>0</v>
      </c>
      <c r="W291" s="1">
        <f t="shared" si="77"/>
        <v>1</v>
      </c>
      <c r="X291" s="26">
        <f t="shared" si="78"/>
        <v>0</v>
      </c>
      <c r="Y291" s="26">
        <f t="shared" si="79"/>
        <v>0</v>
      </c>
      <c r="Z291" s="1">
        <f t="shared" si="80"/>
        <v>0</v>
      </c>
      <c r="AA291"/>
      <c r="AB291"/>
    </row>
    <row r="292" spans="1:28" x14ac:dyDescent="0.55000000000000004">
      <c r="A292" s="1">
        <f t="shared" si="67"/>
        <v>292</v>
      </c>
      <c r="B292" t="s">
        <v>38</v>
      </c>
      <c r="C292" t="s">
        <v>80</v>
      </c>
      <c r="D292" t="s">
        <v>133</v>
      </c>
      <c r="E292" t="s">
        <v>2100</v>
      </c>
      <c r="F292" t="s">
        <v>390</v>
      </c>
      <c r="G292" t="s">
        <v>981</v>
      </c>
      <c r="H292" t="s">
        <v>739</v>
      </c>
      <c r="I292" t="s">
        <v>979</v>
      </c>
      <c r="J292" t="s">
        <v>2107</v>
      </c>
      <c r="K292" t="s">
        <v>1086</v>
      </c>
      <c r="L292" t="s">
        <v>966</v>
      </c>
      <c r="M292" t="s">
        <v>28</v>
      </c>
      <c r="N292" s="1">
        <f t="shared" si="68"/>
        <v>0</v>
      </c>
      <c r="O292" s="1">
        <f t="shared" si="69"/>
        <v>3</v>
      </c>
      <c r="P292" s="1">
        <f t="shared" si="70"/>
        <v>3</v>
      </c>
      <c r="Q292" s="1">
        <f t="shared" si="71"/>
        <v>1</v>
      </c>
      <c r="R292" s="1">
        <f t="shared" si="72"/>
        <v>1</v>
      </c>
      <c r="S292" s="1">
        <f t="shared" si="73"/>
        <v>1</v>
      </c>
      <c r="T292" s="1">
        <f t="shared" si="74"/>
        <v>1</v>
      </c>
      <c r="U292" s="26">
        <f t="shared" si="75"/>
        <v>0</v>
      </c>
      <c r="V292" s="26">
        <f t="shared" si="76"/>
        <v>0</v>
      </c>
      <c r="W292" s="1">
        <f t="shared" si="77"/>
        <v>0</v>
      </c>
      <c r="X292" s="26">
        <f t="shared" si="78"/>
        <v>1</v>
      </c>
      <c r="Y292" s="26">
        <f t="shared" si="79"/>
        <v>1</v>
      </c>
      <c r="Z292" s="1">
        <f t="shared" si="80"/>
        <v>1</v>
      </c>
      <c r="AA292"/>
      <c r="AB292"/>
    </row>
    <row r="293" spans="1:28" x14ac:dyDescent="0.55000000000000004">
      <c r="A293" s="1">
        <f t="shared" si="67"/>
        <v>293</v>
      </c>
      <c r="B293" t="s">
        <v>38</v>
      </c>
      <c r="C293" t="s">
        <v>80</v>
      </c>
      <c r="D293" t="s">
        <v>179</v>
      </c>
      <c r="E293" t="s">
        <v>961</v>
      </c>
      <c r="F293" t="s">
        <v>390</v>
      </c>
      <c r="G293" t="s">
        <v>898</v>
      </c>
      <c r="H293" t="s">
        <v>575</v>
      </c>
      <c r="I293" t="s">
        <v>914</v>
      </c>
      <c r="J293" t="s">
        <v>962</v>
      </c>
      <c r="K293" t="s">
        <v>901</v>
      </c>
      <c r="L293" t="s">
        <v>933</v>
      </c>
      <c r="M293" t="s">
        <v>28</v>
      </c>
      <c r="N293" s="1">
        <f t="shared" si="68"/>
        <v>1</v>
      </c>
      <c r="O293" s="1">
        <f t="shared" si="69"/>
        <v>0</v>
      </c>
      <c r="P293" s="1">
        <f t="shared" si="70"/>
        <v>1</v>
      </c>
      <c r="Q293" s="1">
        <f t="shared" si="71"/>
        <v>1</v>
      </c>
      <c r="R293" s="1">
        <f t="shared" si="72"/>
        <v>1</v>
      </c>
      <c r="S293" s="1">
        <f t="shared" si="73"/>
        <v>1</v>
      </c>
      <c r="T293" s="1">
        <f t="shared" si="74"/>
        <v>1</v>
      </c>
      <c r="U293" s="26">
        <f t="shared" si="75"/>
        <v>1</v>
      </c>
      <c r="V293" s="26">
        <f t="shared" si="76"/>
        <v>0</v>
      </c>
      <c r="W293" s="1">
        <f t="shared" si="77"/>
        <v>1</v>
      </c>
      <c r="X293" s="26">
        <f t="shared" si="78"/>
        <v>0</v>
      </c>
      <c r="Y293" s="26">
        <f t="shared" si="79"/>
        <v>0</v>
      </c>
      <c r="Z293" s="1">
        <f t="shared" si="80"/>
        <v>0</v>
      </c>
      <c r="AA293"/>
      <c r="AB293"/>
    </row>
    <row r="294" spans="1:28" x14ac:dyDescent="0.55000000000000004">
      <c r="A294" s="1">
        <f t="shared" si="67"/>
        <v>294</v>
      </c>
      <c r="B294" t="s">
        <v>38</v>
      </c>
      <c r="C294" t="s">
        <v>82</v>
      </c>
      <c r="D294" t="s">
        <v>133</v>
      </c>
      <c r="E294" t="s">
        <v>2108</v>
      </c>
      <c r="F294" t="s">
        <v>1674</v>
      </c>
      <c r="G294" t="s">
        <v>903</v>
      </c>
      <c r="H294" t="s">
        <v>570</v>
      </c>
      <c r="I294" t="s">
        <v>934</v>
      </c>
      <c r="J294" t="s">
        <v>2109</v>
      </c>
      <c r="K294" t="s">
        <v>906</v>
      </c>
      <c r="L294" t="s">
        <v>2110</v>
      </c>
      <c r="M294" t="s">
        <v>28</v>
      </c>
      <c r="N294" s="1">
        <f t="shared" si="68"/>
        <v>3</v>
      </c>
      <c r="O294" s="1">
        <f t="shared" si="69"/>
        <v>1</v>
      </c>
      <c r="P294" s="1">
        <f t="shared" si="70"/>
        <v>4</v>
      </c>
      <c r="Q294" s="1">
        <f t="shared" si="71"/>
        <v>1</v>
      </c>
      <c r="R294" s="1">
        <f t="shared" si="72"/>
        <v>1</v>
      </c>
      <c r="S294" s="1">
        <f t="shared" si="73"/>
        <v>1</v>
      </c>
      <c r="T294" s="1">
        <f t="shared" si="74"/>
        <v>0</v>
      </c>
      <c r="U294" s="26">
        <f t="shared" si="75"/>
        <v>1</v>
      </c>
      <c r="V294" s="26">
        <f t="shared" si="76"/>
        <v>1</v>
      </c>
      <c r="W294" s="1">
        <f t="shared" si="77"/>
        <v>1</v>
      </c>
      <c r="X294" s="26">
        <f t="shared" si="78"/>
        <v>1</v>
      </c>
      <c r="Y294" s="26">
        <f t="shared" si="79"/>
        <v>0</v>
      </c>
      <c r="Z294" s="1">
        <f t="shared" si="80"/>
        <v>1</v>
      </c>
      <c r="AA294"/>
      <c r="AB294"/>
    </row>
    <row r="295" spans="1:28" x14ac:dyDescent="0.55000000000000004">
      <c r="A295" s="1">
        <f t="shared" si="67"/>
        <v>295</v>
      </c>
      <c r="B295" t="s">
        <v>38</v>
      </c>
      <c r="C295" t="s">
        <v>82</v>
      </c>
      <c r="D295" t="s">
        <v>133</v>
      </c>
      <c r="E295" t="s">
        <v>2108</v>
      </c>
      <c r="F295" t="s">
        <v>956</v>
      </c>
      <c r="G295" t="s">
        <v>918</v>
      </c>
      <c r="H295" t="s">
        <v>575</v>
      </c>
      <c r="I295" t="s">
        <v>909</v>
      </c>
      <c r="J295" t="s">
        <v>2111</v>
      </c>
      <c r="K295" t="s">
        <v>921</v>
      </c>
      <c r="L295" t="s">
        <v>1122</v>
      </c>
      <c r="M295" t="s">
        <v>28</v>
      </c>
      <c r="N295" s="1">
        <f t="shared" si="68"/>
        <v>1</v>
      </c>
      <c r="O295" s="1">
        <f t="shared" si="69"/>
        <v>0</v>
      </c>
      <c r="P295" s="1">
        <f t="shared" si="70"/>
        <v>1</v>
      </c>
      <c r="Q295" s="1">
        <f t="shared" si="71"/>
        <v>1</v>
      </c>
      <c r="R295" s="1">
        <f t="shared" si="72"/>
        <v>1</v>
      </c>
      <c r="S295" s="1">
        <f t="shared" si="73"/>
        <v>1</v>
      </c>
      <c r="T295" s="1">
        <f t="shared" si="74"/>
        <v>1</v>
      </c>
      <c r="U295" s="26">
        <f t="shared" si="75"/>
        <v>1</v>
      </c>
      <c r="V295" s="26">
        <f t="shared" si="76"/>
        <v>0</v>
      </c>
      <c r="W295" s="1">
        <f t="shared" si="77"/>
        <v>1</v>
      </c>
      <c r="X295" s="26">
        <f t="shared" si="78"/>
        <v>0</v>
      </c>
      <c r="Y295" s="26">
        <f t="shared" si="79"/>
        <v>0</v>
      </c>
      <c r="Z295" s="1">
        <f t="shared" si="80"/>
        <v>0</v>
      </c>
      <c r="AA295"/>
      <c r="AB295"/>
    </row>
    <row r="296" spans="1:28" x14ac:dyDescent="0.55000000000000004">
      <c r="A296" s="1">
        <f t="shared" si="67"/>
        <v>296</v>
      </c>
      <c r="B296" t="s">
        <v>38</v>
      </c>
      <c r="C296" t="s">
        <v>82</v>
      </c>
      <c r="D296" t="s">
        <v>133</v>
      </c>
      <c r="E296" t="s">
        <v>2108</v>
      </c>
      <c r="F296" t="s">
        <v>956</v>
      </c>
      <c r="G296" t="s">
        <v>914</v>
      </c>
      <c r="H296" t="s">
        <v>1214</v>
      </c>
      <c r="I296" t="s">
        <v>913</v>
      </c>
      <c r="J296" t="s">
        <v>2112</v>
      </c>
      <c r="K296" t="s">
        <v>901</v>
      </c>
      <c r="L296" t="s">
        <v>1672</v>
      </c>
      <c r="M296" t="s">
        <v>28</v>
      </c>
      <c r="N296" s="1">
        <f t="shared" si="68"/>
        <v>4</v>
      </c>
      <c r="O296" s="1">
        <f t="shared" si="69"/>
        <v>2</v>
      </c>
      <c r="P296" s="1">
        <f t="shared" si="70"/>
        <v>6</v>
      </c>
      <c r="Q296" s="1">
        <f t="shared" si="71"/>
        <v>1</v>
      </c>
      <c r="R296" s="1">
        <f t="shared" si="72"/>
        <v>0</v>
      </c>
      <c r="S296" s="1">
        <f t="shared" si="73"/>
        <v>0</v>
      </c>
      <c r="T296" s="1">
        <f t="shared" si="74"/>
        <v>0</v>
      </c>
      <c r="U296" s="26">
        <f t="shared" si="75"/>
        <v>0</v>
      </c>
      <c r="V296" s="26">
        <f t="shared" si="76"/>
        <v>1</v>
      </c>
      <c r="W296" s="1">
        <f t="shared" si="77"/>
        <v>1</v>
      </c>
      <c r="X296" s="26">
        <f t="shared" si="78"/>
        <v>1</v>
      </c>
      <c r="Y296" s="26">
        <f t="shared" si="79"/>
        <v>1</v>
      </c>
      <c r="Z296" s="1">
        <f t="shared" si="80"/>
        <v>1</v>
      </c>
      <c r="AA296"/>
      <c r="AB296"/>
    </row>
    <row r="297" spans="1:28" x14ac:dyDescent="0.55000000000000004">
      <c r="A297" s="1">
        <f t="shared" si="67"/>
        <v>297</v>
      </c>
      <c r="B297" t="s">
        <v>38</v>
      </c>
      <c r="C297" t="s">
        <v>82</v>
      </c>
      <c r="D297" t="s">
        <v>133</v>
      </c>
      <c r="E297" t="s">
        <v>2108</v>
      </c>
      <c r="F297" t="s">
        <v>1633</v>
      </c>
      <c r="G297" t="s">
        <v>924</v>
      </c>
      <c r="H297" t="s">
        <v>608</v>
      </c>
      <c r="I297" t="s">
        <v>904</v>
      </c>
      <c r="J297" t="s">
        <v>2113</v>
      </c>
      <c r="K297" t="s">
        <v>927</v>
      </c>
      <c r="L297" t="s">
        <v>1078</v>
      </c>
      <c r="M297" t="s">
        <v>28</v>
      </c>
      <c r="N297" s="1">
        <f t="shared" si="68"/>
        <v>1</v>
      </c>
      <c r="O297" s="1">
        <f t="shared" si="69"/>
        <v>1</v>
      </c>
      <c r="P297" s="1">
        <f t="shared" si="70"/>
        <v>2</v>
      </c>
      <c r="Q297" s="1">
        <f t="shared" si="71"/>
        <v>0</v>
      </c>
      <c r="R297" s="1">
        <f t="shared" si="72"/>
        <v>1</v>
      </c>
      <c r="S297" s="1">
        <f t="shared" si="73"/>
        <v>0</v>
      </c>
      <c r="T297" s="1">
        <f t="shared" si="74"/>
        <v>1</v>
      </c>
      <c r="U297" s="26">
        <f t="shared" si="75"/>
        <v>1</v>
      </c>
      <c r="V297" s="26">
        <f t="shared" si="76"/>
        <v>0</v>
      </c>
      <c r="W297" s="1">
        <f t="shared" si="77"/>
        <v>1</v>
      </c>
      <c r="X297" s="26">
        <f t="shared" si="78"/>
        <v>1</v>
      </c>
      <c r="Y297" s="26">
        <f t="shared" si="79"/>
        <v>0</v>
      </c>
      <c r="Z297" s="1">
        <f t="shared" si="80"/>
        <v>1</v>
      </c>
      <c r="AA297"/>
      <c r="AB297"/>
    </row>
    <row r="298" spans="1:28" x14ac:dyDescent="0.55000000000000004">
      <c r="A298" s="1">
        <f t="shared" si="67"/>
        <v>298</v>
      </c>
      <c r="B298" t="s">
        <v>38</v>
      </c>
      <c r="C298" t="s">
        <v>82</v>
      </c>
      <c r="D298" t="s">
        <v>133</v>
      </c>
      <c r="E298" t="s">
        <v>2108</v>
      </c>
      <c r="F298" t="s">
        <v>390</v>
      </c>
      <c r="G298" t="s">
        <v>940</v>
      </c>
      <c r="H298" t="s">
        <v>590</v>
      </c>
      <c r="I298" t="s">
        <v>919</v>
      </c>
      <c r="J298" t="s">
        <v>2114</v>
      </c>
      <c r="K298" t="s">
        <v>942</v>
      </c>
      <c r="L298" t="s">
        <v>1095</v>
      </c>
      <c r="M298" t="s">
        <v>28</v>
      </c>
      <c r="N298" s="1">
        <f t="shared" si="68"/>
        <v>0</v>
      </c>
      <c r="O298" s="1">
        <f t="shared" si="69"/>
        <v>1</v>
      </c>
      <c r="P298" s="1">
        <f t="shared" si="70"/>
        <v>1</v>
      </c>
      <c r="Q298" s="1">
        <f t="shared" si="71"/>
        <v>1</v>
      </c>
      <c r="R298" s="1">
        <f t="shared" si="72"/>
        <v>1</v>
      </c>
      <c r="S298" s="1">
        <f t="shared" si="73"/>
        <v>1</v>
      </c>
      <c r="T298" s="1">
        <f t="shared" si="74"/>
        <v>1</v>
      </c>
      <c r="U298" s="26">
        <f t="shared" si="75"/>
        <v>0</v>
      </c>
      <c r="V298" s="26">
        <f t="shared" si="76"/>
        <v>0</v>
      </c>
      <c r="W298" s="1">
        <f t="shared" si="77"/>
        <v>1</v>
      </c>
      <c r="X298" s="26">
        <f t="shared" si="78"/>
        <v>1</v>
      </c>
      <c r="Y298" s="26">
        <f t="shared" si="79"/>
        <v>0</v>
      </c>
      <c r="Z298" s="1">
        <f t="shared" si="80"/>
        <v>0</v>
      </c>
      <c r="AA298"/>
      <c r="AB298"/>
    </row>
    <row r="299" spans="1:28" x14ac:dyDescent="0.55000000000000004">
      <c r="A299" s="1">
        <f t="shared" si="67"/>
        <v>299</v>
      </c>
      <c r="B299" t="s">
        <v>38</v>
      </c>
      <c r="C299" t="s">
        <v>82</v>
      </c>
      <c r="D299" t="s">
        <v>133</v>
      </c>
      <c r="E299" t="s">
        <v>2108</v>
      </c>
      <c r="F299" t="s">
        <v>390</v>
      </c>
      <c r="G299" t="s">
        <v>930</v>
      </c>
      <c r="H299" t="s">
        <v>590</v>
      </c>
      <c r="I299" t="s">
        <v>899</v>
      </c>
      <c r="J299" t="s">
        <v>2115</v>
      </c>
      <c r="K299" t="s">
        <v>976</v>
      </c>
      <c r="L299" t="s">
        <v>917</v>
      </c>
      <c r="M299" t="s">
        <v>28</v>
      </c>
      <c r="N299" s="1">
        <f t="shared" si="68"/>
        <v>0</v>
      </c>
      <c r="O299" s="1">
        <f t="shared" si="69"/>
        <v>1</v>
      </c>
      <c r="P299" s="1">
        <f t="shared" si="70"/>
        <v>1</v>
      </c>
      <c r="Q299" s="1">
        <f t="shared" si="71"/>
        <v>1</v>
      </c>
      <c r="R299" s="1">
        <f t="shared" si="72"/>
        <v>1</v>
      </c>
      <c r="S299" s="1">
        <f t="shared" si="73"/>
        <v>1</v>
      </c>
      <c r="T299" s="1">
        <f t="shared" si="74"/>
        <v>1</v>
      </c>
      <c r="U299" s="26">
        <f t="shared" si="75"/>
        <v>0</v>
      </c>
      <c r="V299" s="26">
        <f t="shared" si="76"/>
        <v>0</v>
      </c>
      <c r="W299" s="1">
        <f t="shared" si="77"/>
        <v>1</v>
      </c>
      <c r="X299" s="26">
        <f t="shared" si="78"/>
        <v>1</v>
      </c>
      <c r="Y299" s="26">
        <f t="shared" si="79"/>
        <v>0</v>
      </c>
      <c r="Z299" s="1">
        <f t="shared" si="80"/>
        <v>0</v>
      </c>
      <c r="AA299"/>
      <c r="AB299"/>
    </row>
    <row r="300" spans="1:28" x14ac:dyDescent="0.55000000000000004">
      <c r="A300" s="1">
        <f t="shared" si="67"/>
        <v>300</v>
      </c>
      <c r="B300" t="s">
        <v>38</v>
      </c>
      <c r="C300" t="s">
        <v>82</v>
      </c>
      <c r="D300" t="s">
        <v>133</v>
      </c>
      <c r="E300" t="s">
        <v>2108</v>
      </c>
      <c r="F300" t="s">
        <v>390</v>
      </c>
      <c r="G300" t="s">
        <v>981</v>
      </c>
      <c r="H300" t="s">
        <v>573</v>
      </c>
      <c r="I300" t="s">
        <v>935</v>
      </c>
      <c r="J300" t="s">
        <v>2116</v>
      </c>
      <c r="K300" t="s">
        <v>1086</v>
      </c>
      <c r="L300" t="s">
        <v>1092</v>
      </c>
      <c r="M300" t="s">
        <v>28</v>
      </c>
      <c r="N300" s="1">
        <f t="shared" si="68"/>
        <v>2</v>
      </c>
      <c r="O300" s="1">
        <f t="shared" si="69"/>
        <v>0</v>
      </c>
      <c r="P300" s="1">
        <f t="shared" si="70"/>
        <v>2</v>
      </c>
      <c r="Q300" s="1">
        <f t="shared" si="71"/>
        <v>1</v>
      </c>
      <c r="R300" s="1">
        <f t="shared" si="72"/>
        <v>1</v>
      </c>
      <c r="S300" s="1">
        <f t="shared" si="73"/>
        <v>1</v>
      </c>
      <c r="T300" s="1">
        <f t="shared" si="74"/>
        <v>1</v>
      </c>
      <c r="U300" s="26">
        <f t="shared" si="75"/>
        <v>1</v>
      </c>
      <c r="V300" s="26">
        <f t="shared" si="76"/>
        <v>1</v>
      </c>
      <c r="W300" s="1">
        <f t="shared" si="77"/>
        <v>1</v>
      </c>
      <c r="X300" s="26">
        <f t="shared" si="78"/>
        <v>0</v>
      </c>
      <c r="Y300" s="26">
        <f t="shared" si="79"/>
        <v>0</v>
      </c>
      <c r="Z300" s="1">
        <f t="shared" si="80"/>
        <v>1</v>
      </c>
      <c r="AA300"/>
      <c r="AB300"/>
    </row>
    <row r="301" spans="1:28" x14ac:dyDescent="0.55000000000000004">
      <c r="A301" s="1">
        <f t="shared" si="67"/>
        <v>301</v>
      </c>
      <c r="B301" t="s">
        <v>38</v>
      </c>
      <c r="C301" t="s">
        <v>82</v>
      </c>
      <c r="D301" t="s">
        <v>133</v>
      </c>
      <c r="E301" t="s">
        <v>2108</v>
      </c>
      <c r="F301" t="s">
        <v>390</v>
      </c>
      <c r="G301" t="s">
        <v>979</v>
      </c>
      <c r="H301" t="s">
        <v>590</v>
      </c>
      <c r="I301" t="s">
        <v>898</v>
      </c>
      <c r="J301" t="s">
        <v>2117</v>
      </c>
      <c r="K301" t="s">
        <v>1102</v>
      </c>
      <c r="L301" t="s">
        <v>969</v>
      </c>
      <c r="M301" t="s">
        <v>28</v>
      </c>
      <c r="N301" s="1">
        <f t="shared" si="68"/>
        <v>0</v>
      </c>
      <c r="O301" s="1">
        <f t="shared" si="69"/>
        <v>1</v>
      </c>
      <c r="P301" s="1">
        <f t="shared" si="70"/>
        <v>1</v>
      </c>
      <c r="Q301" s="1">
        <f t="shared" si="71"/>
        <v>1</v>
      </c>
      <c r="R301" s="1">
        <f t="shared" si="72"/>
        <v>1</v>
      </c>
      <c r="S301" s="1">
        <f t="shared" si="73"/>
        <v>1</v>
      </c>
      <c r="T301" s="1">
        <f t="shared" si="74"/>
        <v>1</v>
      </c>
      <c r="U301" s="26">
        <f t="shared" si="75"/>
        <v>0</v>
      </c>
      <c r="V301" s="26">
        <f t="shared" si="76"/>
        <v>0</v>
      </c>
      <c r="W301" s="1">
        <f t="shared" si="77"/>
        <v>1</v>
      </c>
      <c r="X301" s="26">
        <f t="shared" si="78"/>
        <v>1</v>
      </c>
      <c r="Y301" s="26">
        <f t="shared" si="79"/>
        <v>0</v>
      </c>
      <c r="Z301" s="1">
        <f t="shared" si="80"/>
        <v>0</v>
      </c>
      <c r="AA301"/>
      <c r="AB301"/>
    </row>
    <row r="302" spans="1:28" x14ac:dyDescent="0.55000000000000004">
      <c r="A302" s="1">
        <f t="shared" si="67"/>
        <v>302</v>
      </c>
      <c r="B302" t="s">
        <v>38</v>
      </c>
      <c r="C302" t="s">
        <v>332</v>
      </c>
      <c r="D302" t="s">
        <v>216</v>
      </c>
      <c r="E302" t="s">
        <v>963</v>
      </c>
      <c r="F302" t="s">
        <v>342</v>
      </c>
      <c r="G302" t="s">
        <v>909</v>
      </c>
      <c r="H302" t="s">
        <v>708</v>
      </c>
      <c r="I302" t="s">
        <v>903</v>
      </c>
      <c r="J302" t="s">
        <v>964</v>
      </c>
      <c r="K302" t="s">
        <v>965</v>
      </c>
      <c r="L302" t="s">
        <v>966</v>
      </c>
      <c r="M302" t="s">
        <v>28</v>
      </c>
      <c r="N302" s="1">
        <f t="shared" si="68"/>
        <v>0</v>
      </c>
      <c r="O302" s="1">
        <f t="shared" si="69"/>
        <v>0</v>
      </c>
      <c r="P302" s="1">
        <f t="shared" si="70"/>
        <v>0</v>
      </c>
      <c r="Q302" s="1">
        <f t="shared" si="71"/>
        <v>0</v>
      </c>
      <c r="R302" s="1">
        <f t="shared" si="72"/>
        <v>1</v>
      </c>
      <c r="S302" s="1">
        <f t="shared" si="73"/>
        <v>0</v>
      </c>
      <c r="T302" s="1">
        <f t="shared" si="74"/>
        <v>1</v>
      </c>
      <c r="U302" s="26">
        <f t="shared" si="75"/>
        <v>0</v>
      </c>
      <c r="V302" s="26">
        <f t="shared" si="76"/>
        <v>0</v>
      </c>
      <c r="W302" s="1">
        <f t="shared" si="77"/>
        <v>1</v>
      </c>
      <c r="X302" s="26">
        <f t="shared" si="78"/>
        <v>0</v>
      </c>
      <c r="Y302" s="26">
        <f t="shared" si="79"/>
        <v>0</v>
      </c>
      <c r="Z302" s="1">
        <f t="shared" si="80"/>
        <v>0</v>
      </c>
      <c r="AA302"/>
      <c r="AB302"/>
    </row>
    <row r="303" spans="1:28" x14ac:dyDescent="0.55000000000000004">
      <c r="A303" s="1">
        <f t="shared" si="67"/>
        <v>303</v>
      </c>
      <c r="B303" t="s">
        <v>38</v>
      </c>
      <c r="C303" t="s">
        <v>332</v>
      </c>
      <c r="D303" t="s">
        <v>216</v>
      </c>
      <c r="E303" t="s">
        <v>963</v>
      </c>
      <c r="F303" t="s">
        <v>956</v>
      </c>
      <c r="G303" t="s">
        <v>919</v>
      </c>
      <c r="H303" t="s">
        <v>570</v>
      </c>
      <c r="I303" t="s">
        <v>924</v>
      </c>
      <c r="J303" t="s">
        <v>967</v>
      </c>
      <c r="K303" t="s">
        <v>968</v>
      </c>
      <c r="L303" t="s">
        <v>969</v>
      </c>
      <c r="M303" t="s">
        <v>28</v>
      </c>
      <c r="N303" s="1">
        <f t="shared" si="68"/>
        <v>3</v>
      </c>
      <c r="O303" s="1">
        <f t="shared" si="69"/>
        <v>1</v>
      </c>
      <c r="P303" s="1">
        <f t="shared" si="70"/>
        <v>4</v>
      </c>
      <c r="Q303" s="1">
        <f t="shared" si="71"/>
        <v>1</v>
      </c>
      <c r="R303" s="1">
        <f t="shared" si="72"/>
        <v>1</v>
      </c>
      <c r="S303" s="1">
        <f t="shared" si="73"/>
        <v>1</v>
      </c>
      <c r="T303" s="1">
        <f t="shared" si="74"/>
        <v>0</v>
      </c>
      <c r="U303" s="26">
        <f t="shared" si="75"/>
        <v>1</v>
      </c>
      <c r="V303" s="26">
        <f t="shared" si="76"/>
        <v>1</v>
      </c>
      <c r="W303" s="1">
        <f t="shared" si="77"/>
        <v>1</v>
      </c>
      <c r="X303" s="26">
        <f t="shared" si="78"/>
        <v>1</v>
      </c>
      <c r="Y303" s="26">
        <f t="shared" si="79"/>
        <v>0</v>
      </c>
      <c r="Z303" s="1">
        <f t="shared" si="80"/>
        <v>1</v>
      </c>
      <c r="AA303"/>
      <c r="AB303"/>
    </row>
    <row r="304" spans="1:28" x14ac:dyDescent="0.55000000000000004">
      <c r="A304" s="1">
        <f t="shared" si="67"/>
        <v>304</v>
      </c>
      <c r="B304" t="s">
        <v>38</v>
      </c>
      <c r="C304" t="s">
        <v>332</v>
      </c>
      <c r="D304" t="s">
        <v>216</v>
      </c>
      <c r="E304" t="s">
        <v>963</v>
      </c>
      <c r="F304" t="s">
        <v>956</v>
      </c>
      <c r="G304" t="s">
        <v>898</v>
      </c>
      <c r="H304" t="s">
        <v>575</v>
      </c>
      <c r="I304" t="s">
        <v>935</v>
      </c>
      <c r="J304" t="s">
        <v>970</v>
      </c>
      <c r="K304" t="s">
        <v>901</v>
      </c>
      <c r="L304" t="s">
        <v>907</v>
      </c>
      <c r="M304" t="s">
        <v>28</v>
      </c>
      <c r="N304" s="1">
        <f t="shared" si="68"/>
        <v>1</v>
      </c>
      <c r="O304" s="1">
        <f t="shared" si="69"/>
        <v>0</v>
      </c>
      <c r="P304" s="1">
        <f t="shared" si="70"/>
        <v>1</v>
      </c>
      <c r="Q304" s="1">
        <f t="shared" si="71"/>
        <v>1</v>
      </c>
      <c r="R304" s="1">
        <f t="shared" si="72"/>
        <v>1</v>
      </c>
      <c r="S304" s="1">
        <f t="shared" si="73"/>
        <v>1</v>
      </c>
      <c r="T304" s="1">
        <f t="shared" si="74"/>
        <v>1</v>
      </c>
      <c r="U304" s="26">
        <f t="shared" si="75"/>
        <v>1</v>
      </c>
      <c r="V304" s="26">
        <f t="shared" si="76"/>
        <v>0</v>
      </c>
      <c r="W304" s="1">
        <f t="shared" si="77"/>
        <v>1</v>
      </c>
      <c r="X304" s="26">
        <f t="shared" si="78"/>
        <v>0</v>
      </c>
      <c r="Y304" s="26">
        <f t="shared" si="79"/>
        <v>0</v>
      </c>
      <c r="Z304" s="1">
        <f t="shared" si="80"/>
        <v>0</v>
      </c>
      <c r="AA304"/>
      <c r="AB304"/>
    </row>
    <row r="305" spans="1:28" x14ac:dyDescent="0.55000000000000004">
      <c r="A305" s="1">
        <f t="shared" si="67"/>
        <v>305</v>
      </c>
      <c r="B305" t="s">
        <v>38</v>
      </c>
      <c r="C305" t="s">
        <v>332</v>
      </c>
      <c r="D305" t="s">
        <v>216</v>
      </c>
      <c r="E305" t="s">
        <v>963</v>
      </c>
      <c r="F305" t="s">
        <v>956</v>
      </c>
      <c r="G305" t="s">
        <v>913</v>
      </c>
      <c r="H305" t="s">
        <v>708</v>
      </c>
      <c r="I305" t="s">
        <v>918</v>
      </c>
      <c r="J305" t="s">
        <v>971</v>
      </c>
      <c r="K305" t="s">
        <v>916</v>
      </c>
      <c r="L305" t="s">
        <v>944</v>
      </c>
      <c r="M305" t="s">
        <v>28</v>
      </c>
      <c r="N305" s="1">
        <f t="shared" si="68"/>
        <v>0</v>
      </c>
      <c r="O305" s="1">
        <f t="shared" si="69"/>
        <v>0</v>
      </c>
      <c r="P305" s="1">
        <f t="shared" si="70"/>
        <v>0</v>
      </c>
      <c r="Q305" s="1">
        <f t="shared" si="71"/>
        <v>0</v>
      </c>
      <c r="R305" s="1">
        <f t="shared" si="72"/>
        <v>1</v>
      </c>
      <c r="S305" s="1">
        <f t="shared" si="73"/>
        <v>0</v>
      </c>
      <c r="T305" s="1">
        <f t="shared" si="74"/>
        <v>1</v>
      </c>
      <c r="U305" s="26">
        <f t="shared" si="75"/>
        <v>0</v>
      </c>
      <c r="V305" s="26">
        <f t="shared" si="76"/>
        <v>0</v>
      </c>
      <c r="W305" s="1">
        <f t="shared" si="77"/>
        <v>1</v>
      </c>
      <c r="X305" s="26">
        <f t="shared" si="78"/>
        <v>0</v>
      </c>
      <c r="Y305" s="26">
        <f t="shared" si="79"/>
        <v>0</v>
      </c>
      <c r="Z305" s="1">
        <f t="shared" si="80"/>
        <v>0</v>
      </c>
      <c r="AA305"/>
      <c r="AB305"/>
    </row>
    <row r="306" spans="1:28" x14ac:dyDescent="0.55000000000000004">
      <c r="A306" s="1">
        <f t="shared" si="67"/>
        <v>306</v>
      </c>
      <c r="B306" t="s">
        <v>38</v>
      </c>
      <c r="C306" t="s">
        <v>332</v>
      </c>
      <c r="D306" t="s">
        <v>216</v>
      </c>
      <c r="E306" t="s">
        <v>963</v>
      </c>
      <c r="F306" t="s">
        <v>956</v>
      </c>
      <c r="G306" t="s">
        <v>899</v>
      </c>
      <c r="H306" t="s">
        <v>708</v>
      </c>
      <c r="I306" t="s">
        <v>940</v>
      </c>
      <c r="J306" t="s">
        <v>972</v>
      </c>
      <c r="K306" t="s">
        <v>973</v>
      </c>
      <c r="L306" t="s">
        <v>974</v>
      </c>
      <c r="M306" t="s">
        <v>28</v>
      </c>
      <c r="N306" s="1">
        <f t="shared" si="68"/>
        <v>0</v>
      </c>
      <c r="O306" s="1">
        <f t="shared" si="69"/>
        <v>0</v>
      </c>
      <c r="P306" s="1">
        <f t="shared" si="70"/>
        <v>0</v>
      </c>
      <c r="Q306" s="1">
        <f t="shared" si="71"/>
        <v>0</v>
      </c>
      <c r="R306" s="1">
        <f t="shared" si="72"/>
        <v>1</v>
      </c>
      <c r="S306" s="1">
        <f t="shared" si="73"/>
        <v>0</v>
      </c>
      <c r="T306" s="1">
        <f t="shared" si="74"/>
        <v>1</v>
      </c>
      <c r="U306" s="26">
        <f t="shared" si="75"/>
        <v>0</v>
      </c>
      <c r="V306" s="26">
        <f t="shared" si="76"/>
        <v>0</v>
      </c>
      <c r="W306" s="1">
        <f t="shared" si="77"/>
        <v>1</v>
      </c>
      <c r="X306" s="26">
        <f t="shared" si="78"/>
        <v>0</v>
      </c>
      <c r="Y306" s="26">
        <f t="shared" si="79"/>
        <v>0</v>
      </c>
      <c r="Z306" s="1">
        <f t="shared" si="80"/>
        <v>0</v>
      </c>
      <c r="AA306"/>
      <c r="AB306"/>
    </row>
    <row r="307" spans="1:28" x14ac:dyDescent="0.55000000000000004">
      <c r="A307" s="1">
        <f t="shared" si="67"/>
        <v>307</v>
      </c>
      <c r="B307" t="s">
        <v>38</v>
      </c>
      <c r="C307" t="s">
        <v>332</v>
      </c>
      <c r="D307" t="s">
        <v>216</v>
      </c>
      <c r="E307" t="s">
        <v>963</v>
      </c>
      <c r="F307" t="s">
        <v>390</v>
      </c>
      <c r="G307" t="s">
        <v>930</v>
      </c>
      <c r="H307" t="s">
        <v>608</v>
      </c>
      <c r="I307" t="s">
        <v>925</v>
      </c>
      <c r="J307" t="s">
        <v>975</v>
      </c>
      <c r="K307" t="s">
        <v>976</v>
      </c>
      <c r="L307" t="s">
        <v>922</v>
      </c>
      <c r="M307" t="s">
        <v>28</v>
      </c>
      <c r="N307" s="1">
        <f t="shared" si="68"/>
        <v>1</v>
      </c>
      <c r="O307" s="1">
        <f t="shared" si="69"/>
        <v>1</v>
      </c>
      <c r="P307" s="1">
        <f t="shared" si="70"/>
        <v>2</v>
      </c>
      <c r="Q307" s="1">
        <f t="shared" si="71"/>
        <v>0</v>
      </c>
      <c r="R307" s="1">
        <f t="shared" si="72"/>
        <v>1</v>
      </c>
      <c r="S307" s="1">
        <f t="shared" si="73"/>
        <v>0</v>
      </c>
      <c r="T307" s="1">
        <f t="shared" si="74"/>
        <v>1</v>
      </c>
      <c r="U307" s="26">
        <f t="shared" si="75"/>
        <v>1</v>
      </c>
      <c r="V307" s="26">
        <f t="shared" si="76"/>
        <v>0</v>
      </c>
      <c r="W307" s="1">
        <f t="shared" si="77"/>
        <v>1</v>
      </c>
      <c r="X307" s="26">
        <f t="shared" si="78"/>
        <v>1</v>
      </c>
      <c r="Y307" s="26">
        <f t="shared" si="79"/>
        <v>0</v>
      </c>
      <c r="Z307" s="1">
        <f t="shared" si="80"/>
        <v>1</v>
      </c>
      <c r="AA307"/>
      <c r="AB307"/>
    </row>
    <row r="308" spans="1:28" x14ac:dyDescent="0.55000000000000004">
      <c r="A308" s="1">
        <f t="shared" si="67"/>
        <v>308</v>
      </c>
      <c r="B308" t="s">
        <v>38</v>
      </c>
      <c r="C308" t="s">
        <v>332</v>
      </c>
      <c r="D308" t="s">
        <v>216</v>
      </c>
      <c r="E308" t="s">
        <v>963</v>
      </c>
      <c r="F308" t="s">
        <v>390</v>
      </c>
      <c r="G308" t="s">
        <v>904</v>
      </c>
      <c r="H308" t="s">
        <v>708</v>
      </c>
      <c r="I308" t="s">
        <v>908</v>
      </c>
      <c r="J308" t="s">
        <v>977</v>
      </c>
      <c r="K308" t="s">
        <v>952</v>
      </c>
      <c r="L308" t="s">
        <v>978</v>
      </c>
      <c r="M308" t="s">
        <v>28</v>
      </c>
      <c r="N308" s="1">
        <f t="shared" si="68"/>
        <v>0</v>
      </c>
      <c r="O308" s="1">
        <f t="shared" si="69"/>
        <v>0</v>
      </c>
      <c r="P308" s="1">
        <f t="shared" si="70"/>
        <v>0</v>
      </c>
      <c r="Q308" s="1">
        <f t="shared" si="71"/>
        <v>0</v>
      </c>
      <c r="R308" s="1">
        <f t="shared" si="72"/>
        <v>1</v>
      </c>
      <c r="S308" s="1">
        <f t="shared" si="73"/>
        <v>0</v>
      </c>
      <c r="T308" s="1">
        <f t="shared" si="74"/>
        <v>1</v>
      </c>
      <c r="U308" s="26">
        <f t="shared" si="75"/>
        <v>0</v>
      </c>
      <c r="V308" s="26">
        <f t="shared" si="76"/>
        <v>0</v>
      </c>
      <c r="W308" s="1">
        <f t="shared" si="77"/>
        <v>1</v>
      </c>
      <c r="X308" s="26">
        <f t="shared" si="78"/>
        <v>0</v>
      </c>
      <c r="Y308" s="26">
        <f t="shared" si="79"/>
        <v>0</v>
      </c>
      <c r="Z308" s="1">
        <f t="shared" si="80"/>
        <v>0</v>
      </c>
      <c r="AA308"/>
      <c r="AB308"/>
    </row>
    <row r="309" spans="1:28" x14ac:dyDescent="0.55000000000000004">
      <c r="A309" s="1">
        <f t="shared" si="67"/>
        <v>309</v>
      </c>
      <c r="B309" t="s">
        <v>38</v>
      </c>
      <c r="C309" t="s">
        <v>332</v>
      </c>
      <c r="D309" t="s">
        <v>216</v>
      </c>
      <c r="E309" t="s">
        <v>963</v>
      </c>
      <c r="F309" t="s">
        <v>390</v>
      </c>
      <c r="G309" t="s">
        <v>934</v>
      </c>
      <c r="H309" t="s">
        <v>581</v>
      </c>
      <c r="I309" t="s">
        <v>979</v>
      </c>
      <c r="J309" t="s">
        <v>980</v>
      </c>
      <c r="K309" t="s">
        <v>937</v>
      </c>
      <c r="L309" t="s">
        <v>928</v>
      </c>
      <c r="M309" t="s">
        <v>28</v>
      </c>
      <c r="N309" s="1">
        <f t="shared" si="68"/>
        <v>1</v>
      </c>
      <c r="O309" s="1">
        <f t="shared" si="69"/>
        <v>2</v>
      </c>
      <c r="P309" s="1">
        <f t="shared" si="70"/>
        <v>3</v>
      </c>
      <c r="Q309" s="1">
        <f t="shared" si="71"/>
        <v>1</v>
      </c>
      <c r="R309" s="1">
        <f t="shared" si="72"/>
        <v>1</v>
      </c>
      <c r="S309" s="1">
        <f t="shared" si="73"/>
        <v>1</v>
      </c>
      <c r="T309" s="1">
        <f t="shared" si="74"/>
        <v>1</v>
      </c>
      <c r="U309" s="26">
        <f t="shared" si="75"/>
        <v>1</v>
      </c>
      <c r="V309" s="26">
        <f t="shared" si="76"/>
        <v>0</v>
      </c>
      <c r="W309" s="1">
        <f t="shared" si="77"/>
        <v>1</v>
      </c>
      <c r="X309" s="26">
        <f t="shared" si="78"/>
        <v>1</v>
      </c>
      <c r="Y309" s="26">
        <f t="shared" si="79"/>
        <v>1</v>
      </c>
      <c r="Z309" s="1">
        <f t="shared" si="80"/>
        <v>1</v>
      </c>
      <c r="AA309"/>
      <c r="AB309"/>
    </row>
    <row r="310" spans="1:28" x14ac:dyDescent="0.55000000000000004">
      <c r="A310" s="1">
        <f t="shared" si="67"/>
        <v>310</v>
      </c>
      <c r="B310" t="s">
        <v>38</v>
      </c>
      <c r="C310" t="s">
        <v>332</v>
      </c>
      <c r="D310" t="s">
        <v>216</v>
      </c>
      <c r="E310" t="s">
        <v>963</v>
      </c>
      <c r="F310" t="s">
        <v>390</v>
      </c>
      <c r="G310" t="s">
        <v>929</v>
      </c>
      <c r="H310" t="s">
        <v>570</v>
      </c>
      <c r="I310" t="s">
        <v>981</v>
      </c>
      <c r="J310" t="s">
        <v>982</v>
      </c>
      <c r="K310" t="s">
        <v>932</v>
      </c>
      <c r="L310" t="s">
        <v>954</v>
      </c>
      <c r="M310" t="s">
        <v>28</v>
      </c>
      <c r="N310" s="1">
        <f t="shared" si="68"/>
        <v>3</v>
      </c>
      <c r="O310" s="1">
        <f t="shared" si="69"/>
        <v>1</v>
      </c>
      <c r="P310" s="1">
        <f t="shared" si="70"/>
        <v>4</v>
      </c>
      <c r="Q310" s="1">
        <f t="shared" si="71"/>
        <v>1</v>
      </c>
      <c r="R310" s="1">
        <f t="shared" si="72"/>
        <v>1</v>
      </c>
      <c r="S310" s="1">
        <f t="shared" si="73"/>
        <v>1</v>
      </c>
      <c r="T310" s="1">
        <f t="shared" si="74"/>
        <v>0</v>
      </c>
      <c r="U310" s="26">
        <f t="shared" si="75"/>
        <v>1</v>
      </c>
      <c r="V310" s="26">
        <f t="shared" si="76"/>
        <v>1</v>
      </c>
      <c r="W310" s="1">
        <f t="shared" si="77"/>
        <v>1</v>
      </c>
      <c r="X310" s="26">
        <f t="shared" si="78"/>
        <v>1</v>
      </c>
      <c r="Y310" s="26">
        <f t="shared" si="79"/>
        <v>0</v>
      </c>
      <c r="Z310" s="1">
        <f t="shared" si="80"/>
        <v>1</v>
      </c>
      <c r="AA310"/>
      <c r="AB310"/>
    </row>
    <row r="311" spans="1:28" x14ac:dyDescent="0.55000000000000004">
      <c r="A311" s="1">
        <f t="shared" si="67"/>
        <v>311</v>
      </c>
      <c r="B311" t="s">
        <v>38</v>
      </c>
      <c r="C311" t="s">
        <v>332</v>
      </c>
      <c r="D311" t="s">
        <v>216</v>
      </c>
      <c r="E311" t="s">
        <v>963</v>
      </c>
      <c r="F311" t="s">
        <v>390</v>
      </c>
      <c r="G311" t="s">
        <v>945</v>
      </c>
      <c r="H311" t="s">
        <v>687</v>
      </c>
      <c r="I311" t="s">
        <v>914</v>
      </c>
      <c r="J311" t="s">
        <v>983</v>
      </c>
      <c r="K311" t="s">
        <v>947</v>
      </c>
      <c r="L311" t="s">
        <v>984</v>
      </c>
      <c r="M311" t="s">
        <v>28</v>
      </c>
      <c r="N311" s="1">
        <f t="shared" si="68"/>
        <v>4</v>
      </c>
      <c r="O311" s="1">
        <f t="shared" si="69"/>
        <v>0</v>
      </c>
      <c r="P311" s="1">
        <f t="shared" si="70"/>
        <v>4</v>
      </c>
      <c r="Q311" s="1">
        <f t="shared" si="71"/>
        <v>1</v>
      </c>
      <c r="R311" s="1">
        <f t="shared" si="72"/>
        <v>1</v>
      </c>
      <c r="S311" s="1">
        <f t="shared" si="73"/>
        <v>1</v>
      </c>
      <c r="T311" s="1">
        <f t="shared" si="74"/>
        <v>0</v>
      </c>
      <c r="U311" s="26">
        <f t="shared" si="75"/>
        <v>0</v>
      </c>
      <c r="V311" s="26">
        <f t="shared" si="76"/>
        <v>1</v>
      </c>
      <c r="W311" s="1">
        <f t="shared" si="77"/>
        <v>1</v>
      </c>
      <c r="X311" s="26">
        <f t="shared" si="78"/>
        <v>0</v>
      </c>
      <c r="Y311" s="26">
        <f t="shared" si="79"/>
        <v>0</v>
      </c>
      <c r="Z311" s="1">
        <f t="shared" si="80"/>
        <v>1</v>
      </c>
      <c r="AA311"/>
      <c r="AB311"/>
    </row>
    <row r="312" spans="1:28" x14ac:dyDescent="0.55000000000000004">
      <c r="A312" s="1">
        <f t="shared" si="67"/>
        <v>312</v>
      </c>
      <c r="B312" t="s">
        <v>38</v>
      </c>
      <c r="C312" t="s">
        <v>333</v>
      </c>
      <c r="D312" t="s">
        <v>133</v>
      </c>
      <c r="E312" t="s">
        <v>2118</v>
      </c>
      <c r="F312" t="s">
        <v>950</v>
      </c>
      <c r="G312" t="s">
        <v>925</v>
      </c>
      <c r="H312" t="s">
        <v>575</v>
      </c>
      <c r="I312" t="s">
        <v>913</v>
      </c>
      <c r="J312" t="s">
        <v>2119</v>
      </c>
      <c r="K312" t="s">
        <v>1082</v>
      </c>
      <c r="L312" t="s">
        <v>912</v>
      </c>
      <c r="M312" t="s">
        <v>28</v>
      </c>
      <c r="N312" s="1">
        <f t="shared" si="68"/>
        <v>1</v>
      </c>
      <c r="O312" s="1">
        <f t="shared" si="69"/>
        <v>0</v>
      </c>
      <c r="P312" s="1">
        <f t="shared" si="70"/>
        <v>1</v>
      </c>
      <c r="Q312" s="1">
        <f t="shared" si="71"/>
        <v>1</v>
      </c>
      <c r="R312" s="1">
        <f t="shared" si="72"/>
        <v>1</v>
      </c>
      <c r="S312" s="1">
        <f t="shared" si="73"/>
        <v>1</v>
      </c>
      <c r="T312" s="1">
        <f t="shared" si="74"/>
        <v>1</v>
      </c>
      <c r="U312" s="26">
        <f t="shared" si="75"/>
        <v>1</v>
      </c>
      <c r="V312" s="26">
        <f t="shared" si="76"/>
        <v>0</v>
      </c>
      <c r="W312" s="1">
        <f t="shared" si="77"/>
        <v>1</v>
      </c>
      <c r="X312" s="26">
        <f t="shared" si="78"/>
        <v>0</v>
      </c>
      <c r="Y312" s="26">
        <f t="shared" si="79"/>
        <v>0</v>
      </c>
      <c r="Z312" s="1">
        <f t="shared" si="80"/>
        <v>0</v>
      </c>
      <c r="AA312"/>
      <c r="AB312"/>
    </row>
    <row r="313" spans="1:28" x14ac:dyDescent="0.55000000000000004">
      <c r="A313" s="1">
        <f t="shared" si="67"/>
        <v>313</v>
      </c>
      <c r="B313" t="s">
        <v>38</v>
      </c>
      <c r="C313" t="s">
        <v>333</v>
      </c>
      <c r="D313" t="s">
        <v>133</v>
      </c>
      <c r="E313" t="s">
        <v>2118</v>
      </c>
      <c r="F313" t="s">
        <v>1674</v>
      </c>
      <c r="G313" t="s">
        <v>929</v>
      </c>
      <c r="H313" t="s">
        <v>1214</v>
      </c>
      <c r="I313" t="s">
        <v>909</v>
      </c>
      <c r="J313" t="s">
        <v>982</v>
      </c>
      <c r="K313" t="s">
        <v>932</v>
      </c>
      <c r="L313" t="s">
        <v>960</v>
      </c>
      <c r="M313" t="s">
        <v>28</v>
      </c>
      <c r="N313" s="1">
        <f t="shared" si="68"/>
        <v>4</v>
      </c>
      <c r="O313" s="1">
        <f t="shared" si="69"/>
        <v>2</v>
      </c>
      <c r="P313" s="1">
        <f t="shared" si="70"/>
        <v>6</v>
      </c>
      <c r="Q313" s="1">
        <f t="shared" si="71"/>
        <v>1</v>
      </c>
      <c r="R313" s="1">
        <f t="shared" si="72"/>
        <v>0</v>
      </c>
      <c r="S313" s="1">
        <f t="shared" si="73"/>
        <v>0</v>
      </c>
      <c r="T313" s="1">
        <f t="shared" si="74"/>
        <v>0</v>
      </c>
      <c r="U313" s="26">
        <f t="shared" si="75"/>
        <v>0</v>
      </c>
      <c r="V313" s="26">
        <f t="shared" si="76"/>
        <v>1</v>
      </c>
      <c r="W313" s="1">
        <f t="shared" si="77"/>
        <v>1</v>
      </c>
      <c r="X313" s="26">
        <f t="shared" si="78"/>
        <v>1</v>
      </c>
      <c r="Y313" s="26">
        <f t="shared" si="79"/>
        <v>1</v>
      </c>
      <c r="Z313" s="1">
        <f t="shared" si="80"/>
        <v>1</v>
      </c>
      <c r="AA313"/>
      <c r="AB313"/>
    </row>
    <row r="314" spans="1:28" x14ac:dyDescent="0.55000000000000004">
      <c r="A314" s="1">
        <f t="shared" si="67"/>
        <v>314</v>
      </c>
      <c r="B314" t="s">
        <v>38</v>
      </c>
      <c r="C314" t="s">
        <v>333</v>
      </c>
      <c r="D314" t="s">
        <v>133</v>
      </c>
      <c r="E314" t="s">
        <v>2118</v>
      </c>
      <c r="F314" t="s">
        <v>1674</v>
      </c>
      <c r="G314" t="s">
        <v>903</v>
      </c>
      <c r="H314" t="s">
        <v>584</v>
      </c>
      <c r="I314" t="s">
        <v>919</v>
      </c>
      <c r="J314" t="s">
        <v>2120</v>
      </c>
      <c r="K314" t="s">
        <v>906</v>
      </c>
      <c r="L314" t="s">
        <v>1122</v>
      </c>
      <c r="M314" t="s">
        <v>28</v>
      </c>
      <c r="N314" s="1">
        <f t="shared" si="68"/>
        <v>0</v>
      </c>
      <c r="O314" s="1">
        <f t="shared" si="69"/>
        <v>4</v>
      </c>
      <c r="P314" s="1">
        <f t="shared" si="70"/>
        <v>4</v>
      </c>
      <c r="Q314" s="1">
        <f t="shared" si="71"/>
        <v>1</v>
      </c>
      <c r="R314" s="1">
        <f t="shared" si="72"/>
        <v>1</v>
      </c>
      <c r="S314" s="1">
        <f t="shared" si="73"/>
        <v>1</v>
      </c>
      <c r="T314" s="1">
        <f t="shared" si="74"/>
        <v>1</v>
      </c>
      <c r="U314" s="26">
        <f t="shared" si="75"/>
        <v>0</v>
      </c>
      <c r="V314" s="26">
        <f t="shared" si="76"/>
        <v>0</v>
      </c>
      <c r="W314" s="1">
        <f t="shared" si="77"/>
        <v>0</v>
      </c>
      <c r="X314" s="26">
        <f t="shared" si="78"/>
        <v>0</v>
      </c>
      <c r="Y314" s="26">
        <f t="shared" si="79"/>
        <v>1</v>
      </c>
      <c r="Z314" s="1">
        <f t="shared" si="80"/>
        <v>1</v>
      </c>
      <c r="AA314"/>
      <c r="AB314"/>
    </row>
    <row r="315" spans="1:28" x14ac:dyDescent="0.55000000000000004">
      <c r="A315" s="1">
        <f t="shared" si="67"/>
        <v>315</v>
      </c>
      <c r="B315" t="s">
        <v>38</v>
      </c>
      <c r="C315" t="s">
        <v>333</v>
      </c>
      <c r="D315" t="s">
        <v>133</v>
      </c>
      <c r="E315" t="s">
        <v>2118</v>
      </c>
      <c r="F315" t="s">
        <v>956</v>
      </c>
      <c r="G315" t="s">
        <v>914</v>
      </c>
      <c r="H315" t="s">
        <v>708</v>
      </c>
      <c r="I315" t="s">
        <v>940</v>
      </c>
      <c r="J315" t="s">
        <v>2121</v>
      </c>
      <c r="K315" t="s">
        <v>901</v>
      </c>
      <c r="L315" t="s">
        <v>902</v>
      </c>
      <c r="M315" t="s">
        <v>28</v>
      </c>
      <c r="N315" s="1">
        <f t="shared" si="68"/>
        <v>0</v>
      </c>
      <c r="O315" s="1">
        <f t="shared" si="69"/>
        <v>0</v>
      </c>
      <c r="P315" s="1">
        <f t="shared" si="70"/>
        <v>0</v>
      </c>
      <c r="Q315" s="1">
        <f t="shared" si="71"/>
        <v>0</v>
      </c>
      <c r="R315" s="1">
        <f t="shared" si="72"/>
        <v>1</v>
      </c>
      <c r="S315" s="1">
        <f t="shared" si="73"/>
        <v>0</v>
      </c>
      <c r="T315" s="1">
        <f t="shared" si="74"/>
        <v>1</v>
      </c>
      <c r="U315" s="26">
        <f t="shared" si="75"/>
        <v>0</v>
      </c>
      <c r="V315" s="26">
        <f t="shared" si="76"/>
        <v>0</v>
      </c>
      <c r="W315" s="1">
        <f t="shared" si="77"/>
        <v>1</v>
      </c>
      <c r="X315" s="26">
        <f t="shared" si="78"/>
        <v>0</v>
      </c>
      <c r="Y315" s="26">
        <f t="shared" si="79"/>
        <v>0</v>
      </c>
      <c r="Z315" s="1">
        <f t="shared" si="80"/>
        <v>0</v>
      </c>
      <c r="AA315"/>
      <c r="AB315"/>
    </row>
    <row r="316" spans="1:28" x14ac:dyDescent="0.55000000000000004">
      <c r="A316" s="1">
        <f t="shared" si="67"/>
        <v>316</v>
      </c>
      <c r="B316" t="s">
        <v>38</v>
      </c>
      <c r="C316" t="s">
        <v>333</v>
      </c>
      <c r="D316" t="s">
        <v>133</v>
      </c>
      <c r="E316" t="s">
        <v>2118</v>
      </c>
      <c r="F316" t="s">
        <v>956</v>
      </c>
      <c r="G316" t="s">
        <v>935</v>
      </c>
      <c r="H316" t="s">
        <v>581</v>
      </c>
      <c r="I316" t="s">
        <v>908</v>
      </c>
      <c r="J316" t="s">
        <v>2122</v>
      </c>
      <c r="K316" t="s">
        <v>949</v>
      </c>
      <c r="L316" t="s">
        <v>1099</v>
      </c>
      <c r="M316" t="s">
        <v>28</v>
      </c>
      <c r="N316" s="1">
        <f t="shared" si="68"/>
        <v>1</v>
      </c>
      <c r="O316" s="1">
        <f t="shared" si="69"/>
        <v>2</v>
      </c>
      <c r="P316" s="1">
        <f t="shared" si="70"/>
        <v>3</v>
      </c>
      <c r="Q316" s="1">
        <f t="shared" si="71"/>
        <v>1</v>
      </c>
      <c r="R316" s="1">
        <f t="shared" si="72"/>
        <v>1</v>
      </c>
      <c r="S316" s="1">
        <f t="shared" si="73"/>
        <v>1</v>
      </c>
      <c r="T316" s="1">
        <f t="shared" si="74"/>
        <v>1</v>
      </c>
      <c r="U316" s="26">
        <f t="shared" si="75"/>
        <v>1</v>
      </c>
      <c r="V316" s="26">
        <f t="shared" si="76"/>
        <v>0</v>
      </c>
      <c r="W316" s="1">
        <f t="shared" si="77"/>
        <v>1</v>
      </c>
      <c r="X316" s="26">
        <f t="shared" si="78"/>
        <v>1</v>
      </c>
      <c r="Y316" s="26">
        <f t="shared" si="79"/>
        <v>1</v>
      </c>
      <c r="Z316" s="1">
        <f t="shared" si="80"/>
        <v>1</v>
      </c>
      <c r="AA316"/>
      <c r="AB316"/>
    </row>
    <row r="317" spans="1:28" x14ac:dyDescent="0.55000000000000004">
      <c r="A317" s="1">
        <f t="shared" si="67"/>
        <v>317</v>
      </c>
      <c r="B317" t="s">
        <v>38</v>
      </c>
      <c r="C317" t="s">
        <v>333</v>
      </c>
      <c r="D317" t="s">
        <v>133</v>
      </c>
      <c r="E317" t="s">
        <v>2118</v>
      </c>
      <c r="F317" t="s">
        <v>390</v>
      </c>
      <c r="G317" t="s">
        <v>945</v>
      </c>
      <c r="H317" t="s">
        <v>579</v>
      </c>
      <c r="I317" t="s">
        <v>899</v>
      </c>
      <c r="J317" t="s">
        <v>2123</v>
      </c>
      <c r="K317" t="s">
        <v>947</v>
      </c>
      <c r="L317" t="s">
        <v>969</v>
      </c>
      <c r="M317" t="s">
        <v>28</v>
      </c>
      <c r="N317" s="1">
        <f t="shared" si="68"/>
        <v>2</v>
      </c>
      <c r="O317" s="1">
        <f t="shared" si="69"/>
        <v>1</v>
      </c>
      <c r="P317" s="1">
        <f t="shared" si="70"/>
        <v>3</v>
      </c>
      <c r="Q317" s="1">
        <f t="shared" si="71"/>
        <v>1</v>
      </c>
      <c r="R317" s="1">
        <f t="shared" si="72"/>
        <v>1</v>
      </c>
      <c r="S317" s="1">
        <f t="shared" si="73"/>
        <v>1</v>
      </c>
      <c r="T317" s="1">
        <f t="shared" si="74"/>
        <v>1</v>
      </c>
      <c r="U317" s="26">
        <f t="shared" si="75"/>
        <v>1</v>
      </c>
      <c r="V317" s="26">
        <f t="shared" si="76"/>
        <v>1</v>
      </c>
      <c r="W317" s="1">
        <f t="shared" si="77"/>
        <v>1</v>
      </c>
      <c r="X317" s="26">
        <f t="shared" si="78"/>
        <v>1</v>
      </c>
      <c r="Y317" s="26">
        <f t="shared" si="79"/>
        <v>0</v>
      </c>
      <c r="Z317" s="1">
        <f t="shared" si="80"/>
        <v>1</v>
      </c>
      <c r="AA317"/>
      <c r="AB317"/>
    </row>
    <row r="318" spans="1:28" x14ac:dyDescent="0.55000000000000004">
      <c r="A318" s="1">
        <f t="shared" si="67"/>
        <v>318</v>
      </c>
      <c r="B318" t="s">
        <v>38</v>
      </c>
      <c r="C318" t="s">
        <v>333</v>
      </c>
      <c r="D318" t="s">
        <v>42</v>
      </c>
      <c r="E318" t="s">
        <v>1673</v>
      </c>
      <c r="F318" t="s">
        <v>1674</v>
      </c>
      <c r="G318" t="s">
        <v>918</v>
      </c>
      <c r="H318" t="s">
        <v>575</v>
      </c>
      <c r="I318" t="s">
        <v>934</v>
      </c>
      <c r="J318" t="s">
        <v>1675</v>
      </c>
      <c r="K318" t="s">
        <v>921</v>
      </c>
      <c r="L318" t="s">
        <v>1092</v>
      </c>
      <c r="M318" t="s">
        <v>28</v>
      </c>
      <c r="N318" s="1">
        <f t="shared" si="68"/>
        <v>1</v>
      </c>
      <c r="O318" s="1">
        <f t="shared" si="69"/>
        <v>0</v>
      </c>
      <c r="P318" s="1">
        <f t="shared" si="70"/>
        <v>1</v>
      </c>
      <c r="Q318" s="1">
        <f t="shared" si="71"/>
        <v>1</v>
      </c>
      <c r="R318" s="1">
        <f t="shared" si="72"/>
        <v>1</v>
      </c>
      <c r="S318" s="1">
        <f t="shared" si="73"/>
        <v>1</v>
      </c>
      <c r="T318" s="1">
        <f t="shared" si="74"/>
        <v>1</v>
      </c>
      <c r="U318" s="26">
        <f t="shared" si="75"/>
        <v>1</v>
      </c>
      <c r="V318" s="26">
        <f t="shared" si="76"/>
        <v>0</v>
      </c>
      <c r="W318" s="1">
        <f t="shared" si="77"/>
        <v>1</v>
      </c>
      <c r="X318" s="26">
        <f t="shared" si="78"/>
        <v>0</v>
      </c>
      <c r="Y318" s="26">
        <f t="shared" si="79"/>
        <v>0</v>
      </c>
      <c r="Z318" s="1">
        <f t="shared" si="80"/>
        <v>0</v>
      </c>
      <c r="AA318"/>
      <c r="AB318"/>
    </row>
    <row r="319" spans="1:28" x14ac:dyDescent="0.55000000000000004">
      <c r="A319" s="1">
        <f t="shared" si="67"/>
        <v>319</v>
      </c>
      <c r="B319" t="s">
        <v>38</v>
      </c>
      <c r="C319" t="s">
        <v>333</v>
      </c>
      <c r="D319" t="s">
        <v>42</v>
      </c>
      <c r="E319" t="s">
        <v>1673</v>
      </c>
      <c r="F319" t="s">
        <v>956</v>
      </c>
      <c r="G319" t="s">
        <v>898</v>
      </c>
      <c r="H319" t="s">
        <v>565</v>
      </c>
      <c r="I319" t="s">
        <v>981</v>
      </c>
      <c r="J319" t="s">
        <v>1676</v>
      </c>
      <c r="K319" t="s">
        <v>901</v>
      </c>
      <c r="L319" t="s">
        <v>928</v>
      </c>
      <c r="M319" t="s">
        <v>28</v>
      </c>
      <c r="N319" s="1">
        <f t="shared" si="68"/>
        <v>2</v>
      </c>
      <c r="O319" s="1">
        <f t="shared" si="69"/>
        <v>3</v>
      </c>
      <c r="P319" s="1">
        <f t="shared" si="70"/>
        <v>5</v>
      </c>
      <c r="Q319" s="1">
        <f t="shared" si="71"/>
        <v>1</v>
      </c>
      <c r="R319" s="1">
        <f t="shared" si="72"/>
        <v>0</v>
      </c>
      <c r="S319" s="1">
        <f t="shared" si="73"/>
        <v>0</v>
      </c>
      <c r="T319" s="1">
        <f t="shared" si="74"/>
        <v>1</v>
      </c>
      <c r="U319" s="26">
        <f t="shared" si="75"/>
        <v>1</v>
      </c>
      <c r="V319" s="26">
        <f t="shared" si="76"/>
        <v>1</v>
      </c>
      <c r="W319" s="1">
        <f t="shared" si="77"/>
        <v>0</v>
      </c>
      <c r="X319" s="26">
        <f t="shared" si="78"/>
        <v>1</v>
      </c>
      <c r="Y319" s="26">
        <f t="shared" si="79"/>
        <v>1</v>
      </c>
      <c r="Z319" s="1">
        <f t="shared" si="80"/>
        <v>1</v>
      </c>
      <c r="AA319"/>
      <c r="AB319"/>
    </row>
    <row r="320" spans="1:28" x14ac:dyDescent="0.55000000000000004">
      <c r="A320" s="1">
        <f t="shared" si="67"/>
        <v>320</v>
      </c>
      <c r="B320" t="s">
        <v>38</v>
      </c>
      <c r="C320" t="s">
        <v>333</v>
      </c>
      <c r="D320" t="s">
        <v>42</v>
      </c>
      <c r="E320" t="s">
        <v>1673</v>
      </c>
      <c r="F320" t="s">
        <v>1633</v>
      </c>
      <c r="G320" t="s">
        <v>924</v>
      </c>
      <c r="H320" t="s">
        <v>581</v>
      </c>
      <c r="I320" t="s">
        <v>930</v>
      </c>
      <c r="J320" t="s">
        <v>1677</v>
      </c>
      <c r="K320" t="s">
        <v>927</v>
      </c>
      <c r="L320" t="s">
        <v>1678</v>
      </c>
      <c r="M320" t="s">
        <v>28</v>
      </c>
      <c r="N320" s="1">
        <f t="shared" si="68"/>
        <v>1</v>
      </c>
      <c r="O320" s="1">
        <f t="shared" si="69"/>
        <v>2</v>
      </c>
      <c r="P320" s="1">
        <f t="shared" si="70"/>
        <v>3</v>
      </c>
      <c r="Q320" s="1">
        <f t="shared" si="71"/>
        <v>1</v>
      </c>
      <c r="R320" s="1">
        <f t="shared" si="72"/>
        <v>1</v>
      </c>
      <c r="S320" s="1">
        <f t="shared" si="73"/>
        <v>1</v>
      </c>
      <c r="T320" s="1">
        <f t="shared" si="74"/>
        <v>1</v>
      </c>
      <c r="U320" s="26">
        <f t="shared" si="75"/>
        <v>1</v>
      </c>
      <c r="V320" s="26">
        <f t="shared" si="76"/>
        <v>0</v>
      </c>
      <c r="W320" s="1">
        <f t="shared" si="77"/>
        <v>1</v>
      </c>
      <c r="X320" s="26">
        <f t="shared" si="78"/>
        <v>1</v>
      </c>
      <c r="Y320" s="26">
        <f t="shared" si="79"/>
        <v>1</v>
      </c>
      <c r="Z320" s="1">
        <f t="shared" si="80"/>
        <v>1</v>
      </c>
      <c r="AA320"/>
      <c r="AB320"/>
    </row>
    <row r="321" spans="1:28" x14ac:dyDescent="0.55000000000000004">
      <c r="A321" s="1">
        <f t="shared" si="67"/>
        <v>321</v>
      </c>
      <c r="B321" t="s">
        <v>38</v>
      </c>
      <c r="C321" t="s">
        <v>333</v>
      </c>
      <c r="D321" t="s">
        <v>42</v>
      </c>
      <c r="E321" t="s">
        <v>1673</v>
      </c>
      <c r="F321" t="s">
        <v>390</v>
      </c>
      <c r="G321" t="s">
        <v>979</v>
      </c>
      <c r="H321" t="s">
        <v>1175</v>
      </c>
      <c r="I321" t="s">
        <v>904</v>
      </c>
      <c r="J321" t="s">
        <v>1679</v>
      </c>
      <c r="K321" t="s">
        <v>1102</v>
      </c>
      <c r="L321" t="s">
        <v>917</v>
      </c>
      <c r="M321" t="s">
        <v>28</v>
      </c>
      <c r="N321" s="1">
        <f t="shared" si="68"/>
        <v>4</v>
      </c>
      <c r="O321" s="1">
        <f t="shared" si="69"/>
        <v>4</v>
      </c>
      <c r="P321" s="1">
        <f t="shared" si="70"/>
        <v>8</v>
      </c>
      <c r="Q321" s="1">
        <f t="shared" si="71"/>
        <v>0</v>
      </c>
      <c r="R321" s="1">
        <f t="shared" si="72"/>
        <v>0</v>
      </c>
      <c r="S321" s="1">
        <f t="shared" si="73"/>
        <v>0</v>
      </c>
      <c r="T321" s="1">
        <f t="shared" si="74"/>
        <v>0</v>
      </c>
      <c r="U321" s="26">
        <f t="shared" si="75"/>
        <v>0</v>
      </c>
      <c r="V321" s="26">
        <f t="shared" si="76"/>
        <v>1</v>
      </c>
      <c r="W321" s="1">
        <f t="shared" si="77"/>
        <v>0</v>
      </c>
      <c r="X321" s="26">
        <f t="shared" si="78"/>
        <v>0</v>
      </c>
      <c r="Y321" s="26">
        <f t="shared" si="79"/>
        <v>1</v>
      </c>
      <c r="Z321" s="1">
        <f t="shared" si="80"/>
        <v>1</v>
      </c>
      <c r="AA321"/>
      <c r="AB321"/>
    </row>
    <row r="322" spans="1:28" x14ac:dyDescent="0.55000000000000004">
      <c r="A322" s="1">
        <f t="shared" si="67"/>
        <v>322</v>
      </c>
      <c r="B322" t="s">
        <v>38</v>
      </c>
      <c r="C322" t="s">
        <v>335</v>
      </c>
      <c r="D322" t="s">
        <v>174</v>
      </c>
      <c r="E322" t="s">
        <v>1361</v>
      </c>
      <c r="F322" t="s">
        <v>390</v>
      </c>
      <c r="G322" t="s">
        <v>934</v>
      </c>
      <c r="H322" t="s">
        <v>590</v>
      </c>
      <c r="I322" t="s">
        <v>914</v>
      </c>
      <c r="J322" t="s">
        <v>1362</v>
      </c>
      <c r="K322" t="s">
        <v>937</v>
      </c>
      <c r="L322" t="s">
        <v>938</v>
      </c>
      <c r="M322" t="s">
        <v>28</v>
      </c>
      <c r="N322" s="1">
        <f t="shared" si="68"/>
        <v>0</v>
      </c>
      <c r="O322" s="1">
        <f t="shared" si="69"/>
        <v>1</v>
      </c>
      <c r="P322" s="1">
        <f t="shared" si="70"/>
        <v>1</v>
      </c>
      <c r="Q322" s="1">
        <f t="shared" si="71"/>
        <v>1</v>
      </c>
      <c r="R322" s="1">
        <f t="shared" si="72"/>
        <v>1</v>
      </c>
      <c r="S322" s="1">
        <f t="shared" si="73"/>
        <v>1</v>
      </c>
      <c r="T322" s="1">
        <f t="shared" si="74"/>
        <v>1</v>
      </c>
      <c r="U322" s="26">
        <f t="shared" si="75"/>
        <v>0</v>
      </c>
      <c r="V322" s="26">
        <f t="shared" si="76"/>
        <v>0</v>
      </c>
      <c r="W322" s="1">
        <f t="shared" si="77"/>
        <v>1</v>
      </c>
      <c r="X322" s="26">
        <f t="shared" si="78"/>
        <v>1</v>
      </c>
      <c r="Y322" s="26">
        <f t="shared" si="79"/>
        <v>0</v>
      </c>
      <c r="Z322" s="1">
        <f t="shared" si="80"/>
        <v>0</v>
      </c>
      <c r="AA322"/>
      <c r="AB322"/>
    </row>
    <row r="323" spans="1:28" x14ac:dyDescent="0.55000000000000004">
      <c r="A323" s="1">
        <f t="shared" ref="A323:A386" si="81">A322+1</f>
        <v>323</v>
      </c>
      <c r="B323" t="s">
        <v>38</v>
      </c>
      <c r="C323" t="s">
        <v>335</v>
      </c>
      <c r="D323" t="s">
        <v>133</v>
      </c>
      <c r="E323" t="s">
        <v>2124</v>
      </c>
      <c r="F323" t="s">
        <v>2125</v>
      </c>
      <c r="G323" t="s">
        <v>908</v>
      </c>
      <c r="H323" t="s">
        <v>579</v>
      </c>
      <c r="I323" t="s">
        <v>925</v>
      </c>
      <c r="J323" t="s">
        <v>2126</v>
      </c>
      <c r="K323" t="s">
        <v>911</v>
      </c>
      <c r="L323" t="s">
        <v>1092</v>
      </c>
      <c r="M323" t="s">
        <v>28</v>
      </c>
      <c r="N323" s="1">
        <f t="shared" ref="N323:N386" si="82">VALUE(LEFT(H323,1))</f>
        <v>2</v>
      </c>
      <c r="O323" s="1">
        <f t="shared" ref="O323:O386" si="83">VALUE(RIGHT(H323,1))</f>
        <v>1</v>
      </c>
      <c r="P323" s="1">
        <f t="shared" ref="P323:P386" si="84">SUM(N323,O323)</f>
        <v>3</v>
      </c>
      <c r="Q323" s="1">
        <f t="shared" ref="Q323:Q386" si="85">IF(N323&lt;&gt;O323, 1, 0)</f>
        <v>1</v>
      </c>
      <c r="R323" s="1">
        <f t="shared" ref="R323:R386" si="86">IF(P323&lt;=4,1,0)</f>
        <v>1</v>
      </c>
      <c r="S323" s="1">
        <f t="shared" ref="S323:S386" si="87">IF(AND(Q323=1,R323=1),1,0)</f>
        <v>1</v>
      </c>
      <c r="T323" s="1">
        <f t="shared" ref="T323:T386" si="88">IF(N323&lt;=2,1,0)</f>
        <v>1</v>
      </c>
      <c r="U323" s="26">
        <f t="shared" ref="U323:U386" si="89">IF(AND(N323&gt;=1,N323&lt;=3),1,0)</f>
        <v>1</v>
      </c>
      <c r="V323" s="26">
        <f t="shared" ref="V323:V386" si="90">IF(AND(N323&gt;=2,N323&lt;=5),1,0)</f>
        <v>1</v>
      </c>
      <c r="W323" s="1">
        <f t="shared" ref="W323:W386" si="91">IF(O323&lt;=2,1,0)</f>
        <v>1</v>
      </c>
      <c r="X323" s="26">
        <f t="shared" ref="X323:X386" si="92">IF(AND(O323&gt;=1,O323&lt;=3),1,0)</f>
        <v>1</v>
      </c>
      <c r="Y323" s="26">
        <f t="shared" ref="Y323:Y386" si="93">IF(AND(O323&gt;=2,O323&lt;=5),1,0)</f>
        <v>0</v>
      </c>
      <c r="Z323" s="1">
        <f t="shared" ref="Z323:Z386" si="94">IF(P323&gt;=2,1,0)</f>
        <v>1</v>
      </c>
      <c r="AA323"/>
      <c r="AB323"/>
    </row>
    <row r="324" spans="1:28" x14ac:dyDescent="0.55000000000000004">
      <c r="A324" s="1">
        <f t="shared" si="81"/>
        <v>324</v>
      </c>
      <c r="B324" t="s">
        <v>38</v>
      </c>
      <c r="C324" t="s">
        <v>335</v>
      </c>
      <c r="D324" t="s">
        <v>133</v>
      </c>
      <c r="E324" t="s">
        <v>2124</v>
      </c>
      <c r="F324" t="s">
        <v>1580</v>
      </c>
      <c r="G324" t="s">
        <v>899</v>
      </c>
      <c r="H324" t="s">
        <v>608</v>
      </c>
      <c r="I324" t="s">
        <v>898</v>
      </c>
      <c r="J324" t="s">
        <v>2127</v>
      </c>
      <c r="K324" t="s">
        <v>973</v>
      </c>
      <c r="L324" t="s">
        <v>922</v>
      </c>
      <c r="M324" t="s">
        <v>28</v>
      </c>
      <c r="N324" s="1">
        <f t="shared" si="82"/>
        <v>1</v>
      </c>
      <c r="O324" s="1">
        <f t="shared" si="83"/>
        <v>1</v>
      </c>
      <c r="P324" s="1">
        <f t="shared" si="84"/>
        <v>2</v>
      </c>
      <c r="Q324" s="1">
        <f t="shared" si="85"/>
        <v>0</v>
      </c>
      <c r="R324" s="1">
        <f t="shared" si="86"/>
        <v>1</v>
      </c>
      <c r="S324" s="1">
        <f t="shared" si="87"/>
        <v>0</v>
      </c>
      <c r="T324" s="1">
        <f t="shared" si="88"/>
        <v>1</v>
      </c>
      <c r="U324" s="26">
        <f t="shared" si="89"/>
        <v>1</v>
      </c>
      <c r="V324" s="26">
        <f t="shared" si="90"/>
        <v>0</v>
      </c>
      <c r="W324" s="1">
        <f t="shared" si="91"/>
        <v>1</v>
      </c>
      <c r="X324" s="26">
        <f t="shared" si="92"/>
        <v>1</v>
      </c>
      <c r="Y324" s="26">
        <f t="shared" si="93"/>
        <v>0</v>
      </c>
      <c r="Z324" s="1">
        <f t="shared" si="94"/>
        <v>1</v>
      </c>
      <c r="AA324"/>
      <c r="AB324"/>
    </row>
    <row r="325" spans="1:28" x14ac:dyDescent="0.55000000000000004">
      <c r="A325" s="1">
        <f t="shared" si="81"/>
        <v>325</v>
      </c>
      <c r="B325" t="s">
        <v>38</v>
      </c>
      <c r="C325" t="s">
        <v>335</v>
      </c>
      <c r="D325" t="s">
        <v>133</v>
      </c>
      <c r="E325" t="s">
        <v>2124</v>
      </c>
      <c r="F325" t="s">
        <v>2128</v>
      </c>
      <c r="G325" t="s">
        <v>903</v>
      </c>
      <c r="H325" t="s">
        <v>579</v>
      </c>
      <c r="I325" t="s">
        <v>924</v>
      </c>
      <c r="J325" t="s">
        <v>2129</v>
      </c>
      <c r="K325" t="s">
        <v>906</v>
      </c>
      <c r="L325" t="s">
        <v>1099</v>
      </c>
      <c r="M325" t="s">
        <v>28</v>
      </c>
      <c r="N325" s="1">
        <f t="shared" si="82"/>
        <v>2</v>
      </c>
      <c r="O325" s="1">
        <f t="shared" si="83"/>
        <v>1</v>
      </c>
      <c r="P325" s="1">
        <f t="shared" si="84"/>
        <v>3</v>
      </c>
      <c r="Q325" s="1">
        <f t="shared" si="85"/>
        <v>1</v>
      </c>
      <c r="R325" s="1">
        <f t="shared" si="86"/>
        <v>1</v>
      </c>
      <c r="S325" s="1">
        <f t="shared" si="87"/>
        <v>1</v>
      </c>
      <c r="T325" s="1">
        <f t="shared" si="88"/>
        <v>1</v>
      </c>
      <c r="U325" s="26">
        <f t="shared" si="89"/>
        <v>1</v>
      </c>
      <c r="V325" s="26">
        <f t="shared" si="90"/>
        <v>1</v>
      </c>
      <c r="W325" s="1">
        <f t="shared" si="91"/>
        <v>1</v>
      </c>
      <c r="X325" s="26">
        <f t="shared" si="92"/>
        <v>1</v>
      </c>
      <c r="Y325" s="26">
        <f t="shared" si="93"/>
        <v>0</v>
      </c>
      <c r="Z325" s="1">
        <f t="shared" si="94"/>
        <v>1</v>
      </c>
      <c r="AA325"/>
      <c r="AB325"/>
    </row>
    <row r="326" spans="1:28" x14ac:dyDescent="0.55000000000000004">
      <c r="A326" s="1">
        <f t="shared" si="81"/>
        <v>326</v>
      </c>
      <c r="B326" t="s">
        <v>38</v>
      </c>
      <c r="C326" t="s">
        <v>335</v>
      </c>
      <c r="D326" t="s">
        <v>133</v>
      </c>
      <c r="E326" t="s">
        <v>2124</v>
      </c>
      <c r="F326" t="s">
        <v>342</v>
      </c>
      <c r="G326" t="s">
        <v>909</v>
      </c>
      <c r="H326" t="s">
        <v>608</v>
      </c>
      <c r="I326" t="s">
        <v>913</v>
      </c>
      <c r="J326" t="s">
        <v>2130</v>
      </c>
      <c r="K326" t="s">
        <v>965</v>
      </c>
      <c r="L326" t="s">
        <v>917</v>
      </c>
      <c r="M326" t="s">
        <v>28</v>
      </c>
      <c r="N326" s="1">
        <f t="shared" si="82"/>
        <v>1</v>
      </c>
      <c r="O326" s="1">
        <f t="shared" si="83"/>
        <v>1</v>
      </c>
      <c r="P326" s="1">
        <f t="shared" si="84"/>
        <v>2</v>
      </c>
      <c r="Q326" s="1">
        <f t="shared" si="85"/>
        <v>0</v>
      </c>
      <c r="R326" s="1">
        <f t="shared" si="86"/>
        <v>1</v>
      </c>
      <c r="S326" s="1">
        <f t="shared" si="87"/>
        <v>0</v>
      </c>
      <c r="T326" s="1">
        <f t="shared" si="88"/>
        <v>1</v>
      </c>
      <c r="U326" s="26">
        <f t="shared" si="89"/>
        <v>1</v>
      </c>
      <c r="V326" s="26">
        <f t="shared" si="90"/>
        <v>0</v>
      </c>
      <c r="W326" s="1">
        <f t="shared" si="91"/>
        <v>1</v>
      </c>
      <c r="X326" s="26">
        <f t="shared" si="92"/>
        <v>1</v>
      </c>
      <c r="Y326" s="26">
        <f t="shared" si="93"/>
        <v>0</v>
      </c>
      <c r="Z326" s="1">
        <f t="shared" si="94"/>
        <v>1</v>
      </c>
      <c r="AA326"/>
      <c r="AB326"/>
    </row>
    <row r="327" spans="1:28" x14ac:dyDescent="0.55000000000000004">
      <c r="A327" s="1">
        <f t="shared" si="81"/>
        <v>327</v>
      </c>
      <c r="B327" t="s">
        <v>38</v>
      </c>
      <c r="C327" t="s">
        <v>335</v>
      </c>
      <c r="D327" t="s">
        <v>133</v>
      </c>
      <c r="E327" t="s">
        <v>2124</v>
      </c>
      <c r="F327" t="s">
        <v>923</v>
      </c>
      <c r="G327" t="s">
        <v>935</v>
      </c>
      <c r="H327" t="s">
        <v>575</v>
      </c>
      <c r="I327" t="s">
        <v>918</v>
      </c>
      <c r="J327" t="s">
        <v>2131</v>
      </c>
      <c r="K327" t="s">
        <v>949</v>
      </c>
      <c r="L327" t="s">
        <v>1672</v>
      </c>
      <c r="M327" t="s">
        <v>28</v>
      </c>
      <c r="N327" s="1">
        <f t="shared" si="82"/>
        <v>1</v>
      </c>
      <c r="O327" s="1">
        <f t="shared" si="83"/>
        <v>0</v>
      </c>
      <c r="P327" s="1">
        <f t="shared" si="84"/>
        <v>1</v>
      </c>
      <c r="Q327" s="1">
        <f t="shared" si="85"/>
        <v>1</v>
      </c>
      <c r="R327" s="1">
        <f t="shared" si="86"/>
        <v>1</v>
      </c>
      <c r="S327" s="1">
        <f t="shared" si="87"/>
        <v>1</v>
      </c>
      <c r="T327" s="1">
        <f t="shared" si="88"/>
        <v>1</v>
      </c>
      <c r="U327" s="26">
        <f t="shared" si="89"/>
        <v>1</v>
      </c>
      <c r="V327" s="26">
        <f t="shared" si="90"/>
        <v>0</v>
      </c>
      <c r="W327" s="1">
        <f t="shared" si="91"/>
        <v>1</v>
      </c>
      <c r="X327" s="26">
        <f t="shared" si="92"/>
        <v>0</v>
      </c>
      <c r="Y327" s="26">
        <f t="shared" si="93"/>
        <v>0</v>
      </c>
      <c r="Z327" s="1">
        <f t="shared" si="94"/>
        <v>0</v>
      </c>
      <c r="AA327"/>
      <c r="AB327"/>
    </row>
    <row r="328" spans="1:28" x14ac:dyDescent="0.55000000000000004">
      <c r="A328" s="1">
        <f t="shared" si="81"/>
        <v>328</v>
      </c>
      <c r="B328" t="s">
        <v>38</v>
      </c>
      <c r="C328" t="s">
        <v>335</v>
      </c>
      <c r="D328" t="s">
        <v>133</v>
      </c>
      <c r="E328" t="s">
        <v>2124</v>
      </c>
      <c r="F328" t="s">
        <v>1674</v>
      </c>
      <c r="G328" t="s">
        <v>940</v>
      </c>
      <c r="H328" t="s">
        <v>575</v>
      </c>
      <c r="I328" t="s">
        <v>945</v>
      </c>
      <c r="J328" t="s">
        <v>2132</v>
      </c>
      <c r="K328" t="s">
        <v>942</v>
      </c>
      <c r="L328" t="s">
        <v>960</v>
      </c>
      <c r="M328" t="s">
        <v>28</v>
      </c>
      <c r="N328" s="1">
        <f t="shared" si="82"/>
        <v>1</v>
      </c>
      <c r="O328" s="1">
        <f t="shared" si="83"/>
        <v>0</v>
      </c>
      <c r="P328" s="1">
        <f t="shared" si="84"/>
        <v>1</v>
      </c>
      <c r="Q328" s="1">
        <f t="shared" si="85"/>
        <v>1</v>
      </c>
      <c r="R328" s="1">
        <f t="shared" si="86"/>
        <v>1</v>
      </c>
      <c r="S328" s="1">
        <f t="shared" si="87"/>
        <v>1</v>
      </c>
      <c r="T328" s="1">
        <f t="shared" si="88"/>
        <v>1</v>
      </c>
      <c r="U328" s="26">
        <f t="shared" si="89"/>
        <v>1</v>
      </c>
      <c r="V328" s="26">
        <f t="shared" si="90"/>
        <v>0</v>
      </c>
      <c r="W328" s="1">
        <f t="shared" si="91"/>
        <v>1</v>
      </c>
      <c r="X328" s="26">
        <f t="shared" si="92"/>
        <v>0</v>
      </c>
      <c r="Y328" s="26">
        <f t="shared" si="93"/>
        <v>0</v>
      </c>
      <c r="Z328" s="1">
        <f t="shared" si="94"/>
        <v>0</v>
      </c>
      <c r="AA328"/>
      <c r="AB328"/>
    </row>
    <row r="329" spans="1:28" x14ac:dyDescent="0.55000000000000004">
      <c r="A329" s="1">
        <f t="shared" si="81"/>
        <v>329</v>
      </c>
      <c r="B329" t="s">
        <v>38</v>
      </c>
      <c r="C329" t="s">
        <v>335</v>
      </c>
      <c r="D329" t="s">
        <v>133</v>
      </c>
      <c r="E329" t="s">
        <v>2124</v>
      </c>
      <c r="F329" t="s">
        <v>2028</v>
      </c>
      <c r="G329" t="s">
        <v>904</v>
      </c>
      <c r="H329" t="s">
        <v>575</v>
      </c>
      <c r="I329" t="s">
        <v>981</v>
      </c>
      <c r="J329" t="s">
        <v>2133</v>
      </c>
      <c r="K329" t="s">
        <v>952</v>
      </c>
      <c r="L329" t="s">
        <v>974</v>
      </c>
      <c r="M329" t="s">
        <v>28</v>
      </c>
      <c r="N329" s="1">
        <f t="shared" si="82"/>
        <v>1</v>
      </c>
      <c r="O329" s="1">
        <f t="shared" si="83"/>
        <v>0</v>
      </c>
      <c r="P329" s="1">
        <f t="shared" si="84"/>
        <v>1</v>
      </c>
      <c r="Q329" s="1">
        <f t="shared" si="85"/>
        <v>1</v>
      </c>
      <c r="R329" s="1">
        <f t="shared" si="86"/>
        <v>1</v>
      </c>
      <c r="S329" s="1">
        <f t="shared" si="87"/>
        <v>1</v>
      </c>
      <c r="T329" s="1">
        <f t="shared" si="88"/>
        <v>1</v>
      </c>
      <c r="U329" s="26">
        <f t="shared" si="89"/>
        <v>1</v>
      </c>
      <c r="V329" s="26">
        <f t="shared" si="90"/>
        <v>0</v>
      </c>
      <c r="W329" s="1">
        <f t="shared" si="91"/>
        <v>1</v>
      </c>
      <c r="X329" s="26">
        <f t="shared" si="92"/>
        <v>0</v>
      </c>
      <c r="Y329" s="26">
        <f t="shared" si="93"/>
        <v>0</v>
      </c>
      <c r="Z329" s="1">
        <f t="shared" si="94"/>
        <v>0</v>
      </c>
      <c r="AA329"/>
      <c r="AB329"/>
    </row>
    <row r="330" spans="1:28" x14ac:dyDescent="0.55000000000000004">
      <c r="A330" s="1">
        <f t="shared" si="81"/>
        <v>330</v>
      </c>
      <c r="B330" t="s">
        <v>38</v>
      </c>
      <c r="C330" t="s">
        <v>335</v>
      </c>
      <c r="D330" t="s">
        <v>133</v>
      </c>
      <c r="E330" t="s">
        <v>2124</v>
      </c>
      <c r="F330" t="s">
        <v>390</v>
      </c>
      <c r="G330" t="s">
        <v>930</v>
      </c>
      <c r="H330" t="s">
        <v>608</v>
      </c>
      <c r="I330" t="s">
        <v>979</v>
      </c>
      <c r="J330" t="s">
        <v>2134</v>
      </c>
      <c r="K330" t="s">
        <v>976</v>
      </c>
      <c r="L330" t="s">
        <v>944</v>
      </c>
      <c r="M330" t="s">
        <v>28</v>
      </c>
      <c r="N330" s="1">
        <f t="shared" si="82"/>
        <v>1</v>
      </c>
      <c r="O330" s="1">
        <f t="shared" si="83"/>
        <v>1</v>
      </c>
      <c r="P330" s="1">
        <f t="shared" si="84"/>
        <v>2</v>
      </c>
      <c r="Q330" s="1">
        <f t="shared" si="85"/>
        <v>0</v>
      </c>
      <c r="R330" s="1">
        <f t="shared" si="86"/>
        <v>1</v>
      </c>
      <c r="S330" s="1">
        <f t="shared" si="87"/>
        <v>0</v>
      </c>
      <c r="T330" s="1">
        <f t="shared" si="88"/>
        <v>1</v>
      </c>
      <c r="U330" s="26">
        <f t="shared" si="89"/>
        <v>1</v>
      </c>
      <c r="V330" s="26">
        <f t="shared" si="90"/>
        <v>0</v>
      </c>
      <c r="W330" s="1">
        <f t="shared" si="91"/>
        <v>1</v>
      </c>
      <c r="X330" s="26">
        <f t="shared" si="92"/>
        <v>1</v>
      </c>
      <c r="Y330" s="26">
        <f t="shared" si="93"/>
        <v>0</v>
      </c>
      <c r="Z330" s="1">
        <f t="shared" si="94"/>
        <v>1</v>
      </c>
      <c r="AA330"/>
      <c r="AB330"/>
    </row>
    <row r="331" spans="1:28" x14ac:dyDescent="0.55000000000000004">
      <c r="A331" s="1">
        <f t="shared" si="81"/>
        <v>331</v>
      </c>
      <c r="B331" t="s">
        <v>38</v>
      </c>
      <c r="C331" t="s">
        <v>335</v>
      </c>
      <c r="D331" t="s">
        <v>42</v>
      </c>
      <c r="E331" t="s">
        <v>1680</v>
      </c>
      <c r="F331" t="s">
        <v>923</v>
      </c>
      <c r="G331" t="s">
        <v>919</v>
      </c>
      <c r="H331" t="s">
        <v>708</v>
      </c>
      <c r="I331" t="s">
        <v>929</v>
      </c>
      <c r="J331" t="s">
        <v>1681</v>
      </c>
      <c r="K331" t="s">
        <v>968</v>
      </c>
      <c r="L331" t="s">
        <v>933</v>
      </c>
      <c r="M331" t="s">
        <v>28</v>
      </c>
      <c r="N331" s="1">
        <f t="shared" si="82"/>
        <v>0</v>
      </c>
      <c r="O331" s="1">
        <f t="shared" si="83"/>
        <v>0</v>
      </c>
      <c r="P331" s="1">
        <f t="shared" si="84"/>
        <v>0</v>
      </c>
      <c r="Q331" s="1">
        <f t="shared" si="85"/>
        <v>0</v>
      </c>
      <c r="R331" s="1">
        <f t="shared" si="86"/>
        <v>1</v>
      </c>
      <c r="S331" s="1">
        <f t="shared" si="87"/>
        <v>0</v>
      </c>
      <c r="T331" s="1">
        <f t="shared" si="88"/>
        <v>1</v>
      </c>
      <c r="U331" s="26">
        <f t="shared" si="89"/>
        <v>0</v>
      </c>
      <c r="V331" s="26">
        <f t="shared" si="90"/>
        <v>0</v>
      </c>
      <c r="W331" s="1">
        <f t="shared" si="91"/>
        <v>1</v>
      </c>
      <c r="X331" s="26">
        <f t="shared" si="92"/>
        <v>0</v>
      </c>
      <c r="Y331" s="26">
        <f t="shared" si="93"/>
        <v>0</v>
      </c>
      <c r="Z331" s="1">
        <f t="shared" si="94"/>
        <v>0</v>
      </c>
      <c r="AA331"/>
      <c r="AB331"/>
    </row>
    <row r="332" spans="1:28" x14ac:dyDescent="0.55000000000000004">
      <c r="A332" s="1">
        <f t="shared" si="81"/>
        <v>332</v>
      </c>
      <c r="B332" t="s">
        <v>38</v>
      </c>
      <c r="C332" t="s">
        <v>336</v>
      </c>
      <c r="D332" t="s">
        <v>174</v>
      </c>
      <c r="E332" t="s">
        <v>1363</v>
      </c>
      <c r="F332" t="s">
        <v>1090</v>
      </c>
      <c r="G332" t="s">
        <v>908</v>
      </c>
      <c r="H332" t="s">
        <v>708</v>
      </c>
      <c r="I332" t="s">
        <v>898</v>
      </c>
      <c r="J332" t="s">
        <v>1364</v>
      </c>
      <c r="K332" t="s">
        <v>911</v>
      </c>
      <c r="L332" t="s">
        <v>960</v>
      </c>
      <c r="M332" t="s">
        <v>28</v>
      </c>
      <c r="N332" s="1">
        <f t="shared" si="82"/>
        <v>0</v>
      </c>
      <c r="O332" s="1">
        <f t="shared" si="83"/>
        <v>0</v>
      </c>
      <c r="P332" s="1">
        <f t="shared" si="84"/>
        <v>0</v>
      </c>
      <c r="Q332" s="1">
        <f t="shared" si="85"/>
        <v>0</v>
      </c>
      <c r="R332" s="1">
        <f t="shared" si="86"/>
        <v>1</v>
      </c>
      <c r="S332" s="1">
        <f t="shared" si="87"/>
        <v>0</v>
      </c>
      <c r="T332" s="1">
        <f t="shared" si="88"/>
        <v>1</v>
      </c>
      <c r="U332" s="26">
        <f t="shared" si="89"/>
        <v>0</v>
      </c>
      <c r="V332" s="26">
        <f t="shared" si="90"/>
        <v>0</v>
      </c>
      <c r="W332" s="1">
        <f t="shared" si="91"/>
        <v>1</v>
      </c>
      <c r="X332" s="26">
        <f t="shared" si="92"/>
        <v>0</v>
      </c>
      <c r="Y332" s="26">
        <f t="shared" si="93"/>
        <v>0</v>
      </c>
      <c r="Z332" s="1">
        <f t="shared" si="94"/>
        <v>0</v>
      </c>
      <c r="AA332"/>
      <c r="AB332"/>
    </row>
    <row r="333" spans="1:28" x14ac:dyDescent="0.55000000000000004">
      <c r="A333" s="1">
        <f t="shared" si="81"/>
        <v>333</v>
      </c>
      <c r="B333" t="s">
        <v>38</v>
      </c>
      <c r="C333" t="s">
        <v>336</v>
      </c>
      <c r="D333" t="s">
        <v>174</v>
      </c>
      <c r="E333" t="s">
        <v>1363</v>
      </c>
      <c r="F333" t="s">
        <v>390</v>
      </c>
      <c r="G333" t="s">
        <v>945</v>
      </c>
      <c r="H333" t="s">
        <v>708</v>
      </c>
      <c r="I333" t="s">
        <v>919</v>
      </c>
      <c r="J333" t="s">
        <v>1365</v>
      </c>
      <c r="K333" t="s">
        <v>947</v>
      </c>
      <c r="L333" t="s">
        <v>1078</v>
      </c>
      <c r="M333" t="s">
        <v>28</v>
      </c>
      <c r="N333" s="1">
        <f t="shared" si="82"/>
        <v>0</v>
      </c>
      <c r="O333" s="1">
        <f t="shared" si="83"/>
        <v>0</v>
      </c>
      <c r="P333" s="1">
        <f t="shared" si="84"/>
        <v>0</v>
      </c>
      <c r="Q333" s="1">
        <f t="shared" si="85"/>
        <v>0</v>
      </c>
      <c r="R333" s="1">
        <f t="shared" si="86"/>
        <v>1</v>
      </c>
      <c r="S333" s="1">
        <f t="shared" si="87"/>
        <v>0</v>
      </c>
      <c r="T333" s="1">
        <f t="shared" si="88"/>
        <v>1</v>
      </c>
      <c r="U333" s="26">
        <f t="shared" si="89"/>
        <v>0</v>
      </c>
      <c r="V333" s="26">
        <f t="shared" si="90"/>
        <v>0</v>
      </c>
      <c r="W333" s="1">
        <f t="shared" si="91"/>
        <v>1</v>
      </c>
      <c r="X333" s="26">
        <f t="shared" si="92"/>
        <v>0</v>
      </c>
      <c r="Y333" s="26">
        <f t="shared" si="93"/>
        <v>0</v>
      </c>
      <c r="Z333" s="1">
        <f t="shared" si="94"/>
        <v>0</v>
      </c>
      <c r="AA333"/>
      <c r="AB333"/>
    </row>
    <row r="334" spans="1:28" x14ac:dyDescent="0.55000000000000004">
      <c r="A334" s="1">
        <f t="shared" si="81"/>
        <v>334</v>
      </c>
      <c r="B334" t="s">
        <v>38</v>
      </c>
      <c r="C334" t="s">
        <v>336</v>
      </c>
      <c r="D334" t="s">
        <v>133</v>
      </c>
      <c r="E334" t="s">
        <v>2135</v>
      </c>
      <c r="F334" t="s">
        <v>342</v>
      </c>
      <c r="G334" t="s">
        <v>914</v>
      </c>
      <c r="H334" t="s">
        <v>575</v>
      </c>
      <c r="I334" t="s">
        <v>909</v>
      </c>
      <c r="J334" t="s">
        <v>2136</v>
      </c>
      <c r="K334" t="s">
        <v>901</v>
      </c>
      <c r="L334" t="s">
        <v>928</v>
      </c>
      <c r="M334" t="s">
        <v>28</v>
      </c>
      <c r="N334" s="1">
        <f t="shared" si="82"/>
        <v>1</v>
      </c>
      <c r="O334" s="1">
        <f t="shared" si="83"/>
        <v>0</v>
      </c>
      <c r="P334" s="1">
        <f t="shared" si="84"/>
        <v>1</v>
      </c>
      <c r="Q334" s="1">
        <f t="shared" si="85"/>
        <v>1</v>
      </c>
      <c r="R334" s="1">
        <f t="shared" si="86"/>
        <v>1</v>
      </c>
      <c r="S334" s="1">
        <f t="shared" si="87"/>
        <v>1</v>
      </c>
      <c r="T334" s="1">
        <f t="shared" si="88"/>
        <v>1</v>
      </c>
      <c r="U334" s="26">
        <f t="shared" si="89"/>
        <v>1</v>
      </c>
      <c r="V334" s="26">
        <f t="shared" si="90"/>
        <v>0</v>
      </c>
      <c r="W334" s="1">
        <f t="shared" si="91"/>
        <v>1</v>
      </c>
      <c r="X334" s="26">
        <f t="shared" si="92"/>
        <v>0</v>
      </c>
      <c r="Y334" s="26">
        <f t="shared" si="93"/>
        <v>0</v>
      </c>
      <c r="Z334" s="1">
        <f t="shared" si="94"/>
        <v>0</v>
      </c>
      <c r="AA334"/>
      <c r="AB334"/>
    </row>
    <row r="335" spans="1:28" x14ac:dyDescent="0.55000000000000004">
      <c r="A335" s="1">
        <f t="shared" si="81"/>
        <v>335</v>
      </c>
      <c r="B335" t="s">
        <v>38</v>
      </c>
      <c r="C335" t="s">
        <v>336</v>
      </c>
      <c r="D335" t="s">
        <v>133</v>
      </c>
      <c r="E335" t="s">
        <v>2135</v>
      </c>
      <c r="F335" t="s">
        <v>342</v>
      </c>
      <c r="G335" t="s">
        <v>925</v>
      </c>
      <c r="H335" t="s">
        <v>708</v>
      </c>
      <c r="I335" t="s">
        <v>935</v>
      </c>
      <c r="J335" t="s">
        <v>2137</v>
      </c>
      <c r="K335" t="s">
        <v>1082</v>
      </c>
      <c r="L335" t="s">
        <v>902</v>
      </c>
      <c r="M335" t="s">
        <v>28</v>
      </c>
      <c r="N335" s="1">
        <f t="shared" si="82"/>
        <v>0</v>
      </c>
      <c r="O335" s="1">
        <f t="shared" si="83"/>
        <v>0</v>
      </c>
      <c r="P335" s="1">
        <f t="shared" si="84"/>
        <v>0</v>
      </c>
      <c r="Q335" s="1">
        <f t="shared" si="85"/>
        <v>0</v>
      </c>
      <c r="R335" s="1">
        <f t="shared" si="86"/>
        <v>1</v>
      </c>
      <c r="S335" s="1">
        <f t="shared" si="87"/>
        <v>0</v>
      </c>
      <c r="T335" s="1">
        <f t="shared" si="88"/>
        <v>1</v>
      </c>
      <c r="U335" s="26">
        <f t="shared" si="89"/>
        <v>0</v>
      </c>
      <c r="V335" s="26">
        <f t="shared" si="90"/>
        <v>0</v>
      </c>
      <c r="W335" s="1">
        <f t="shared" si="91"/>
        <v>1</v>
      </c>
      <c r="X335" s="26">
        <f t="shared" si="92"/>
        <v>0</v>
      </c>
      <c r="Y335" s="26">
        <f t="shared" si="93"/>
        <v>0</v>
      </c>
      <c r="Z335" s="1">
        <f t="shared" si="94"/>
        <v>0</v>
      </c>
      <c r="AA335"/>
      <c r="AB335"/>
    </row>
    <row r="336" spans="1:28" x14ac:dyDescent="0.55000000000000004">
      <c r="A336" s="1">
        <f t="shared" si="81"/>
        <v>336</v>
      </c>
      <c r="B336" t="s">
        <v>38</v>
      </c>
      <c r="C336" t="s">
        <v>336</v>
      </c>
      <c r="D336" t="s">
        <v>133</v>
      </c>
      <c r="E336" t="s">
        <v>2135</v>
      </c>
      <c r="F336" t="s">
        <v>342</v>
      </c>
      <c r="G336" t="s">
        <v>929</v>
      </c>
      <c r="H336" t="s">
        <v>1064</v>
      </c>
      <c r="I336" t="s">
        <v>904</v>
      </c>
      <c r="J336" t="s">
        <v>2138</v>
      </c>
      <c r="K336" t="s">
        <v>932</v>
      </c>
      <c r="L336" t="s">
        <v>1095</v>
      </c>
      <c r="M336" t="s">
        <v>28</v>
      </c>
      <c r="N336" s="1">
        <f t="shared" si="82"/>
        <v>0</v>
      </c>
      <c r="O336" s="1">
        <f t="shared" si="83"/>
        <v>5</v>
      </c>
      <c r="P336" s="1">
        <f t="shared" si="84"/>
        <v>5</v>
      </c>
      <c r="Q336" s="1">
        <f t="shared" si="85"/>
        <v>1</v>
      </c>
      <c r="R336" s="1">
        <f t="shared" si="86"/>
        <v>0</v>
      </c>
      <c r="S336" s="1">
        <f t="shared" si="87"/>
        <v>0</v>
      </c>
      <c r="T336" s="1">
        <f t="shared" si="88"/>
        <v>1</v>
      </c>
      <c r="U336" s="26">
        <f t="shared" si="89"/>
        <v>0</v>
      </c>
      <c r="V336" s="26">
        <f t="shared" si="90"/>
        <v>0</v>
      </c>
      <c r="W336" s="1">
        <f t="shared" si="91"/>
        <v>0</v>
      </c>
      <c r="X336" s="26">
        <f t="shared" si="92"/>
        <v>0</v>
      </c>
      <c r="Y336" s="26">
        <f t="shared" si="93"/>
        <v>1</v>
      </c>
      <c r="Z336" s="1">
        <f t="shared" si="94"/>
        <v>1</v>
      </c>
      <c r="AA336"/>
      <c r="AB336"/>
    </row>
    <row r="337" spans="1:28" x14ac:dyDescent="0.55000000000000004">
      <c r="A337" s="1">
        <f t="shared" si="81"/>
        <v>337</v>
      </c>
      <c r="B337" t="s">
        <v>38</v>
      </c>
      <c r="C337" t="s">
        <v>336</v>
      </c>
      <c r="D337" t="s">
        <v>133</v>
      </c>
      <c r="E337" t="s">
        <v>2135</v>
      </c>
      <c r="F337" t="s">
        <v>342</v>
      </c>
      <c r="G337" t="s">
        <v>913</v>
      </c>
      <c r="H337" t="s">
        <v>581</v>
      </c>
      <c r="I337" t="s">
        <v>924</v>
      </c>
      <c r="J337" t="s">
        <v>2139</v>
      </c>
      <c r="K337" t="s">
        <v>916</v>
      </c>
      <c r="L337" t="s">
        <v>966</v>
      </c>
      <c r="M337" t="s">
        <v>28</v>
      </c>
      <c r="N337" s="1">
        <f t="shared" si="82"/>
        <v>1</v>
      </c>
      <c r="O337" s="1">
        <f t="shared" si="83"/>
        <v>2</v>
      </c>
      <c r="P337" s="1">
        <f t="shared" si="84"/>
        <v>3</v>
      </c>
      <c r="Q337" s="1">
        <f t="shared" si="85"/>
        <v>1</v>
      </c>
      <c r="R337" s="1">
        <f t="shared" si="86"/>
        <v>1</v>
      </c>
      <c r="S337" s="1">
        <f t="shared" si="87"/>
        <v>1</v>
      </c>
      <c r="T337" s="1">
        <f t="shared" si="88"/>
        <v>1</v>
      </c>
      <c r="U337" s="26">
        <f t="shared" si="89"/>
        <v>1</v>
      </c>
      <c r="V337" s="26">
        <f t="shared" si="90"/>
        <v>0</v>
      </c>
      <c r="W337" s="1">
        <f t="shared" si="91"/>
        <v>1</v>
      </c>
      <c r="X337" s="26">
        <f t="shared" si="92"/>
        <v>1</v>
      </c>
      <c r="Y337" s="26">
        <f t="shared" si="93"/>
        <v>1</v>
      </c>
      <c r="Z337" s="1">
        <f t="shared" si="94"/>
        <v>1</v>
      </c>
      <c r="AA337"/>
      <c r="AB337"/>
    </row>
    <row r="338" spans="1:28" x14ac:dyDescent="0.55000000000000004">
      <c r="A338" s="1">
        <f t="shared" si="81"/>
        <v>338</v>
      </c>
      <c r="B338" t="s">
        <v>38</v>
      </c>
      <c r="C338" t="s">
        <v>336</v>
      </c>
      <c r="D338" t="s">
        <v>133</v>
      </c>
      <c r="E338" t="s">
        <v>2135</v>
      </c>
      <c r="F338" t="s">
        <v>342</v>
      </c>
      <c r="G338" t="s">
        <v>979</v>
      </c>
      <c r="H338" t="s">
        <v>1669</v>
      </c>
      <c r="I338" t="s">
        <v>899</v>
      </c>
      <c r="J338" t="s">
        <v>2140</v>
      </c>
      <c r="K338" t="s">
        <v>1102</v>
      </c>
      <c r="L338" t="s">
        <v>912</v>
      </c>
      <c r="M338" t="s">
        <v>28</v>
      </c>
      <c r="N338" s="1">
        <f t="shared" si="82"/>
        <v>5</v>
      </c>
      <c r="O338" s="1">
        <f t="shared" si="83"/>
        <v>3</v>
      </c>
      <c r="P338" s="1">
        <f t="shared" si="84"/>
        <v>8</v>
      </c>
      <c r="Q338" s="1">
        <f t="shared" si="85"/>
        <v>1</v>
      </c>
      <c r="R338" s="1">
        <f t="shared" si="86"/>
        <v>0</v>
      </c>
      <c r="S338" s="1">
        <f t="shared" si="87"/>
        <v>0</v>
      </c>
      <c r="T338" s="1">
        <f t="shared" si="88"/>
        <v>0</v>
      </c>
      <c r="U338" s="26">
        <f t="shared" si="89"/>
        <v>0</v>
      </c>
      <c r="V338" s="26">
        <f t="shared" si="90"/>
        <v>1</v>
      </c>
      <c r="W338" s="1">
        <f t="shared" si="91"/>
        <v>0</v>
      </c>
      <c r="X338" s="26">
        <f t="shared" si="92"/>
        <v>1</v>
      </c>
      <c r="Y338" s="26">
        <f t="shared" si="93"/>
        <v>1</v>
      </c>
      <c r="Z338" s="1">
        <f t="shared" si="94"/>
        <v>1</v>
      </c>
      <c r="AA338"/>
      <c r="AB338"/>
    </row>
    <row r="339" spans="1:28" x14ac:dyDescent="0.55000000000000004">
      <c r="A339" s="1">
        <f t="shared" si="81"/>
        <v>339</v>
      </c>
      <c r="B339" t="s">
        <v>38</v>
      </c>
      <c r="C339" t="s">
        <v>336</v>
      </c>
      <c r="D339" t="s">
        <v>133</v>
      </c>
      <c r="E339" t="s">
        <v>2135</v>
      </c>
      <c r="F339" t="s">
        <v>342</v>
      </c>
      <c r="G339" t="s">
        <v>918</v>
      </c>
      <c r="H339" t="s">
        <v>664</v>
      </c>
      <c r="I339" t="s">
        <v>903</v>
      </c>
      <c r="J339" t="s">
        <v>2141</v>
      </c>
      <c r="K339" t="s">
        <v>921</v>
      </c>
      <c r="L339" t="s">
        <v>922</v>
      </c>
      <c r="M339" t="s">
        <v>28</v>
      </c>
      <c r="N339" s="1">
        <f t="shared" si="82"/>
        <v>2</v>
      </c>
      <c r="O339" s="1">
        <f t="shared" si="83"/>
        <v>2</v>
      </c>
      <c r="P339" s="1">
        <f t="shared" si="84"/>
        <v>4</v>
      </c>
      <c r="Q339" s="1">
        <f t="shared" si="85"/>
        <v>0</v>
      </c>
      <c r="R339" s="1">
        <f t="shared" si="86"/>
        <v>1</v>
      </c>
      <c r="S339" s="1">
        <f t="shared" si="87"/>
        <v>0</v>
      </c>
      <c r="T339" s="1">
        <f t="shared" si="88"/>
        <v>1</v>
      </c>
      <c r="U339" s="26">
        <f t="shared" si="89"/>
        <v>1</v>
      </c>
      <c r="V339" s="26">
        <f t="shared" si="90"/>
        <v>1</v>
      </c>
      <c r="W339" s="1">
        <f t="shared" si="91"/>
        <v>1</v>
      </c>
      <c r="X339" s="26">
        <f t="shared" si="92"/>
        <v>1</v>
      </c>
      <c r="Y339" s="26">
        <f t="shared" si="93"/>
        <v>1</v>
      </c>
      <c r="Z339" s="1">
        <f t="shared" si="94"/>
        <v>1</v>
      </c>
      <c r="AA339"/>
      <c r="AB339"/>
    </row>
    <row r="340" spans="1:28" x14ac:dyDescent="0.55000000000000004">
      <c r="A340" s="1">
        <f t="shared" si="81"/>
        <v>340</v>
      </c>
      <c r="B340" t="s">
        <v>38</v>
      </c>
      <c r="C340" t="s">
        <v>336</v>
      </c>
      <c r="D340" t="s">
        <v>133</v>
      </c>
      <c r="E340" t="s">
        <v>2135</v>
      </c>
      <c r="F340" t="s">
        <v>342</v>
      </c>
      <c r="G340" t="s">
        <v>981</v>
      </c>
      <c r="H340" t="s">
        <v>687</v>
      </c>
      <c r="I340" t="s">
        <v>940</v>
      </c>
      <c r="J340" t="s">
        <v>2142</v>
      </c>
      <c r="K340" t="s">
        <v>1086</v>
      </c>
      <c r="L340" t="s">
        <v>1092</v>
      </c>
      <c r="M340" t="s">
        <v>28</v>
      </c>
      <c r="N340" s="1">
        <f t="shared" si="82"/>
        <v>4</v>
      </c>
      <c r="O340" s="1">
        <f t="shared" si="83"/>
        <v>0</v>
      </c>
      <c r="P340" s="1">
        <f t="shared" si="84"/>
        <v>4</v>
      </c>
      <c r="Q340" s="1">
        <f t="shared" si="85"/>
        <v>1</v>
      </c>
      <c r="R340" s="1">
        <f t="shared" si="86"/>
        <v>1</v>
      </c>
      <c r="S340" s="1">
        <f t="shared" si="87"/>
        <v>1</v>
      </c>
      <c r="T340" s="1">
        <f t="shared" si="88"/>
        <v>0</v>
      </c>
      <c r="U340" s="26">
        <f t="shared" si="89"/>
        <v>0</v>
      </c>
      <c r="V340" s="26">
        <f t="shared" si="90"/>
        <v>1</v>
      </c>
      <c r="W340" s="1">
        <f t="shared" si="91"/>
        <v>1</v>
      </c>
      <c r="X340" s="26">
        <f t="shared" si="92"/>
        <v>0</v>
      </c>
      <c r="Y340" s="26">
        <f t="shared" si="93"/>
        <v>0</v>
      </c>
      <c r="Z340" s="1">
        <f t="shared" si="94"/>
        <v>1</v>
      </c>
      <c r="AA340"/>
      <c r="AB340"/>
    </row>
    <row r="341" spans="1:28" x14ac:dyDescent="0.55000000000000004">
      <c r="A341" s="1">
        <f t="shared" si="81"/>
        <v>341</v>
      </c>
      <c r="B341" t="s">
        <v>38</v>
      </c>
      <c r="C341" t="s">
        <v>336</v>
      </c>
      <c r="D341" t="s">
        <v>42</v>
      </c>
      <c r="E341" t="s">
        <v>1682</v>
      </c>
      <c r="F341" t="s">
        <v>923</v>
      </c>
      <c r="G341" t="s">
        <v>934</v>
      </c>
      <c r="H341" t="s">
        <v>608</v>
      </c>
      <c r="I341" t="s">
        <v>930</v>
      </c>
      <c r="J341" t="s">
        <v>1683</v>
      </c>
      <c r="K341" t="s">
        <v>937</v>
      </c>
      <c r="L341" t="s">
        <v>1103</v>
      </c>
      <c r="M341" t="s">
        <v>28</v>
      </c>
      <c r="N341" s="1">
        <f t="shared" si="82"/>
        <v>1</v>
      </c>
      <c r="O341" s="1">
        <f t="shared" si="83"/>
        <v>1</v>
      </c>
      <c r="P341" s="1">
        <f t="shared" si="84"/>
        <v>2</v>
      </c>
      <c r="Q341" s="1">
        <f t="shared" si="85"/>
        <v>0</v>
      </c>
      <c r="R341" s="1">
        <f t="shared" si="86"/>
        <v>1</v>
      </c>
      <c r="S341" s="1">
        <f t="shared" si="87"/>
        <v>0</v>
      </c>
      <c r="T341" s="1">
        <f t="shared" si="88"/>
        <v>1</v>
      </c>
      <c r="U341" s="26">
        <f t="shared" si="89"/>
        <v>1</v>
      </c>
      <c r="V341" s="26">
        <f t="shared" si="90"/>
        <v>0</v>
      </c>
      <c r="W341" s="1">
        <f t="shared" si="91"/>
        <v>1</v>
      </c>
      <c r="X341" s="26">
        <f t="shared" si="92"/>
        <v>1</v>
      </c>
      <c r="Y341" s="26">
        <f t="shared" si="93"/>
        <v>0</v>
      </c>
      <c r="Z341" s="1">
        <f t="shared" si="94"/>
        <v>1</v>
      </c>
      <c r="AA341"/>
      <c r="AB341"/>
    </row>
    <row r="342" spans="1:28" x14ac:dyDescent="0.55000000000000004">
      <c r="A342" s="1">
        <f t="shared" si="81"/>
        <v>342</v>
      </c>
      <c r="B342" t="s">
        <v>38</v>
      </c>
      <c r="C342" t="s">
        <v>337</v>
      </c>
      <c r="D342" t="s">
        <v>133</v>
      </c>
      <c r="E342" t="s">
        <v>2143</v>
      </c>
      <c r="F342" t="s">
        <v>342</v>
      </c>
      <c r="G342" t="s">
        <v>940</v>
      </c>
      <c r="H342" t="s">
        <v>708</v>
      </c>
      <c r="I342" t="s">
        <v>925</v>
      </c>
      <c r="J342" t="s">
        <v>2144</v>
      </c>
      <c r="K342" t="s">
        <v>942</v>
      </c>
      <c r="L342" t="s">
        <v>1095</v>
      </c>
      <c r="M342" t="s">
        <v>28</v>
      </c>
      <c r="N342" s="1">
        <f t="shared" si="82"/>
        <v>0</v>
      </c>
      <c r="O342" s="1">
        <f t="shared" si="83"/>
        <v>0</v>
      </c>
      <c r="P342" s="1">
        <f t="shared" si="84"/>
        <v>0</v>
      </c>
      <c r="Q342" s="1">
        <f t="shared" si="85"/>
        <v>0</v>
      </c>
      <c r="R342" s="1">
        <f t="shared" si="86"/>
        <v>1</v>
      </c>
      <c r="S342" s="1">
        <f t="shared" si="87"/>
        <v>0</v>
      </c>
      <c r="T342" s="1">
        <f t="shared" si="88"/>
        <v>1</v>
      </c>
      <c r="U342" s="26">
        <f t="shared" si="89"/>
        <v>0</v>
      </c>
      <c r="V342" s="26">
        <f t="shared" si="90"/>
        <v>0</v>
      </c>
      <c r="W342" s="1">
        <f t="shared" si="91"/>
        <v>1</v>
      </c>
      <c r="X342" s="26">
        <f t="shared" si="92"/>
        <v>0</v>
      </c>
      <c r="Y342" s="26">
        <f t="shared" si="93"/>
        <v>0</v>
      </c>
      <c r="Z342" s="1">
        <f t="shared" si="94"/>
        <v>0</v>
      </c>
      <c r="AA342"/>
      <c r="AB342"/>
    </row>
    <row r="343" spans="1:28" x14ac:dyDescent="0.55000000000000004">
      <c r="A343" s="1">
        <f t="shared" si="81"/>
        <v>343</v>
      </c>
      <c r="B343" t="s">
        <v>38</v>
      </c>
      <c r="C343" t="s">
        <v>337</v>
      </c>
      <c r="D343" t="s">
        <v>133</v>
      </c>
      <c r="E343" t="s">
        <v>2143</v>
      </c>
      <c r="F343" t="s">
        <v>342</v>
      </c>
      <c r="G343" t="s">
        <v>930</v>
      </c>
      <c r="H343" t="s">
        <v>608</v>
      </c>
      <c r="I343" t="s">
        <v>919</v>
      </c>
      <c r="J343" t="s">
        <v>2145</v>
      </c>
      <c r="K343" t="s">
        <v>976</v>
      </c>
      <c r="L343" t="s">
        <v>984</v>
      </c>
      <c r="M343" t="s">
        <v>28</v>
      </c>
      <c r="N343" s="1">
        <f t="shared" si="82"/>
        <v>1</v>
      </c>
      <c r="O343" s="1">
        <f t="shared" si="83"/>
        <v>1</v>
      </c>
      <c r="P343" s="1">
        <f t="shared" si="84"/>
        <v>2</v>
      </c>
      <c r="Q343" s="1">
        <f t="shared" si="85"/>
        <v>0</v>
      </c>
      <c r="R343" s="1">
        <f t="shared" si="86"/>
        <v>1</v>
      </c>
      <c r="S343" s="1">
        <f t="shared" si="87"/>
        <v>0</v>
      </c>
      <c r="T343" s="1">
        <f t="shared" si="88"/>
        <v>1</v>
      </c>
      <c r="U343" s="26">
        <f t="shared" si="89"/>
        <v>1</v>
      </c>
      <c r="V343" s="26">
        <f t="shared" si="90"/>
        <v>0</v>
      </c>
      <c r="W343" s="1">
        <f t="shared" si="91"/>
        <v>1</v>
      </c>
      <c r="X343" s="26">
        <f t="shared" si="92"/>
        <v>1</v>
      </c>
      <c r="Y343" s="26">
        <f t="shared" si="93"/>
        <v>0</v>
      </c>
      <c r="Z343" s="1">
        <f t="shared" si="94"/>
        <v>1</v>
      </c>
      <c r="AA343"/>
      <c r="AB343"/>
    </row>
    <row r="344" spans="1:28" x14ac:dyDescent="0.55000000000000004">
      <c r="A344" s="1">
        <f t="shared" si="81"/>
        <v>344</v>
      </c>
      <c r="B344" t="s">
        <v>38</v>
      </c>
      <c r="C344" t="s">
        <v>337</v>
      </c>
      <c r="D344" t="s">
        <v>133</v>
      </c>
      <c r="E344" t="s">
        <v>2143</v>
      </c>
      <c r="F344" t="s">
        <v>342</v>
      </c>
      <c r="G344" t="s">
        <v>899</v>
      </c>
      <c r="H344" t="s">
        <v>575</v>
      </c>
      <c r="I344" t="s">
        <v>914</v>
      </c>
      <c r="J344" t="s">
        <v>2146</v>
      </c>
      <c r="K344" t="s">
        <v>973</v>
      </c>
      <c r="L344" t="s">
        <v>1122</v>
      </c>
      <c r="M344" t="s">
        <v>28</v>
      </c>
      <c r="N344" s="1">
        <f t="shared" si="82"/>
        <v>1</v>
      </c>
      <c r="O344" s="1">
        <f t="shared" si="83"/>
        <v>0</v>
      </c>
      <c r="P344" s="1">
        <f t="shared" si="84"/>
        <v>1</v>
      </c>
      <c r="Q344" s="1">
        <f t="shared" si="85"/>
        <v>1</v>
      </c>
      <c r="R344" s="1">
        <f t="shared" si="86"/>
        <v>1</v>
      </c>
      <c r="S344" s="1">
        <f t="shared" si="87"/>
        <v>1</v>
      </c>
      <c r="T344" s="1">
        <f t="shared" si="88"/>
        <v>1</v>
      </c>
      <c r="U344" s="26">
        <f t="shared" si="89"/>
        <v>1</v>
      </c>
      <c r="V344" s="26">
        <f t="shared" si="90"/>
        <v>0</v>
      </c>
      <c r="W344" s="1">
        <f t="shared" si="91"/>
        <v>1</v>
      </c>
      <c r="X344" s="26">
        <f t="shared" si="92"/>
        <v>0</v>
      </c>
      <c r="Y344" s="26">
        <f t="shared" si="93"/>
        <v>0</v>
      </c>
      <c r="Z344" s="1">
        <f t="shared" si="94"/>
        <v>0</v>
      </c>
      <c r="AA344"/>
      <c r="AB344"/>
    </row>
    <row r="345" spans="1:28" x14ac:dyDescent="0.55000000000000004">
      <c r="A345" s="1">
        <f t="shared" si="81"/>
        <v>345</v>
      </c>
      <c r="B345" t="s">
        <v>38</v>
      </c>
      <c r="C345" t="s">
        <v>337</v>
      </c>
      <c r="D345" t="s">
        <v>133</v>
      </c>
      <c r="E345" t="s">
        <v>2143</v>
      </c>
      <c r="F345" t="s">
        <v>342</v>
      </c>
      <c r="G345" t="s">
        <v>904</v>
      </c>
      <c r="H345" t="s">
        <v>573</v>
      </c>
      <c r="I345" t="s">
        <v>918</v>
      </c>
      <c r="J345" t="s">
        <v>2147</v>
      </c>
      <c r="K345" t="s">
        <v>952</v>
      </c>
      <c r="L345" t="s">
        <v>960</v>
      </c>
      <c r="M345" t="s">
        <v>28</v>
      </c>
      <c r="N345" s="1">
        <f t="shared" si="82"/>
        <v>2</v>
      </c>
      <c r="O345" s="1">
        <f t="shared" si="83"/>
        <v>0</v>
      </c>
      <c r="P345" s="1">
        <f t="shared" si="84"/>
        <v>2</v>
      </c>
      <c r="Q345" s="1">
        <f t="shared" si="85"/>
        <v>1</v>
      </c>
      <c r="R345" s="1">
        <f t="shared" si="86"/>
        <v>1</v>
      </c>
      <c r="S345" s="1">
        <f t="shared" si="87"/>
        <v>1</v>
      </c>
      <c r="T345" s="1">
        <f t="shared" si="88"/>
        <v>1</v>
      </c>
      <c r="U345" s="26">
        <f t="shared" si="89"/>
        <v>1</v>
      </c>
      <c r="V345" s="26">
        <f t="shared" si="90"/>
        <v>1</v>
      </c>
      <c r="W345" s="1">
        <f t="shared" si="91"/>
        <v>1</v>
      </c>
      <c r="X345" s="26">
        <f t="shared" si="92"/>
        <v>0</v>
      </c>
      <c r="Y345" s="26">
        <f t="shared" si="93"/>
        <v>0</v>
      </c>
      <c r="Z345" s="1">
        <f t="shared" si="94"/>
        <v>1</v>
      </c>
      <c r="AA345"/>
      <c r="AB345"/>
    </row>
    <row r="346" spans="1:28" x14ac:dyDescent="0.55000000000000004">
      <c r="A346" s="1">
        <f t="shared" si="81"/>
        <v>346</v>
      </c>
      <c r="B346" t="s">
        <v>38</v>
      </c>
      <c r="C346" t="s">
        <v>337</v>
      </c>
      <c r="D346" t="s">
        <v>133</v>
      </c>
      <c r="E346" t="s">
        <v>2143</v>
      </c>
      <c r="F346" t="s">
        <v>342</v>
      </c>
      <c r="G346" t="s">
        <v>981</v>
      </c>
      <c r="H346" t="s">
        <v>722</v>
      </c>
      <c r="I346" t="s">
        <v>908</v>
      </c>
      <c r="J346" t="s">
        <v>2148</v>
      </c>
      <c r="K346" t="s">
        <v>1086</v>
      </c>
      <c r="L346" t="s">
        <v>922</v>
      </c>
      <c r="M346" t="s">
        <v>28</v>
      </c>
      <c r="N346" s="1">
        <f t="shared" si="82"/>
        <v>3</v>
      </c>
      <c r="O346" s="1">
        <f t="shared" si="83"/>
        <v>0</v>
      </c>
      <c r="P346" s="1">
        <f t="shared" si="84"/>
        <v>3</v>
      </c>
      <c r="Q346" s="1">
        <f t="shared" si="85"/>
        <v>1</v>
      </c>
      <c r="R346" s="1">
        <f t="shared" si="86"/>
        <v>1</v>
      </c>
      <c r="S346" s="1">
        <f t="shared" si="87"/>
        <v>1</v>
      </c>
      <c r="T346" s="1">
        <f t="shared" si="88"/>
        <v>0</v>
      </c>
      <c r="U346" s="26">
        <f t="shared" si="89"/>
        <v>1</v>
      </c>
      <c r="V346" s="26">
        <f t="shared" si="90"/>
        <v>1</v>
      </c>
      <c r="W346" s="1">
        <f t="shared" si="91"/>
        <v>1</v>
      </c>
      <c r="X346" s="26">
        <f t="shared" si="92"/>
        <v>0</v>
      </c>
      <c r="Y346" s="26">
        <f t="shared" si="93"/>
        <v>0</v>
      </c>
      <c r="Z346" s="1">
        <f t="shared" si="94"/>
        <v>1</v>
      </c>
      <c r="AA346"/>
      <c r="AB346"/>
    </row>
    <row r="347" spans="1:28" x14ac:dyDescent="0.55000000000000004">
      <c r="A347" s="1">
        <f t="shared" si="81"/>
        <v>347</v>
      </c>
      <c r="B347" t="s">
        <v>38</v>
      </c>
      <c r="C347" t="s">
        <v>337</v>
      </c>
      <c r="D347" t="s">
        <v>133</v>
      </c>
      <c r="E347" t="s">
        <v>2143</v>
      </c>
      <c r="F347" t="s">
        <v>342</v>
      </c>
      <c r="G347" t="s">
        <v>898</v>
      </c>
      <c r="H347" t="s">
        <v>570</v>
      </c>
      <c r="I347" t="s">
        <v>913</v>
      </c>
      <c r="J347" t="s">
        <v>2149</v>
      </c>
      <c r="K347" t="s">
        <v>901</v>
      </c>
      <c r="L347" t="s">
        <v>938</v>
      </c>
      <c r="M347" t="s">
        <v>28</v>
      </c>
      <c r="N347" s="1">
        <f t="shared" si="82"/>
        <v>3</v>
      </c>
      <c r="O347" s="1">
        <f t="shared" si="83"/>
        <v>1</v>
      </c>
      <c r="P347" s="1">
        <f t="shared" si="84"/>
        <v>4</v>
      </c>
      <c r="Q347" s="1">
        <f t="shared" si="85"/>
        <v>1</v>
      </c>
      <c r="R347" s="1">
        <f t="shared" si="86"/>
        <v>1</v>
      </c>
      <c r="S347" s="1">
        <f t="shared" si="87"/>
        <v>1</v>
      </c>
      <c r="T347" s="1">
        <f t="shared" si="88"/>
        <v>0</v>
      </c>
      <c r="U347" s="26">
        <f t="shared" si="89"/>
        <v>1</v>
      </c>
      <c r="V347" s="26">
        <f t="shared" si="90"/>
        <v>1</v>
      </c>
      <c r="W347" s="1">
        <f t="shared" si="91"/>
        <v>1</v>
      </c>
      <c r="X347" s="26">
        <f t="shared" si="92"/>
        <v>1</v>
      </c>
      <c r="Y347" s="26">
        <f t="shared" si="93"/>
        <v>0</v>
      </c>
      <c r="Z347" s="1">
        <f t="shared" si="94"/>
        <v>1</v>
      </c>
      <c r="AA347"/>
      <c r="AB347"/>
    </row>
    <row r="348" spans="1:28" x14ac:dyDescent="0.55000000000000004">
      <c r="A348" s="1">
        <f t="shared" si="81"/>
        <v>348</v>
      </c>
      <c r="B348" t="s">
        <v>38</v>
      </c>
      <c r="C348" t="s">
        <v>337</v>
      </c>
      <c r="D348" t="s">
        <v>133</v>
      </c>
      <c r="E348" t="s">
        <v>2143</v>
      </c>
      <c r="F348" t="s">
        <v>342</v>
      </c>
      <c r="G348" t="s">
        <v>903</v>
      </c>
      <c r="H348" t="s">
        <v>568</v>
      </c>
      <c r="I348" t="s">
        <v>929</v>
      </c>
      <c r="J348" t="s">
        <v>2150</v>
      </c>
      <c r="K348" t="s">
        <v>906</v>
      </c>
      <c r="L348" t="s">
        <v>1097</v>
      </c>
      <c r="M348" t="s">
        <v>28</v>
      </c>
      <c r="N348" s="1">
        <f t="shared" si="82"/>
        <v>0</v>
      </c>
      <c r="O348" s="1">
        <f t="shared" si="83"/>
        <v>2</v>
      </c>
      <c r="P348" s="1">
        <f t="shared" si="84"/>
        <v>2</v>
      </c>
      <c r="Q348" s="1">
        <f t="shared" si="85"/>
        <v>1</v>
      </c>
      <c r="R348" s="1">
        <f t="shared" si="86"/>
        <v>1</v>
      </c>
      <c r="S348" s="1">
        <f t="shared" si="87"/>
        <v>1</v>
      </c>
      <c r="T348" s="1">
        <f t="shared" si="88"/>
        <v>1</v>
      </c>
      <c r="U348" s="26">
        <f t="shared" si="89"/>
        <v>0</v>
      </c>
      <c r="V348" s="26">
        <f t="shared" si="90"/>
        <v>0</v>
      </c>
      <c r="W348" s="1">
        <f t="shared" si="91"/>
        <v>1</v>
      </c>
      <c r="X348" s="26">
        <f t="shared" si="92"/>
        <v>1</v>
      </c>
      <c r="Y348" s="26">
        <f t="shared" si="93"/>
        <v>1</v>
      </c>
      <c r="Z348" s="1">
        <f t="shared" si="94"/>
        <v>1</v>
      </c>
      <c r="AA348"/>
      <c r="AB348"/>
    </row>
    <row r="349" spans="1:28" x14ac:dyDescent="0.55000000000000004">
      <c r="A349" s="1">
        <f t="shared" si="81"/>
        <v>349</v>
      </c>
      <c r="B349" t="s">
        <v>38</v>
      </c>
      <c r="C349" t="s">
        <v>337</v>
      </c>
      <c r="D349" t="s">
        <v>133</v>
      </c>
      <c r="E349" t="s">
        <v>2143</v>
      </c>
      <c r="F349" t="s">
        <v>923</v>
      </c>
      <c r="G349" t="s">
        <v>924</v>
      </c>
      <c r="H349" t="s">
        <v>573</v>
      </c>
      <c r="I349" t="s">
        <v>979</v>
      </c>
      <c r="J349" t="s">
        <v>2151</v>
      </c>
      <c r="K349" t="s">
        <v>927</v>
      </c>
      <c r="L349" t="s">
        <v>902</v>
      </c>
      <c r="M349" t="s">
        <v>28</v>
      </c>
      <c r="N349" s="1">
        <f t="shared" si="82"/>
        <v>2</v>
      </c>
      <c r="O349" s="1">
        <f t="shared" si="83"/>
        <v>0</v>
      </c>
      <c r="P349" s="1">
        <f t="shared" si="84"/>
        <v>2</v>
      </c>
      <c r="Q349" s="1">
        <f t="shared" si="85"/>
        <v>1</v>
      </c>
      <c r="R349" s="1">
        <f t="shared" si="86"/>
        <v>1</v>
      </c>
      <c r="S349" s="1">
        <f t="shared" si="87"/>
        <v>1</v>
      </c>
      <c r="T349" s="1">
        <f t="shared" si="88"/>
        <v>1</v>
      </c>
      <c r="U349" s="26">
        <f t="shared" si="89"/>
        <v>1</v>
      </c>
      <c r="V349" s="26">
        <f t="shared" si="90"/>
        <v>1</v>
      </c>
      <c r="W349" s="1">
        <f t="shared" si="91"/>
        <v>1</v>
      </c>
      <c r="X349" s="26">
        <f t="shared" si="92"/>
        <v>0</v>
      </c>
      <c r="Y349" s="26">
        <f t="shared" si="93"/>
        <v>0</v>
      </c>
      <c r="Z349" s="1">
        <f t="shared" si="94"/>
        <v>1</v>
      </c>
      <c r="AA349"/>
      <c r="AB349"/>
    </row>
    <row r="350" spans="1:28" x14ac:dyDescent="0.55000000000000004">
      <c r="A350" s="1">
        <f t="shared" si="81"/>
        <v>350</v>
      </c>
      <c r="B350" t="s">
        <v>38</v>
      </c>
      <c r="C350" t="s">
        <v>337</v>
      </c>
      <c r="D350" t="s">
        <v>42</v>
      </c>
      <c r="E350" t="s">
        <v>1684</v>
      </c>
      <c r="F350" t="s">
        <v>985</v>
      </c>
      <c r="G350" t="s">
        <v>909</v>
      </c>
      <c r="H350" t="s">
        <v>664</v>
      </c>
      <c r="I350" t="s">
        <v>945</v>
      </c>
      <c r="J350" t="s">
        <v>1685</v>
      </c>
      <c r="K350" t="s">
        <v>965</v>
      </c>
      <c r="L350" t="s">
        <v>907</v>
      </c>
      <c r="M350" t="s">
        <v>28</v>
      </c>
      <c r="N350" s="1">
        <f t="shared" si="82"/>
        <v>2</v>
      </c>
      <c r="O350" s="1">
        <f t="shared" si="83"/>
        <v>2</v>
      </c>
      <c r="P350" s="1">
        <f t="shared" si="84"/>
        <v>4</v>
      </c>
      <c r="Q350" s="1">
        <f t="shared" si="85"/>
        <v>0</v>
      </c>
      <c r="R350" s="1">
        <f t="shared" si="86"/>
        <v>1</v>
      </c>
      <c r="S350" s="1">
        <f t="shared" si="87"/>
        <v>0</v>
      </c>
      <c r="T350" s="1">
        <f t="shared" si="88"/>
        <v>1</v>
      </c>
      <c r="U350" s="26">
        <f t="shared" si="89"/>
        <v>1</v>
      </c>
      <c r="V350" s="26">
        <f t="shared" si="90"/>
        <v>1</v>
      </c>
      <c r="W350" s="1">
        <f t="shared" si="91"/>
        <v>1</v>
      </c>
      <c r="X350" s="26">
        <f t="shared" si="92"/>
        <v>1</v>
      </c>
      <c r="Y350" s="26">
        <f t="shared" si="93"/>
        <v>1</v>
      </c>
      <c r="Z350" s="1">
        <f t="shared" si="94"/>
        <v>1</v>
      </c>
      <c r="AA350"/>
      <c r="AB350"/>
    </row>
    <row r="351" spans="1:28" x14ac:dyDescent="0.55000000000000004">
      <c r="A351" s="1">
        <f t="shared" si="81"/>
        <v>351</v>
      </c>
      <c r="B351" t="s">
        <v>38</v>
      </c>
      <c r="C351" t="s">
        <v>337</v>
      </c>
      <c r="D351" t="s">
        <v>42</v>
      </c>
      <c r="E351" t="s">
        <v>1684</v>
      </c>
      <c r="F351" t="s">
        <v>1686</v>
      </c>
      <c r="G351" t="s">
        <v>935</v>
      </c>
      <c r="H351" t="s">
        <v>575</v>
      </c>
      <c r="I351" t="s">
        <v>934</v>
      </c>
      <c r="J351" t="s">
        <v>1687</v>
      </c>
      <c r="K351" t="s">
        <v>949</v>
      </c>
      <c r="L351" t="s">
        <v>954</v>
      </c>
      <c r="M351" t="s">
        <v>28</v>
      </c>
      <c r="N351" s="1">
        <f t="shared" si="82"/>
        <v>1</v>
      </c>
      <c r="O351" s="1">
        <f t="shared" si="83"/>
        <v>0</v>
      </c>
      <c r="P351" s="1">
        <f t="shared" si="84"/>
        <v>1</v>
      </c>
      <c r="Q351" s="1">
        <f t="shared" si="85"/>
        <v>1</v>
      </c>
      <c r="R351" s="1">
        <f t="shared" si="86"/>
        <v>1</v>
      </c>
      <c r="S351" s="1">
        <f t="shared" si="87"/>
        <v>1</v>
      </c>
      <c r="T351" s="1">
        <f t="shared" si="88"/>
        <v>1</v>
      </c>
      <c r="U351" s="26">
        <f t="shared" si="89"/>
        <v>1</v>
      </c>
      <c r="V351" s="26">
        <f t="shared" si="90"/>
        <v>0</v>
      </c>
      <c r="W351" s="1">
        <f t="shared" si="91"/>
        <v>1</v>
      </c>
      <c r="X351" s="26">
        <f t="shared" si="92"/>
        <v>0</v>
      </c>
      <c r="Y351" s="26">
        <f t="shared" si="93"/>
        <v>0</v>
      </c>
      <c r="Z351" s="1">
        <f t="shared" si="94"/>
        <v>0</v>
      </c>
      <c r="AA351"/>
      <c r="AB351"/>
    </row>
    <row r="352" spans="1:28" x14ac:dyDescent="0.55000000000000004">
      <c r="A352" s="1">
        <f t="shared" si="81"/>
        <v>352</v>
      </c>
      <c r="B352" t="s">
        <v>38</v>
      </c>
      <c r="C352" t="s">
        <v>339</v>
      </c>
      <c r="D352" t="s">
        <v>133</v>
      </c>
      <c r="E352" t="s">
        <v>2152</v>
      </c>
      <c r="F352" t="s">
        <v>985</v>
      </c>
      <c r="G352" t="s">
        <v>919</v>
      </c>
      <c r="H352" t="s">
        <v>579</v>
      </c>
      <c r="I352" t="s">
        <v>918</v>
      </c>
      <c r="J352" t="s">
        <v>2153</v>
      </c>
      <c r="K352" t="s">
        <v>968</v>
      </c>
      <c r="L352" t="s">
        <v>1095</v>
      </c>
      <c r="M352" t="s">
        <v>28</v>
      </c>
      <c r="N352" s="1">
        <f t="shared" si="82"/>
        <v>2</v>
      </c>
      <c r="O352" s="1">
        <f t="shared" si="83"/>
        <v>1</v>
      </c>
      <c r="P352" s="1">
        <f t="shared" si="84"/>
        <v>3</v>
      </c>
      <c r="Q352" s="1">
        <f t="shared" si="85"/>
        <v>1</v>
      </c>
      <c r="R352" s="1">
        <f t="shared" si="86"/>
        <v>1</v>
      </c>
      <c r="S352" s="1">
        <f t="shared" si="87"/>
        <v>1</v>
      </c>
      <c r="T352" s="1">
        <f t="shared" si="88"/>
        <v>1</v>
      </c>
      <c r="U352" s="26">
        <f t="shared" si="89"/>
        <v>1</v>
      </c>
      <c r="V352" s="26">
        <f t="shared" si="90"/>
        <v>1</v>
      </c>
      <c r="W352" s="1">
        <f t="shared" si="91"/>
        <v>1</v>
      </c>
      <c r="X352" s="26">
        <f t="shared" si="92"/>
        <v>1</v>
      </c>
      <c r="Y352" s="26">
        <f t="shared" si="93"/>
        <v>0</v>
      </c>
      <c r="Z352" s="1">
        <f t="shared" si="94"/>
        <v>1</v>
      </c>
      <c r="AA352"/>
      <c r="AB352"/>
    </row>
    <row r="353" spans="1:28" x14ac:dyDescent="0.55000000000000004">
      <c r="A353" s="1">
        <f t="shared" si="81"/>
        <v>353</v>
      </c>
      <c r="B353" t="s">
        <v>38</v>
      </c>
      <c r="C353" t="s">
        <v>339</v>
      </c>
      <c r="D353" t="s">
        <v>133</v>
      </c>
      <c r="E353" t="s">
        <v>2152</v>
      </c>
      <c r="F353" t="s">
        <v>985</v>
      </c>
      <c r="G353" t="s">
        <v>914</v>
      </c>
      <c r="H353" t="s">
        <v>708</v>
      </c>
      <c r="I353" t="s">
        <v>935</v>
      </c>
      <c r="J353" t="s">
        <v>2154</v>
      </c>
      <c r="K353" t="s">
        <v>901</v>
      </c>
      <c r="L353" t="s">
        <v>944</v>
      </c>
      <c r="M353" t="s">
        <v>28</v>
      </c>
      <c r="N353" s="1">
        <f t="shared" si="82"/>
        <v>0</v>
      </c>
      <c r="O353" s="1">
        <f t="shared" si="83"/>
        <v>0</v>
      </c>
      <c r="P353" s="1">
        <f t="shared" si="84"/>
        <v>0</v>
      </c>
      <c r="Q353" s="1">
        <f t="shared" si="85"/>
        <v>0</v>
      </c>
      <c r="R353" s="1">
        <f t="shared" si="86"/>
        <v>1</v>
      </c>
      <c r="S353" s="1">
        <f t="shared" si="87"/>
        <v>0</v>
      </c>
      <c r="T353" s="1">
        <f t="shared" si="88"/>
        <v>1</v>
      </c>
      <c r="U353" s="26">
        <f t="shared" si="89"/>
        <v>0</v>
      </c>
      <c r="V353" s="26">
        <f t="shared" si="90"/>
        <v>0</v>
      </c>
      <c r="W353" s="1">
        <f t="shared" si="91"/>
        <v>1</v>
      </c>
      <c r="X353" s="26">
        <f t="shared" si="92"/>
        <v>0</v>
      </c>
      <c r="Y353" s="26">
        <f t="shared" si="93"/>
        <v>0</v>
      </c>
      <c r="Z353" s="1">
        <f t="shared" si="94"/>
        <v>0</v>
      </c>
      <c r="AA353"/>
      <c r="AB353"/>
    </row>
    <row r="354" spans="1:28" x14ac:dyDescent="0.55000000000000004">
      <c r="A354" s="1">
        <f t="shared" si="81"/>
        <v>354</v>
      </c>
      <c r="B354" t="s">
        <v>38</v>
      </c>
      <c r="C354" t="s">
        <v>339</v>
      </c>
      <c r="D354" t="s">
        <v>133</v>
      </c>
      <c r="E354" t="s">
        <v>2152</v>
      </c>
      <c r="F354" t="s">
        <v>1565</v>
      </c>
      <c r="G354" t="s">
        <v>979</v>
      </c>
      <c r="H354" t="s">
        <v>608</v>
      </c>
      <c r="I354" t="s">
        <v>913</v>
      </c>
      <c r="J354" t="s">
        <v>2155</v>
      </c>
      <c r="K354" t="s">
        <v>1102</v>
      </c>
      <c r="L354" t="s">
        <v>1099</v>
      </c>
      <c r="M354" t="s">
        <v>28</v>
      </c>
      <c r="N354" s="1">
        <f t="shared" si="82"/>
        <v>1</v>
      </c>
      <c r="O354" s="1">
        <f t="shared" si="83"/>
        <v>1</v>
      </c>
      <c r="P354" s="1">
        <f t="shared" si="84"/>
        <v>2</v>
      </c>
      <c r="Q354" s="1">
        <f t="shared" si="85"/>
        <v>0</v>
      </c>
      <c r="R354" s="1">
        <f t="shared" si="86"/>
        <v>1</v>
      </c>
      <c r="S354" s="1">
        <f t="shared" si="87"/>
        <v>0</v>
      </c>
      <c r="T354" s="1">
        <f t="shared" si="88"/>
        <v>1</v>
      </c>
      <c r="U354" s="26">
        <f t="shared" si="89"/>
        <v>1</v>
      </c>
      <c r="V354" s="26">
        <f t="shared" si="90"/>
        <v>0</v>
      </c>
      <c r="W354" s="1">
        <f t="shared" si="91"/>
        <v>1</v>
      </c>
      <c r="X354" s="26">
        <f t="shared" si="92"/>
        <v>1</v>
      </c>
      <c r="Y354" s="26">
        <f t="shared" si="93"/>
        <v>0</v>
      </c>
      <c r="Z354" s="1">
        <f t="shared" si="94"/>
        <v>1</v>
      </c>
      <c r="AA354"/>
      <c r="AB354"/>
    </row>
    <row r="355" spans="1:28" x14ac:dyDescent="0.55000000000000004">
      <c r="A355" s="1">
        <f t="shared" si="81"/>
        <v>355</v>
      </c>
      <c r="B355" t="s">
        <v>38</v>
      </c>
      <c r="C355" t="s">
        <v>339</v>
      </c>
      <c r="D355" t="s">
        <v>133</v>
      </c>
      <c r="E355" t="s">
        <v>2152</v>
      </c>
      <c r="F355" t="s">
        <v>1565</v>
      </c>
      <c r="G355" t="s">
        <v>934</v>
      </c>
      <c r="H355" t="s">
        <v>1431</v>
      </c>
      <c r="I355" t="s">
        <v>909</v>
      </c>
      <c r="J355" t="s">
        <v>2156</v>
      </c>
      <c r="K355" t="s">
        <v>937</v>
      </c>
      <c r="L355" t="s">
        <v>922</v>
      </c>
      <c r="M355" t="s">
        <v>28</v>
      </c>
      <c r="N355" s="1">
        <f t="shared" si="82"/>
        <v>5</v>
      </c>
      <c r="O355" s="1">
        <f t="shared" si="83"/>
        <v>2</v>
      </c>
      <c r="P355" s="1">
        <f t="shared" si="84"/>
        <v>7</v>
      </c>
      <c r="Q355" s="1">
        <f t="shared" si="85"/>
        <v>1</v>
      </c>
      <c r="R355" s="1">
        <f t="shared" si="86"/>
        <v>0</v>
      </c>
      <c r="S355" s="1">
        <f t="shared" si="87"/>
        <v>0</v>
      </c>
      <c r="T355" s="1">
        <f t="shared" si="88"/>
        <v>0</v>
      </c>
      <c r="U355" s="26">
        <f t="shared" si="89"/>
        <v>0</v>
      </c>
      <c r="V355" s="26">
        <f t="shared" si="90"/>
        <v>1</v>
      </c>
      <c r="W355" s="1">
        <f t="shared" si="91"/>
        <v>1</v>
      </c>
      <c r="X355" s="26">
        <f t="shared" si="92"/>
        <v>1</v>
      </c>
      <c r="Y355" s="26">
        <f t="shared" si="93"/>
        <v>1</v>
      </c>
      <c r="Z355" s="1">
        <f t="shared" si="94"/>
        <v>1</v>
      </c>
      <c r="AA355"/>
      <c r="AB355"/>
    </row>
    <row r="356" spans="1:28" x14ac:dyDescent="0.55000000000000004">
      <c r="A356" s="1">
        <f t="shared" si="81"/>
        <v>356</v>
      </c>
      <c r="B356" t="s">
        <v>38</v>
      </c>
      <c r="C356" t="s">
        <v>339</v>
      </c>
      <c r="D356" t="s">
        <v>133</v>
      </c>
      <c r="E356" t="s">
        <v>2152</v>
      </c>
      <c r="F356" t="s">
        <v>1969</v>
      </c>
      <c r="G356" t="s">
        <v>904</v>
      </c>
      <c r="H356" t="s">
        <v>575</v>
      </c>
      <c r="I356" t="s">
        <v>903</v>
      </c>
      <c r="J356" t="s">
        <v>2157</v>
      </c>
      <c r="K356" t="s">
        <v>952</v>
      </c>
      <c r="L356" t="s">
        <v>907</v>
      </c>
      <c r="M356" t="s">
        <v>28</v>
      </c>
      <c r="N356" s="1">
        <f t="shared" si="82"/>
        <v>1</v>
      </c>
      <c r="O356" s="1">
        <f t="shared" si="83"/>
        <v>0</v>
      </c>
      <c r="P356" s="1">
        <f t="shared" si="84"/>
        <v>1</v>
      </c>
      <c r="Q356" s="1">
        <f t="shared" si="85"/>
        <v>1</v>
      </c>
      <c r="R356" s="1">
        <f t="shared" si="86"/>
        <v>1</v>
      </c>
      <c r="S356" s="1">
        <f t="shared" si="87"/>
        <v>1</v>
      </c>
      <c r="T356" s="1">
        <f t="shared" si="88"/>
        <v>1</v>
      </c>
      <c r="U356" s="26">
        <f t="shared" si="89"/>
        <v>1</v>
      </c>
      <c r="V356" s="26">
        <f t="shared" si="90"/>
        <v>0</v>
      </c>
      <c r="W356" s="1">
        <f t="shared" si="91"/>
        <v>1</v>
      </c>
      <c r="X356" s="26">
        <f t="shared" si="92"/>
        <v>0</v>
      </c>
      <c r="Y356" s="26">
        <f t="shared" si="93"/>
        <v>0</v>
      </c>
      <c r="Z356" s="1">
        <f t="shared" si="94"/>
        <v>0</v>
      </c>
      <c r="AA356"/>
      <c r="AB356"/>
    </row>
    <row r="357" spans="1:28" x14ac:dyDescent="0.55000000000000004">
      <c r="A357" s="1">
        <f t="shared" si="81"/>
        <v>357</v>
      </c>
      <c r="B357" t="s">
        <v>38</v>
      </c>
      <c r="C357" t="s">
        <v>339</v>
      </c>
      <c r="D357" t="s">
        <v>133</v>
      </c>
      <c r="E357" t="s">
        <v>2152</v>
      </c>
      <c r="F357" t="s">
        <v>2158</v>
      </c>
      <c r="G357" t="s">
        <v>908</v>
      </c>
      <c r="H357" t="s">
        <v>722</v>
      </c>
      <c r="I357" t="s">
        <v>940</v>
      </c>
      <c r="J357" t="s">
        <v>2159</v>
      </c>
      <c r="K357" t="s">
        <v>911</v>
      </c>
      <c r="L357" t="s">
        <v>902</v>
      </c>
      <c r="M357" t="s">
        <v>28</v>
      </c>
      <c r="N357" s="1">
        <f t="shared" si="82"/>
        <v>3</v>
      </c>
      <c r="O357" s="1">
        <f t="shared" si="83"/>
        <v>0</v>
      </c>
      <c r="P357" s="1">
        <f t="shared" si="84"/>
        <v>3</v>
      </c>
      <c r="Q357" s="1">
        <f t="shared" si="85"/>
        <v>1</v>
      </c>
      <c r="R357" s="1">
        <f t="shared" si="86"/>
        <v>1</v>
      </c>
      <c r="S357" s="1">
        <f t="shared" si="87"/>
        <v>1</v>
      </c>
      <c r="T357" s="1">
        <f t="shared" si="88"/>
        <v>0</v>
      </c>
      <c r="U357" s="26">
        <f t="shared" si="89"/>
        <v>1</v>
      </c>
      <c r="V357" s="26">
        <f t="shared" si="90"/>
        <v>1</v>
      </c>
      <c r="W357" s="1">
        <f t="shared" si="91"/>
        <v>1</v>
      </c>
      <c r="X357" s="26">
        <f t="shared" si="92"/>
        <v>0</v>
      </c>
      <c r="Y357" s="26">
        <f t="shared" si="93"/>
        <v>0</v>
      </c>
      <c r="Z357" s="1">
        <f t="shared" si="94"/>
        <v>1</v>
      </c>
      <c r="AA357"/>
      <c r="AB357"/>
    </row>
    <row r="358" spans="1:28" x14ac:dyDescent="0.55000000000000004">
      <c r="A358" s="1">
        <f t="shared" si="81"/>
        <v>358</v>
      </c>
      <c r="B358" t="s">
        <v>38</v>
      </c>
      <c r="C358" t="s">
        <v>339</v>
      </c>
      <c r="D358" t="s">
        <v>42</v>
      </c>
      <c r="E358" t="s">
        <v>1688</v>
      </c>
      <c r="F358" t="s">
        <v>985</v>
      </c>
      <c r="G358" t="s">
        <v>925</v>
      </c>
      <c r="H358" t="s">
        <v>590</v>
      </c>
      <c r="I358" t="s">
        <v>898</v>
      </c>
      <c r="J358" t="s">
        <v>1689</v>
      </c>
      <c r="K358" t="s">
        <v>1346</v>
      </c>
      <c r="L358" t="s">
        <v>1122</v>
      </c>
      <c r="M358" t="s">
        <v>28</v>
      </c>
      <c r="N358" s="1">
        <f t="shared" si="82"/>
        <v>0</v>
      </c>
      <c r="O358" s="1">
        <f t="shared" si="83"/>
        <v>1</v>
      </c>
      <c r="P358" s="1">
        <f t="shared" si="84"/>
        <v>1</v>
      </c>
      <c r="Q358" s="1">
        <f t="shared" si="85"/>
        <v>1</v>
      </c>
      <c r="R358" s="1">
        <f t="shared" si="86"/>
        <v>1</v>
      </c>
      <c r="S358" s="1">
        <f t="shared" si="87"/>
        <v>1</v>
      </c>
      <c r="T358" s="1">
        <f t="shared" si="88"/>
        <v>1</v>
      </c>
      <c r="U358" s="26">
        <f t="shared" si="89"/>
        <v>0</v>
      </c>
      <c r="V358" s="26">
        <f t="shared" si="90"/>
        <v>0</v>
      </c>
      <c r="W358" s="1">
        <f t="shared" si="91"/>
        <v>1</v>
      </c>
      <c r="X358" s="26">
        <f t="shared" si="92"/>
        <v>1</v>
      </c>
      <c r="Y358" s="26">
        <f t="shared" si="93"/>
        <v>0</v>
      </c>
      <c r="Z358" s="1">
        <f t="shared" si="94"/>
        <v>0</v>
      </c>
      <c r="AA358"/>
      <c r="AB358"/>
    </row>
    <row r="359" spans="1:28" x14ac:dyDescent="0.55000000000000004">
      <c r="A359" s="1">
        <f t="shared" si="81"/>
        <v>359</v>
      </c>
      <c r="B359" t="s">
        <v>38</v>
      </c>
      <c r="C359" t="s">
        <v>339</v>
      </c>
      <c r="D359" t="s">
        <v>42</v>
      </c>
      <c r="E359" t="s">
        <v>1688</v>
      </c>
      <c r="F359" t="s">
        <v>985</v>
      </c>
      <c r="G359" t="s">
        <v>930</v>
      </c>
      <c r="H359" t="s">
        <v>739</v>
      </c>
      <c r="I359" t="s">
        <v>981</v>
      </c>
      <c r="J359" t="s">
        <v>1690</v>
      </c>
      <c r="K359" t="s">
        <v>976</v>
      </c>
      <c r="L359" t="s">
        <v>917</v>
      </c>
      <c r="M359" t="s">
        <v>28</v>
      </c>
      <c r="N359" s="1">
        <f t="shared" si="82"/>
        <v>0</v>
      </c>
      <c r="O359" s="1">
        <f t="shared" si="83"/>
        <v>3</v>
      </c>
      <c r="P359" s="1">
        <f t="shared" si="84"/>
        <v>3</v>
      </c>
      <c r="Q359" s="1">
        <f t="shared" si="85"/>
        <v>1</v>
      </c>
      <c r="R359" s="1">
        <f t="shared" si="86"/>
        <v>1</v>
      </c>
      <c r="S359" s="1">
        <f t="shared" si="87"/>
        <v>1</v>
      </c>
      <c r="T359" s="1">
        <f t="shared" si="88"/>
        <v>1</v>
      </c>
      <c r="U359" s="26">
        <f t="shared" si="89"/>
        <v>0</v>
      </c>
      <c r="V359" s="26">
        <f t="shared" si="90"/>
        <v>0</v>
      </c>
      <c r="W359" s="1">
        <f t="shared" si="91"/>
        <v>0</v>
      </c>
      <c r="X359" s="26">
        <f t="shared" si="92"/>
        <v>1</v>
      </c>
      <c r="Y359" s="26">
        <f t="shared" si="93"/>
        <v>1</v>
      </c>
      <c r="Z359" s="1">
        <f t="shared" si="94"/>
        <v>1</v>
      </c>
      <c r="AA359"/>
      <c r="AB359"/>
    </row>
    <row r="360" spans="1:28" x14ac:dyDescent="0.55000000000000004">
      <c r="A360" s="1">
        <f t="shared" si="81"/>
        <v>360</v>
      </c>
      <c r="B360" t="s">
        <v>38</v>
      </c>
      <c r="C360" t="s">
        <v>339</v>
      </c>
      <c r="D360" t="s">
        <v>42</v>
      </c>
      <c r="E360" t="s">
        <v>1688</v>
      </c>
      <c r="F360" t="s">
        <v>1565</v>
      </c>
      <c r="G360" t="s">
        <v>899</v>
      </c>
      <c r="H360" t="s">
        <v>640</v>
      </c>
      <c r="I360" t="s">
        <v>924</v>
      </c>
      <c r="J360" t="s">
        <v>1691</v>
      </c>
      <c r="K360" t="s">
        <v>973</v>
      </c>
      <c r="L360" t="s">
        <v>1087</v>
      </c>
      <c r="M360" t="s">
        <v>28</v>
      </c>
      <c r="N360" s="1">
        <f t="shared" si="82"/>
        <v>1</v>
      </c>
      <c r="O360" s="1">
        <f t="shared" si="83"/>
        <v>4</v>
      </c>
      <c r="P360" s="1">
        <f t="shared" si="84"/>
        <v>5</v>
      </c>
      <c r="Q360" s="1">
        <f t="shared" si="85"/>
        <v>1</v>
      </c>
      <c r="R360" s="1">
        <f t="shared" si="86"/>
        <v>0</v>
      </c>
      <c r="S360" s="1">
        <f t="shared" si="87"/>
        <v>0</v>
      </c>
      <c r="T360" s="1">
        <f t="shared" si="88"/>
        <v>1</v>
      </c>
      <c r="U360" s="26">
        <f t="shared" si="89"/>
        <v>1</v>
      </c>
      <c r="V360" s="26">
        <f t="shared" si="90"/>
        <v>0</v>
      </c>
      <c r="W360" s="1">
        <f t="shared" si="91"/>
        <v>0</v>
      </c>
      <c r="X360" s="26">
        <f t="shared" si="92"/>
        <v>0</v>
      </c>
      <c r="Y360" s="26">
        <f t="shared" si="93"/>
        <v>1</v>
      </c>
      <c r="Z360" s="1">
        <f t="shared" si="94"/>
        <v>1</v>
      </c>
      <c r="AA360"/>
      <c r="AB360"/>
    </row>
    <row r="361" spans="1:28" x14ac:dyDescent="0.55000000000000004">
      <c r="A361" s="1">
        <f t="shared" si="81"/>
        <v>361</v>
      </c>
      <c r="B361" t="s">
        <v>38</v>
      </c>
      <c r="C361" t="s">
        <v>339</v>
      </c>
      <c r="D361" t="s">
        <v>42</v>
      </c>
      <c r="E361" t="s">
        <v>1688</v>
      </c>
      <c r="F361" t="s">
        <v>1565</v>
      </c>
      <c r="G361" t="s">
        <v>929</v>
      </c>
      <c r="H361" t="s">
        <v>608</v>
      </c>
      <c r="I361" t="s">
        <v>945</v>
      </c>
      <c r="J361" t="s">
        <v>1692</v>
      </c>
      <c r="K361" t="s">
        <v>932</v>
      </c>
      <c r="L361" t="s">
        <v>960</v>
      </c>
      <c r="M361" t="s">
        <v>28</v>
      </c>
      <c r="N361" s="1">
        <f t="shared" si="82"/>
        <v>1</v>
      </c>
      <c r="O361" s="1">
        <f t="shared" si="83"/>
        <v>1</v>
      </c>
      <c r="P361" s="1">
        <f t="shared" si="84"/>
        <v>2</v>
      </c>
      <c r="Q361" s="1">
        <f t="shared" si="85"/>
        <v>0</v>
      </c>
      <c r="R361" s="1">
        <f t="shared" si="86"/>
        <v>1</v>
      </c>
      <c r="S361" s="1">
        <f t="shared" si="87"/>
        <v>0</v>
      </c>
      <c r="T361" s="1">
        <f t="shared" si="88"/>
        <v>1</v>
      </c>
      <c r="U361" s="26">
        <f t="shared" si="89"/>
        <v>1</v>
      </c>
      <c r="V361" s="26">
        <f t="shared" si="90"/>
        <v>0</v>
      </c>
      <c r="W361" s="1">
        <f t="shared" si="91"/>
        <v>1</v>
      </c>
      <c r="X361" s="26">
        <f t="shared" si="92"/>
        <v>1</v>
      </c>
      <c r="Y361" s="26">
        <f t="shared" si="93"/>
        <v>0</v>
      </c>
      <c r="Z361" s="1">
        <f t="shared" si="94"/>
        <v>1</v>
      </c>
      <c r="AA361"/>
      <c r="AB361"/>
    </row>
    <row r="362" spans="1:28" x14ac:dyDescent="0.55000000000000004">
      <c r="A362" s="1">
        <f t="shared" si="81"/>
        <v>362</v>
      </c>
      <c r="B362" t="s">
        <v>38</v>
      </c>
      <c r="C362" t="s">
        <v>1693</v>
      </c>
      <c r="D362" t="s">
        <v>42</v>
      </c>
      <c r="E362" t="s">
        <v>1694</v>
      </c>
      <c r="F362" t="s">
        <v>985</v>
      </c>
      <c r="G362" t="s">
        <v>945</v>
      </c>
      <c r="H362" t="s">
        <v>708</v>
      </c>
      <c r="I362" t="s">
        <v>898</v>
      </c>
      <c r="J362" t="s">
        <v>1695</v>
      </c>
      <c r="K362" t="s">
        <v>947</v>
      </c>
      <c r="L362" t="s">
        <v>1095</v>
      </c>
      <c r="M362" t="s">
        <v>28</v>
      </c>
      <c r="N362" s="1">
        <f t="shared" si="82"/>
        <v>0</v>
      </c>
      <c r="O362" s="1">
        <f t="shared" si="83"/>
        <v>0</v>
      </c>
      <c r="P362" s="1">
        <f t="shared" si="84"/>
        <v>0</v>
      </c>
      <c r="Q362" s="1">
        <f t="shared" si="85"/>
        <v>0</v>
      </c>
      <c r="R362" s="1">
        <f t="shared" si="86"/>
        <v>1</v>
      </c>
      <c r="S362" s="1">
        <f t="shared" si="87"/>
        <v>0</v>
      </c>
      <c r="T362" s="1">
        <f t="shared" si="88"/>
        <v>1</v>
      </c>
      <c r="U362" s="26">
        <f t="shared" si="89"/>
        <v>0</v>
      </c>
      <c r="V362" s="26">
        <f t="shared" si="90"/>
        <v>0</v>
      </c>
      <c r="W362" s="1">
        <f t="shared" si="91"/>
        <v>1</v>
      </c>
      <c r="X362" s="26">
        <f t="shared" si="92"/>
        <v>0</v>
      </c>
      <c r="Y362" s="26">
        <f t="shared" si="93"/>
        <v>0</v>
      </c>
      <c r="Z362" s="1">
        <f t="shared" si="94"/>
        <v>0</v>
      </c>
      <c r="AA362"/>
      <c r="AB362"/>
    </row>
    <row r="363" spans="1:28" x14ac:dyDescent="0.55000000000000004">
      <c r="A363" s="1">
        <f t="shared" si="81"/>
        <v>363</v>
      </c>
      <c r="B363" t="s">
        <v>38</v>
      </c>
      <c r="C363" t="s">
        <v>1693</v>
      </c>
      <c r="D363" t="s">
        <v>42</v>
      </c>
      <c r="E363" t="s">
        <v>1694</v>
      </c>
      <c r="F363" t="s">
        <v>985</v>
      </c>
      <c r="G363" t="s">
        <v>913</v>
      </c>
      <c r="H363" t="s">
        <v>590</v>
      </c>
      <c r="I363" t="s">
        <v>940</v>
      </c>
      <c r="J363" t="s">
        <v>1696</v>
      </c>
      <c r="K363" t="s">
        <v>916</v>
      </c>
      <c r="L363" t="s">
        <v>954</v>
      </c>
      <c r="M363" t="s">
        <v>28</v>
      </c>
      <c r="N363" s="1">
        <f t="shared" si="82"/>
        <v>0</v>
      </c>
      <c r="O363" s="1">
        <f t="shared" si="83"/>
        <v>1</v>
      </c>
      <c r="P363" s="1">
        <f t="shared" si="84"/>
        <v>1</v>
      </c>
      <c r="Q363" s="1">
        <f t="shared" si="85"/>
        <v>1</v>
      </c>
      <c r="R363" s="1">
        <f t="shared" si="86"/>
        <v>1</v>
      </c>
      <c r="S363" s="1">
        <f t="shared" si="87"/>
        <v>1</v>
      </c>
      <c r="T363" s="1">
        <f t="shared" si="88"/>
        <v>1</v>
      </c>
      <c r="U363" s="26">
        <f t="shared" si="89"/>
        <v>0</v>
      </c>
      <c r="V363" s="26">
        <f t="shared" si="90"/>
        <v>0</v>
      </c>
      <c r="W363" s="1">
        <f t="shared" si="91"/>
        <v>1</v>
      </c>
      <c r="X363" s="26">
        <f t="shared" si="92"/>
        <v>1</v>
      </c>
      <c r="Y363" s="26">
        <f t="shared" si="93"/>
        <v>0</v>
      </c>
      <c r="Z363" s="1">
        <f t="shared" si="94"/>
        <v>0</v>
      </c>
      <c r="AA363"/>
      <c r="AB363"/>
    </row>
    <row r="364" spans="1:28" x14ac:dyDescent="0.55000000000000004">
      <c r="A364" s="1">
        <f t="shared" si="81"/>
        <v>364</v>
      </c>
      <c r="B364" t="s">
        <v>38</v>
      </c>
      <c r="C364" t="s">
        <v>1693</v>
      </c>
      <c r="D364" t="s">
        <v>42</v>
      </c>
      <c r="E364" t="s">
        <v>1694</v>
      </c>
      <c r="F364" t="s">
        <v>985</v>
      </c>
      <c r="G364" t="s">
        <v>934</v>
      </c>
      <c r="H364" t="s">
        <v>575</v>
      </c>
      <c r="I364" t="s">
        <v>899</v>
      </c>
      <c r="J364" t="s">
        <v>1697</v>
      </c>
      <c r="K364" t="s">
        <v>937</v>
      </c>
      <c r="L364" t="s">
        <v>917</v>
      </c>
      <c r="M364" t="s">
        <v>28</v>
      </c>
      <c r="N364" s="1">
        <f t="shared" si="82"/>
        <v>1</v>
      </c>
      <c r="O364" s="1">
        <f t="shared" si="83"/>
        <v>0</v>
      </c>
      <c r="P364" s="1">
        <f t="shared" si="84"/>
        <v>1</v>
      </c>
      <c r="Q364" s="1">
        <f t="shared" si="85"/>
        <v>1</v>
      </c>
      <c r="R364" s="1">
        <f t="shared" si="86"/>
        <v>1</v>
      </c>
      <c r="S364" s="1">
        <f t="shared" si="87"/>
        <v>1</v>
      </c>
      <c r="T364" s="1">
        <f t="shared" si="88"/>
        <v>1</v>
      </c>
      <c r="U364" s="26">
        <f t="shared" si="89"/>
        <v>1</v>
      </c>
      <c r="V364" s="26">
        <f t="shared" si="90"/>
        <v>0</v>
      </c>
      <c r="W364" s="1">
        <f t="shared" si="91"/>
        <v>1</v>
      </c>
      <c r="X364" s="26">
        <f t="shared" si="92"/>
        <v>0</v>
      </c>
      <c r="Y364" s="26">
        <f t="shared" si="93"/>
        <v>0</v>
      </c>
      <c r="Z364" s="1">
        <f t="shared" si="94"/>
        <v>0</v>
      </c>
      <c r="AA364"/>
      <c r="AB364"/>
    </row>
    <row r="365" spans="1:28" x14ac:dyDescent="0.55000000000000004">
      <c r="A365" s="1">
        <f t="shared" si="81"/>
        <v>365</v>
      </c>
      <c r="B365" t="s">
        <v>38</v>
      </c>
      <c r="C365" t="s">
        <v>1693</v>
      </c>
      <c r="D365" t="s">
        <v>42</v>
      </c>
      <c r="E365" t="s">
        <v>1694</v>
      </c>
      <c r="F365" t="s">
        <v>985</v>
      </c>
      <c r="G365" t="s">
        <v>935</v>
      </c>
      <c r="H365" t="s">
        <v>575</v>
      </c>
      <c r="I365" t="s">
        <v>929</v>
      </c>
      <c r="J365" t="s">
        <v>1698</v>
      </c>
      <c r="K365" t="s">
        <v>949</v>
      </c>
      <c r="L365" t="s">
        <v>984</v>
      </c>
      <c r="M365" t="s">
        <v>28</v>
      </c>
      <c r="N365" s="1">
        <f t="shared" si="82"/>
        <v>1</v>
      </c>
      <c r="O365" s="1">
        <f t="shared" si="83"/>
        <v>0</v>
      </c>
      <c r="P365" s="1">
        <f t="shared" si="84"/>
        <v>1</v>
      </c>
      <c r="Q365" s="1">
        <f t="shared" si="85"/>
        <v>1</v>
      </c>
      <c r="R365" s="1">
        <f t="shared" si="86"/>
        <v>1</v>
      </c>
      <c r="S365" s="1">
        <f t="shared" si="87"/>
        <v>1</v>
      </c>
      <c r="T365" s="1">
        <f t="shared" si="88"/>
        <v>1</v>
      </c>
      <c r="U365" s="26">
        <f t="shared" si="89"/>
        <v>1</v>
      </c>
      <c r="V365" s="26">
        <f t="shared" si="90"/>
        <v>0</v>
      </c>
      <c r="W365" s="1">
        <f t="shared" si="91"/>
        <v>1</v>
      </c>
      <c r="X365" s="26">
        <f t="shared" si="92"/>
        <v>0</v>
      </c>
      <c r="Y365" s="26">
        <f t="shared" si="93"/>
        <v>0</v>
      </c>
      <c r="Z365" s="1">
        <f t="shared" si="94"/>
        <v>0</v>
      </c>
      <c r="AA365"/>
      <c r="AB365"/>
    </row>
    <row r="366" spans="1:28" x14ac:dyDescent="0.55000000000000004">
      <c r="A366" s="1">
        <f t="shared" si="81"/>
        <v>366</v>
      </c>
      <c r="B366" t="s">
        <v>38</v>
      </c>
      <c r="C366" t="s">
        <v>1693</v>
      </c>
      <c r="D366" t="s">
        <v>42</v>
      </c>
      <c r="E366" t="s">
        <v>1694</v>
      </c>
      <c r="F366" t="s">
        <v>985</v>
      </c>
      <c r="G366" t="s">
        <v>981</v>
      </c>
      <c r="H366" t="s">
        <v>570</v>
      </c>
      <c r="I366" t="s">
        <v>924</v>
      </c>
      <c r="J366" t="s">
        <v>1699</v>
      </c>
      <c r="K366" t="s">
        <v>1086</v>
      </c>
      <c r="L366" t="s">
        <v>1122</v>
      </c>
      <c r="M366" t="s">
        <v>28</v>
      </c>
      <c r="N366" s="1">
        <f t="shared" si="82"/>
        <v>3</v>
      </c>
      <c r="O366" s="1">
        <f t="shared" si="83"/>
        <v>1</v>
      </c>
      <c r="P366" s="1">
        <f t="shared" si="84"/>
        <v>4</v>
      </c>
      <c r="Q366" s="1">
        <f t="shared" si="85"/>
        <v>1</v>
      </c>
      <c r="R366" s="1">
        <f t="shared" si="86"/>
        <v>1</v>
      </c>
      <c r="S366" s="1">
        <f t="shared" si="87"/>
        <v>1</v>
      </c>
      <c r="T366" s="1">
        <f t="shared" si="88"/>
        <v>0</v>
      </c>
      <c r="U366" s="26">
        <f t="shared" si="89"/>
        <v>1</v>
      </c>
      <c r="V366" s="26">
        <f t="shared" si="90"/>
        <v>1</v>
      </c>
      <c r="W366" s="1">
        <f t="shared" si="91"/>
        <v>1</v>
      </c>
      <c r="X366" s="26">
        <f t="shared" si="92"/>
        <v>1</v>
      </c>
      <c r="Y366" s="26">
        <f t="shared" si="93"/>
        <v>0</v>
      </c>
      <c r="Z366" s="1">
        <f t="shared" si="94"/>
        <v>1</v>
      </c>
      <c r="AA366"/>
      <c r="AB366"/>
    </row>
    <row r="367" spans="1:28" x14ac:dyDescent="0.55000000000000004">
      <c r="A367" s="1">
        <f t="shared" si="81"/>
        <v>367</v>
      </c>
      <c r="B367" t="s">
        <v>38</v>
      </c>
      <c r="C367" t="s">
        <v>1693</v>
      </c>
      <c r="D367" t="s">
        <v>42</v>
      </c>
      <c r="E367" t="s">
        <v>1694</v>
      </c>
      <c r="F367" t="s">
        <v>985</v>
      </c>
      <c r="G367" t="s">
        <v>909</v>
      </c>
      <c r="H367" t="s">
        <v>577</v>
      </c>
      <c r="I367" t="s">
        <v>904</v>
      </c>
      <c r="J367" t="s">
        <v>1700</v>
      </c>
      <c r="K367" t="s">
        <v>965</v>
      </c>
      <c r="L367" t="s">
        <v>1092</v>
      </c>
      <c r="M367" t="s">
        <v>28</v>
      </c>
      <c r="N367" s="1">
        <f t="shared" si="82"/>
        <v>1</v>
      </c>
      <c r="O367" s="1">
        <f t="shared" si="83"/>
        <v>3</v>
      </c>
      <c r="P367" s="1">
        <f t="shared" si="84"/>
        <v>4</v>
      </c>
      <c r="Q367" s="1">
        <f t="shared" si="85"/>
        <v>1</v>
      </c>
      <c r="R367" s="1">
        <f t="shared" si="86"/>
        <v>1</v>
      </c>
      <c r="S367" s="1">
        <f t="shared" si="87"/>
        <v>1</v>
      </c>
      <c r="T367" s="1">
        <f t="shared" si="88"/>
        <v>1</v>
      </c>
      <c r="U367" s="26">
        <f t="shared" si="89"/>
        <v>1</v>
      </c>
      <c r="V367" s="26">
        <f t="shared" si="90"/>
        <v>0</v>
      </c>
      <c r="W367" s="1">
        <f t="shared" si="91"/>
        <v>0</v>
      </c>
      <c r="X367" s="26">
        <f t="shared" si="92"/>
        <v>1</v>
      </c>
      <c r="Y367" s="26">
        <f t="shared" si="93"/>
        <v>1</v>
      </c>
      <c r="Z367" s="1">
        <f t="shared" si="94"/>
        <v>1</v>
      </c>
      <c r="AA367"/>
      <c r="AB367"/>
    </row>
    <row r="368" spans="1:28" x14ac:dyDescent="0.55000000000000004">
      <c r="A368" s="1">
        <f t="shared" si="81"/>
        <v>368</v>
      </c>
      <c r="B368" t="s">
        <v>38</v>
      </c>
      <c r="C368" t="s">
        <v>1693</v>
      </c>
      <c r="D368" t="s">
        <v>42</v>
      </c>
      <c r="E368" t="s">
        <v>1694</v>
      </c>
      <c r="F368" t="s">
        <v>985</v>
      </c>
      <c r="G368" t="s">
        <v>914</v>
      </c>
      <c r="H368" t="s">
        <v>590</v>
      </c>
      <c r="I368" t="s">
        <v>919</v>
      </c>
      <c r="J368" t="s">
        <v>1701</v>
      </c>
      <c r="K368" t="s">
        <v>901</v>
      </c>
      <c r="L368" t="s">
        <v>1078</v>
      </c>
      <c r="M368" t="s">
        <v>28</v>
      </c>
      <c r="N368" s="1">
        <f t="shared" si="82"/>
        <v>0</v>
      </c>
      <c r="O368" s="1">
        <f t="shared" si="83"/>
        <v>1</v>
      </c>
      <c r="P368" s="1">
        <f t="shared" si="84"/>
        <v>1</v>
      </c>
      <c r="Q368" s="1">
        <f t="shared" si="85"/>
        <v>1</v>
      </c>
      <c r="R368" s="1">
        <f t="shared" si="86"/>
        <v>1</v>
      </c>
      <c r="S368" s="1">
        <f t="shared" si="87"/>
        <v>1</v>
      </c>
      <c r="T368" s="1">
        <f t="shared" si="88"/>
        <v>1</v>
      </c>
      <c r="U368" s="26">
        <f t="shared" si="89"/>
        <v>0</v>
      </c>
      <c r="V368" s="26">
        <f t="shared" si="90"/>
        <v>0</v>
      </c>
      <c r="W368" s="1">
        <f t="shared" si="91"/>
        <v>1</v>
      </c>
      <c r="X368" s="26">
        <f t="shared" si="92"/>
        <v>1</v>
      </c>
      <c r="Y368" s="26">
        <f t="shared" si="93"/>
        <v>0</v>
      </c>
      <c r="Z368" s="1">
        <f t="shared" si="94"/>
        <v>0</v>
      </c>
      <c r="AA368"/>
      <c r="AB368"/>
    </row>
    <row r="369" spans="1:28" x14ac:dyDescent="0.55000000000000004">
      <c r="A369" s="1">
        <f t="shared" si="81"/>
        <v>369</v>
      </c>
      <c r="B369" t="s">
        <v>38</v>
      </c>
      <c r="C369" t="s">
        <v>1693</v>
      </c>
      <c r="D369" t="s">
        <v>42</v>
      </c>
      <c r="E369" t="s">
        <v>1694</v>
      </c>
      <c r="F369" t="s">
        <v>985</v>
      </c>
      <c r="G369" t="s">
        <v>918</v>
      </c>
      <c r="H369" t="s">
        <v>590</v>
      </c>
      <c r="I369" t="s">
        <v>930</v>
      </c>
      <c r="J369" t="s">
        <v>1702</v>
      </c>
      <c r="K369" t="s">
        <v>921</v>
      </c>
      <c r="L369" t="s">
        <v>933</v>
      </c>
      <c r="M369" t="s">
        <v>28</v>
      </c>
      <c r="N369" s="1">
        <f t="shared" si="82"/>
        <v>0</v>
      </c>
      <c r="O369" s="1">
        <f t="shared" si="83"/>
        <v>1</v>
      </c>
      <c r="P369" s="1">
        <f t="shared" si="84"/>
        <v>1</v>
      </c>
      <c r="Q369" s="1">
        <f t="shared" si="85"/>
        <v>1</v>
      </c>
      <c r="R369" s="1">
        <f t="shared" si="86"/>
        <v>1</v>
      </c>
      <c r="S369" s="1">
        <f t="shared" si="87"/>
        <v>1</v>
      </c>
      <c r="T369" s="1">
        <f t="shared" si="88"/>
        <v>1</v>
      </c>
      <c r="U369" s="26">
        <f t="shared" si="89"/>
        <v>0</v>
      </c>
      <c r="V369" s="26">
        <f t="shared" si="90"/>
        <v>0</v>
      </c>
      <c r="W369" s="1">
        <f t="shared" si="91"/>
        <v>1</v>
      </c>
      <c r="X369" s="26">
        <f t="shared" si="92"/>
        <v>1</v>
      </c>
      <c r="Y369" s="26">
        <f t="shared" si="93"/>
        <v>0</v>
      </c>
      <c r="Z369" s="1">
        <f t="shared" si="94"/>
        <v>0</v>
      </c>
      <c r="AA369"/>
      <c r="AB369"/>
    </row>
    <row r="370" spans="1:28" x14ac:dyDescent="0.55000000000000004">
      <c r="A370" s="1">
        <f t="shared" si="81"/>
        <v>370</v>
      </c>
      <c r="B370" t="s">
        <v>38</v>
      </c>
      <c r="C370" t="s">
        <v>1693</v>
      </c>
      <c r="D370" t="s">
        <v>42</v>
      </c>
      <c r="E370" t="s">
        <v>1694</v>
      </c>
      <c r="F370" t="s">
        <v>985</v>
      </c>
      <c r="G370" t="s">
        <v>925</v>
      </c>
      <c r="H370" t="s">
        <v>570</v>
      </c>
      <c r="I370" t="s">
        <v>903</v>
      </c>
      <c r="J370" t="s">
        <v>1703</v>
      </c>
      <c r="K370" t="s">
        <v>1082</v>
      </c>
      <c r="L370" t="s">
        <v>928</v>
      </c>
      <c r="M370" t="s">
        <v>28</v>
      </c>
      <c r="N370" s="1">
        <f t="shared" si="82"/>
        <v>3</v>
      </c>
      <c r="O370" s="1">
        <f t="shared" si="83"/>
        <v>1</v>
      </c>
      <c r="P370" s="1">
        <f t="shared" si="84"/>
        <v>4</v>
      </c>
      <c r="Q370" s="1">
        <f t="shared" si="85"/>
        <v>1</v>
      </c>
      <c r="R370" s="1">
        <f t="shared" si="86"/>
        <v>1</v>
      </c>
      <c r="S370" s="1">
        <f t="shared" si="87"/>
        <v>1</v>
      </c>
      <c r="T370" s="1">
        <f t="shared" si="88"/>
        <v>0</v>
      </c>
      <c r="U370" s="26">
        <f t="shared" si="89"/>
        <v>1</v>
      </c>
      <c r="V370" s="26">
        <f t="shared" si="90"/>
        <v>1</v>
      </c>
      <c r="W370" s="1">
        <f t="shared" si="91"/>
        <v>1</v>
      </c>
      <c r="X370" s="26">
        <f t="shared" si="92"/>
        <v>1</v>
      </c>
      <c r="Y370" s="26">
        <f t="shared" si="93"/>
        <v>0</v>
      </c>
      <c r="Z370" s="1">
        <f t="shared" si="94"/>
        <v>1</v>
      </c>
      <c r="AA370"/>
      <c r="AB370"/>
    </row>
    <row r="371" spans="1:28" x14ac:dyDescent="0.55000000000000004">
      <c r="A371" s="1">
        <f t="shared" si="81"/>
        <v>371</v>
      </c>
      <c r="B371" t="s">
        <v>38</v>
      </c>
      <c r="C371" t="s">
        <v>1693</v>
      </c>
      <c r="D371" t="s">
        <v>42</v>
      </c>
      <c r="E371" t="s">
        <v>1694</v>
      </c>
      <c r="F371" t="s">
        <v>985</v>
      </c>
      <c r="G371" t="s">
        <v>979</v>
      </c>
      <c r="H371" t="s">
        <v>581</v>
      </c>
      <c r="I371" t="s">
        <v>908</v>
      </c>
      <c r="J371" t="s">
        <v>1704</v>
      </c>
      <c r="K371" t="s">
        <v>1102</v>
      </c>
      <c r="L371" t="s">
        <v>974</v>
      </c>
      <c r="M371" t="s">
        <v>28</v>
      </c>
      <c r="N371" s="1">
        <f t="shared" si="82"/>
        <v>1</v>
      </c>
      <c r="O371" s="1">
        <f t="shared" si="83"/>
        <v>2</v>
      </c>
      <c r="P371" s="1">
        <f t="shared" si="84"/>
        <v>3</v>
      </c>
      <c r="Q371" s="1">
        <f t="shared" si="85"/>
        <v>1</v>
      </c>
      <c r="R371" s="1">
        <f t="shared" si="86"/>
        <v>1</v>
      </c>
      <c r="S371" s="1">
        <f t="shared" si="87"/>
        <v>1</v>
      </c>
      <c r="T371" s="1">
        <f t="shared" si="88"/>
        <v>1</v>
      </c>
      <c r="U371" s="26">
        <f t="shared" si="89"/>
        <v>1</v>
      </c>
      <c r="V371" s="26">
        <f t="shared" si="90"/>
        <v>0</v>
      </c>
      <c r="W371" s="1">
        <f t="shared" si="91"/>
        <v>1</v>
      </c>
      <c r="X371" s="26">
        <f t="shared" si="92"/>
        <v>1</v>
      </c>
      <c r="Y371" s="26">
        <f t="shared" si="93"/>
        <v>1</v>
      </c>
      <c r="Z371" s="1">
        <f t="shared" si="94"/>
        <v>1</v>
      </c>
      <c r="AA371"/>
      <c r="AB371"/>
    </row>
    <row r="372" spans="1:28" x14ac:dyDescent="0.55000000000000004">
      <c r="A372" s="1">
        <f t="shared" si="81"/>
        <v>372</v>
      </c>
      <c r="B372" t="s">
        <v>38</v>
      </c>
      <c r="C372" t="s">
        <v>2160</v>
      </c>
      <c r="D372" t="s">
        <v>133</v>
      </c>
      <c r="E372" t="s">
        <v>2161</v>
      </c>
      <c r="F372" t="s">
        <v>1556</v>
      </c>
      <c r="G372" t="s">
        <v>908</v>
      </c>
      <c r="H372" t="s">
        <v>579</v>
      </c>
      <c r="I372" t="s">
        <v>934</v>
      </c>
      <c r="J372" t="s">
        <v>2162</v>
      </c>
      <c r="K372" t="s">
        <v>911</v>
      </c>
      <c r="L372" t="s">
        <v>960</v>
      </c>
      <c r="M372" t="s">
        <v>28</v>
      </c>
      <c r="N372" s="1">
        <f t="shared" si="82"/>
        <v>2</v>
      </c>
      <c r="O372" s="1">
        <f t="shared" si="83"/>
        <v>1</v>
      </c>
      <c r="P372" s="1">
        <f t="shared" si="84"/>
        <v>3</v>
      </c>
      <c r="Q372" s="1">
        <f t="shared" si="85"/>
        <v>1</v>
      </c>
      <c r="R372" s="1">
        <f t="shared" si="86"/>
        <v>1</v>
      </c>
      <c r="S372" s="1">
        <f t="shared" si="87"/>
        <v>1</v>
      </c>
      <c r="T372" s="1">
        <f t="shared" si="88"/>
        <v>1</v>
      </c>
      <c r="U372" s="26">
        <f t="shared" si="89"/>
        <v>1</v>
      </c>
      <c r="V372" s="26">
        <f t="shared" si="90"/>
        <v>1</v>
      </c>
      <c r="W372" s="1">
        <f t="shared" si="91"/>
        <v>1</v>
      </c>
      <c r="X372" s="26">
        <f t="shared" si="92"/>
        <v>1</v>
      </c>
      <c r="Y372" s="26">
        <f t="shared" si="93"/>
        <v>0</v>
      </c>
      <c r="Z372" s="1">
        <f t="shared" si="94"/>
        <v>1</v>
      </c>
      <c r="AA372"/>
      <c r="AB372"/>
    </row>
    <row r="373" spans="1:28" x14ac:dyDescent="0.55000000000000004">
      <c r="A373" s="1">
        <f t="shared" si="81"/>
        <v>373</v>
      </c>
      <c r="B373" t="s">
        <v>38</v>
      </c>
      <c r="C373" t="s">
        <v>2160</v>
      </c>
      <c r="D373" t="s">
        <v>133</v>
      </c>
      <c r="E373" t="s">
        <v>2161</v>
      </c>
      <c r="F373" t="s">
        <v>985</v>
      </c>
      <c r="G373" t="s">
        <v>899</v>
      </c>
      <c r="H373" t="s">
        <v>581</v>
      </c>
      <c r="I373" t="s">
        <v>913</v>
      </c>
      <c r="J373" t="s">
        <v>2163</v>
      </c>
      <c r="K373" t="s">
        <v>973</v>
      </c>
      <c r="L373" t="s">
        <v>1092</v>
      </c>
      <c r="M373" t="s">
        <v>28</v>
      </c>
      <c r="N373" s="1">
        <f t="shared" si="82"/>
        <v>1</v>
      </c>
      <c r="O373" s="1">
        <f t="shared" si="83"/>
        <v>2</v>
      </c>
      <c r="P373" s="1">
        <f t="shared" si="84"/>
        <v>3</v>
      </c>
      <c r="Q373" s="1">
        <f t="shared" si="85"/>
        <v>1</v>
      </c>
      <c r="R373" s="1">
        <f t="shared" si="86"/>
        <v>1</v>
      </c>
      <c r="S373" s="1">
        <f t="shared" si="87"/>
        <v>1</v>
      </c>
      <c r="T373" s="1">
        <f t="shared" si="88"/>
        <v>1</v>
      </c>
      <c r="U373" s="26">
        <f t="shared" si="89"/>
        <v>1</v>
      </c>
      <c r="V373" s="26">
        <f t="shared" si="90"/>
        <v>0</v>
      </c>
      <c r="W373" s="1">
        <f t="shared" si="91"/>
        <v>1</v>
      </c>
      <c r="X373" s="26">
        <f t="shared" si="92"/>
        <v>1</v>
      </c>
      <c r="Y373" s="26">
        <f t="shared" si="93"/>
        <v>1</v>
      </c>
      <c r="Z373" s="1">
        <f t="shared" si="94"/>
        <v>1</v>
      </c>
      <c r="AA373"/>
      <c r="AB373"/>
    </row>
    <row r="374" spans="1:28" x14ac:dyDescent="0.55000000000000004">
      <c r="A374" s="1">
        <f t="shared" si="81"/>
        <v>374</v>
      </c>
      <c r="B374" t="s">
        <v>38</v>
      </c>
      <c r="C374" t="s">
        <v>2160</v>
      </c>
      <c r="D374" t="s">
        <v>133</v>
      </c>
      <c r="E374" t="s">
        <v>2161</v>
      </c>
      <c r="F374" t="s">
        <v>985</v>
      </c>
      <c r="G374" t="s">
        <v>940</v>
      </c>
      <c r="H374" t="s">
        <v>687</v>
      </c>
      <c r="I374" t="s">
        <v>979</v>
      </c>
      <c r="J374" t="s">
        <v>2164</v>
      </c>
      <c r="K374" t="s">
        <v>942</v>
      </c>
      <c r="L374" t="s">
        <v>928</v>
      </c>
      <c r="M374" t="s">
        <v>28</v>
      </c>
      <c r="N374" s="1">
        <f t="shared" si="82"/>
        <v>4</v>
      </c>
      <c r="O374" s="1">
        <f t="shared" si="83"/>
        <v>0</v>
      </c>
      <c r="P374" s="1">
        <f t="shared" si="84"/>
        <v>4</v>
      </c>
      <c r="Q374" s="1">
        <f t="shared" si="85"/>
        <v>1</v>
      </c>
      <c r="R374" s="1">
        <f t="shared" si="86"/>
        <v>1</v>
      </c>
      <c r="S374" s="1">
        <f t="shared" si="87"/>
        <v>1</v>
      </c>
      <c r="T374" s="1">
        <f t="shared" si="88"/>
        <v>0</v>
      </c>
      <c r="U374" s="26">
        <f t="shared" si="89"/>
        <v>0</v>
      </c>
      <c r="V374" s="26">
        <f t="shared" si="90"/>
        <v>1</v>
      </c>
      <c r="W374" s="1">
        <f t="shared" si="91"/>
        <v>1</v>
      </c>
      <c r="X374" s="26">
        <f t="shared" si="92"/>
        <v>0</v>
      </c>
      <c r="Y374" s="26">
        <f t="shared" si="93"/>
        <v>0</v>
      </c>
      <c r="Z374" s="1">
        <f t="shared" si="94"/>
        <v>1</v>
      </c>
      <c r="AA374"/>
      <c r="AB374"/>
    </row>
    <row r="375" spans="1:28" x14ac:dyDescent="0.55000000000000004">
      <c r="A375" s="1">
        <f t="shared" si="81"/>
        <v>375</v>
      </c>
      <c r="B375" t="s">
        <v>38</v>
      </c>
      <c r="C375" t="s">
        <v>2160</v>
      </c>
      <c r="D375" t="s">
        <v>133</v>
      </c>
      <c r="E375" t="s">
        <v>2161</v>
      </c>
      <c r="F375" t="s">
        <v>985</v>
      </c>
      <c r="G375" t="s">
        <v>898</v>
      </c>
      <c r="H375" t="s">
        <v>608</v>
      </c>
      <c r="I375" t="s">
        <v>909</v>
      </c>
      <c r="J375" t="s">
        <v>2165</v>
      </c>
      <c r="K375" t="s">
        <v>901</v>
      </c>
      <c r="L375" t="s">
        <v>1106</v>
      </c>
      <c r="M375" t="s">
        <v>28</v>
      </c>
      <c r="N375" s="1">
        <f t="shared" si="82"/>
        <v>1</v>
      </c>
      <c r="O375" s="1">
        <f t="shared" si="83"/>
        <v>1</v>
      </c>
      <c r="P375" s="1">
        <f t="shared" si="84"/>
        <v>2</v>
      </c>
      <c r="Q375" s="1">
        <f t="shared" si="85"/>
        <v>0</v>
      </c>
      <c r="R375" s="1">
        <f t="shared" si="86"/>
        <v>1</v>
      </c>
      <c r="S375" s="1">
        <f t="shared" si="87"/>
        <v>0</v>
      </c>
      <c r="T375" s="1">
        <f t="shared" si="88"/>
        <v>1</v>
      </c>
      <c r="U375" s="26">
        <f t="shared" si="89"/>
        <v>1</v>
      </c>
      <c r="V375" s="26">
        <f t="shared" si="90"/>
        <v>0</v>
      </c>
      <c r="W375" s="1">
        <f t="shared" si="91"/>
        <v>1</v>
      </c>
      <c r="X375" s="26">
        <f t="shared" si="92"/>
        <v>1</v>
      </c>
      <c r="Y375" s="26">
        <f t="shared" si="93"/>
        <v>0</v>
      </c>
      <c r="Z375" s="1">
        <f t="shared" si="94"/>
        <v>1</v>
      </c>
      <c r="AA375"/>
      <c r="AB375"/>
    </row>
    <row r="376" spans="1:28" x14ac:dyDescent="0.55000000000000004">
      <c r="A376" s="1">
        <f t="shared" si="81"/>
        <v>376</v>
      </c>
      <c r="B376" t="s">
        <v>38</v>
      </c>
      <c r="C376" t="s">
        <v>2160</v>
      </c>
      <c r="D376" t="s">
        <v>133</v>
      </c>
      <c r="E376" t="s">
        <v>2161</v>
      </c>
      <c r="F376" t="s">
        <v>985</v>
      </c>
      <c r="G376" t="s">
        <v>930</v>
      </c>
      <c r="H376" t="s">
        <v>573</v>
      </c>
      <c r="I376" t="s">
        <v>945</v>
      </c>
      <c r="J376" t="s">
        <v>2166</v>
      </c>
      <c r="K376" t="s">
        <v>976</v>
      </c>
      <c r="L376" t="s">
        <v>1078</v>
      </c>
      <c r="M376" t="s">
        <v>28</v>
      </c>
      <c r="N376" s="1">
        <f t="shared" si="82"/>
        <v>2</v>
      </c>
      <c r="O376" s="1">
        <f t="shared" si="83"/>
        <v>0</v>
      </c>
      <c r="P376" s="1">
        <f t="shared" si="84"/>
        <v>2</v>
      </c>
      <c r="Q376" s="1">
        <f t="shared" si="85"/>
        <v>1</v>
      </c>
      <c r="R376" s="1">
        <f t="shared" si="86"/>
        <v>1</v>
      </c>
      <c r="S376" s="1">
        <f t="shared" si="87"/>
        <v>1</v>
      </c>
      <c r="T376" s="1">
        <f t="shared" si="88"/>
        <v>1</v>
      </c>
      <c r="U376" s="26">
        <f t="shared" si="89"/>
        <v>1</v>
      </c>
      <c r="V376" s="26">
        <f t="shared" si="90"/>
        <v>1</v>
      </c>
      <c r="W376" s="1">
        <f t="shared" si="91"/>
        <v>1</v>
      </c>
      <c r="X376" s="26">
        <f t="shared" si="92"/>
        <v>0</v>
      </c>
      <c r="Y376" s="26">
        <f t="shared" si="93"/>
        <v>0</v>
      </c>
      <c r="Z376" s="1">
        <f t="shared" si="94"/>
        <v>1</v>
      </c>
      <c r="AA376"/>
      <c r="AB376"/>
    </row>
    <row r="377" spans="1:28" x14ac:dyDescent="0.55000000000000004">
      <c r="A377" s="1">
        <f t="shared" si="81"/>
        <v>377</v>
      </c>
      <c r="B377" t="s">
        <v>38</v>
      </c>
      <c r="C377" t="s">
        <v>2160</v>
      </c>
      <c r="D377" t="s">
        <v>133</v>
      </c>
      <c r="E377" t="s">
        <v>2161</v>
      </c>
      <c r="F377" t="s">
        <v>985</v>
      </c>
      <c r="G377" t="s">
        <v>904</v>
      </c>
      <c r="H377" t="s">
        <v>575</v>
      </c>
      <c r="I377" t="s">
        <v>925</v>
      </c>
      <c r="J377" t="s">
        <v>2167</v>
      </c>
      <c r="K377" t="s">
        <v>952</v>
      </c>
      <c r="L377" t="s">
        <v>1095</v>
      </c>
      <c r="M377" t="s">
        <v>28</v>
      </c>
      <c r="N377" s="1">
        <f t="shared" si="82"/>
        <v>1</v>
      </c>
      <c r="O377" s="1">
        <f t="shared" si="83"/>
        <v>0</v>
      </c>
      <c r="P377" s="1">
        <f t="shared" si="84"/>
        <v>1</v>
      </c>
      <c r="Q377" s="1">
        <f t="shared" si="85"/>
        <v>1</v>
      </c>
      <c r="R377" s="1">
        <f t="shared" si="86"/>
        <v>1</v>
      </c>
      <c r="S377" s="1">
        <f t="shared" si="87"/>
        <v>1</v>
      </c>
      <c r="T377" s="1">
        <f t="shared" si="88"/>
        <v>1</v>
      </c>
      <c r="U377" s="26">
        <f t="shared" si="89"/>
        <v>1</v>
      </c>
      <c r="V377" s="26">
        <f t="shared" si="90"/>
        <v>0</v>
      </c>
      <c r="W377" s="1">
        <f t="shared" si="91"/>
        <v>1</v>
      </c>
      <c r="X377" s="26">
        <f t="shared" si="92"/>
        <v>0</v>
      </c>
      <c r="Y377" s="26">
        <f t="shared" si="93"/>
        <v>0</v>
      </c>
      <c r="Z377" s="1">
        <f t="shared" si="94"/>
        <v>0</v>
      </c>
      <c r="AA377"/>
      <c r="AB377"/>
    </row>
    <row r="378" spans="1:28" x14ac:dyDescent="0.55000000000000004">
      <c r="A378" s="1">
        <f t="shared" si="81"/>
        <v>378</v>
      </c>
      <c r="B378" t="s">
        <v>38</v>
      </c>
      <c r="C378" t="s">
        <v>2160</v>
      </c>
      <c r="D378" t="s">
        <v>133</v>
      </c>
      <c r="E378" t="s">
        <v>2161</v>
      </c>
      <c r="F378" t="s">
        <v>985</v>
      </c>
      <c r="G378" t="s">
        <v>924</v>
      </c>
      <c r="H378" t="s">
        <v>577</v>
      </c>
      <c r="I378" t="s">
        <v>918</v>
      </c>
      <c r="J378" t="s">
        <v>2168</v>
      </c>
      <c r="K378" t="s">
        <v>927</v>
      </c>
      <c r="L378" t="s">
        <v>1103</v>
      </c>
      <c r="M378" t="s">
        <v>28</v>
      </c>
      <c r="N378" s="1">
        <f t="shared" si="82"/>
        <v>1</v>
      </c>
      <c r="O378" s="1">
        <f t="shared" si="83"/>
        <v>3</v>
      </c>
      <c r="P378" s="1">
        <f t="shared" si="84"/>
        <v>4</v>
      </c>
      <c r="Q378" s="1">
        <f t="shared" si="85"/>
        <v>1</v>
      </c>
      <c r="R378" s="1">
        <f t="shared" si="86"/>
        <v>1</v>
      </c>
      <c r="S378" s="1">
        <f t="shared" si="87"/>
        <v>1</v>
      </c>
      <c r="T378" s="1">
        <f t="shared" si="88"/>
        <v>1</v>
      </c>
      <c r="U378" s="26">
        <f t="shared" si="89"/>
        <v>1</v>
      </c>
      <c r="V378" s="26">
        <f t="shared" si="90"/>
        <v>0</v>
      </c>
      <c r="W378" s="1">
        <f t="shared" si="91"/>
        <v>0</v>
      </c>
      <c r="X378" s="26">
        <f t="shared" si="92"/>
        <v>1</v>
      </c>
      <c r="Y378" s="26">
        <f t="shared" si="93"/>
        <v>1</v>
      </c>
      <c r="Z378" s="1">
        <f t="shared" si="94"/>
        <v>1</v>
      </c>
      <c r="AA378"/>
      <c r="AB378"/>
    </row>
    <row r="379" spans="1:28" x14ac:dyDescent="0.55000000000000004">
      <c r="A379" s="1">
        <f t="shared" si="81"/>
        <v>379</v>
      </c>
      <c r="B379" t="s">
        <v>38</v>
      </c>
      <c r="C379" t="s">
        <v>2160</v>
      </c>
      <c r="D379" t="s">
        <v>133</v>
      </c>
      <c r="E379" t="s">
        <v>2161</v>
      </c>
      <c r="F379" t="s">
        <v>985</v>
      </c>
      <c r="G379" t="s">
        <v>919</v>
      </c>
      <c r="H379" t="s">
        <v>579</v>
      </c>
      <c r="I379" t="s">
        <v>981</v>
      </c>
      <c r="J379" t="s">
        <v>2169</v>
      </c>
      <c r="K379" t="s">
        <v>968</v>
      </c>
      <c r="L379" t="s">
        <v>984</v>
      </c>
      <c r="M379" t="s">
        <v>28</v>
      </c>
      <c r="N379" s="1">
        <f t="shared" si="82"/>
        <v>2</v>
      </c>
      <c r="O379" s="1">
        <f t="shared" si="83"/>
        <v>1</v>
      </c>
      <c r="P379" s="1">
        <f t="shared" si="84"/>
        <v>3</v>
      </c>
      <c r="Q379" s="1">
        <f t="shared" si="85"/>
        <v>1</v>
      </c>
      <c r="R379" s="1">
        <f t="shared" si="86"/>
        <v>1</v>
      </c>
      <c r="S379" s="1">
        <f t="shared" si="87"/>
        <v>1</v>
      </c>
      <c r="T379" s="1">
        <f t="shared" si="88"/>
        <v>1</v>
      </c>
      <c r="U379" s="26">
        <f t="shared" si="89"/>
        <v>1</v>
      </c>
      <c r="V379" s="26">
        <f t="shared" si="90"/>
        <v>1</v>
      </c>
      <c r="W379" s="1">
        <f t="shared" si="91"/>
        <v>1</v>
      </c>
      <c r="X379" s="26">
        <f t="shared" si="92"/>
        <v>1</v>
      </c>
      <c r="Y379" s="26">
        <f t="shared" si="93"/>
        <v>0</v>
      </c>
      <c r="Z379" s="1">
        <f t="shared" si="94"/>
        <v>1</v>
      </c>
      <c r="AA379"/>
      <c r="AB379"/>
    </row>
    <row r="380" spans="1:28" x14ac:dyDescent="0.55000000000000004">
      <c r="A380" s="1">
        <f t="shared" si="81"/>
        <v>380</v>
      </c>
      <c r="B380" t="s">
        <v>38</v>
      </c>
      <c r="C380" t="s">
        <v>2160</v>
      </c>
      <c r="D380" t="s">
        <v>133</v>
      </c>
      <c r="E380" t="s">
        <v>2161</v>
      </c>
      <c r="F380" t="s">
        <v>985</v>
      </c>
      <c r="G380" t="s">
        <v>903</v>
      </c>
      <c r="H380" t="s">
        <v>575</v>
      </c>
      <c r="I380" t="s">
        <v>935</v>
      </c>
      <c r="J380" t="s">
        <v>2170</v>
      </c>
      <c r="K380" t="s">
        <v>906</v>
      </c>
      <c r="L380" t="s">
        <v>1099</v>
      </c>
      <c r="M380" t="s">
        <v>28</v>
      </c>
      <c r="N380" s="1">
        <f t="shared" si="82"/>
        <v>1</v>
      </c>
      <c r="O380" s="1">
        <f t="shared" si="83"/>
        <v>0</v>
      </c>
      <c r="P380" s="1">
        <f t="shared" si="84"/>
        <v>1</v>
      </c>
      <c r="Q380" s="1">
        <f t="shared" si="85"/>
        <v>1</v>
      </c>
      <c r="R380" s="1">
        <f t="shared" si="86"/>
        <v>1</v>
      </c>
      <c r="S380" s="1">
        <f t="shared" si="87"/>
        <v>1</v>
      </c>
      <c r="T380" s="1">
        <f t="shared" si="88"/>
        <v>1</v>
      </c>
      <c r="U380" s="26">
        <f t="shared" si="89"/>
        <v>1</v>
      </c>
      <c r="V380" s="26">
        <f t="shared" si="90"/>
        <v>0</v>
      </c>
      <c r="W380" s="1">
        <f t="shared" si="91"/>
        <v>1</v>
      </c>
      <c r="X380" s="26">
        <f t="shared" si="92"/>
        <v>0</v>
      </c>
      <c r="Y380" s="26">
        <f t="shared" si="93"/>
        <v>0</v>
      </c>
      <c r="Z380" s="1">
        <f t="shared" si="94"/>
        <v>0</v>
      </c>
      <c r="AA380"/>
      <c r="AB380"/>
    </row>
    <row r="381" spans="1:28" x14ac:dyDescent="0.55000000000000004">
      <c r="A381" s="1">
        <f t="shared" si="81"/>
        <v>381</v>
      </c>
      <c r="B381" t="s">
        <v>38</v>
      </c>
      <c r="C381" t="s">
        <v>2160</v>
      </c>
      <c r="D381" t="s">
        <v>133</v>
      </c>
      <c r="E381" t="s">
        <v>2161</v>
      </c>
      <c r="F381" t="s">
        <v>985</v>
      </c>
      <c r="G381" t="s">
        <v>929</v>
      </c>
      <c r="H381" t="s">
        <v>817</v>
      </c>
      <c r="I381" t="s">
        <v>914</v>
      </c>
      <c r="J381" t="s">
        <v>2171</v>
      </c>
      <c r="K381" t="s">
        <v>932</v>
      </c>
      <c r="L381" t="s">
        <v>933</v>
      </c>
      <c r="M381" t="s">
        <v>28</v>
      </c>
      <c r="N381" s="1">
        <f t="shared" si="82"/>
        <v>4</v>
      </c>
      <c r="O381" s="1">
        <f t="shared" si="83"/>
        <v>1</v>
      </c>
      <c r="P381" s="1">
        <f t="shared" si="84"/>
        <v>5</v>
      </c>
      <c r="Q381" s="1">
        <f t="shared" si="85"/>
        <v>1</v>
      </c>
      <c r="R381" s="1">
        <f t="shared" si="86"/>
        <v>0</v>
      </c>
      <c r="S381" s="1">
        <f t="shared" si="87"/>
        <v>0</v>
      </c>
      <c r="T381" s="1">
        <f t="shared" si="88"/>
        <v>0</v>
      </c>
      <c r="U381" s="26">
        <f t="shared" si="89"/>
        <v>0</v>
      </c>
      <c r="V381" s="26">
        <f t="shared" si="90"/>
        <v>1</v>
      </c>
      <c r="W381" s="1">
        <f t="shared" si="91"/>
        <v>1</v>
      </c>
      <c r="X381" s="26">
        <f t="shared" si="92"/>
        <v>1</v>
      </c>
      <c r="Y381" s="26">
        <f t="shared" si="93"/>
        <v>0</v>
      </c>
      <c r="Z381" s="1">
        <f t="shared" si="94"/>
        <v>1</v>
      </c>
      <c r="AA381"/>
      <c r="AB381"/>
    </row>
    <row r="382" spans="1:28" x14ac:dyDescent="0.55000000000000004">
      <c r="A382" s="1">
        <f t="shared" si="81"/>
        <v>382</v>
      </c>
      <c r="B382" t="s">
        <v>37</v>
      </c>
      <c r="C382" t="s">
        <v>196</v>
      </c>
      <c r="D382" t="s">
        <v>174</v>
      </c>
      <c r="E382" t="s">
        <v>1239</v>
      </c>
      <c r="F382" t="s">
        <v>315</v>
      </c>
      <c r="G382" t="s">
        <v>326</v>
      </c>
      <c r="H382" t="s">
        <v>590</v>
      </c>
      <c r="I382" t="s">
        <v>318</v>
      </c>
      <c r="J382" t="s">
        <v>1240</v>
      </c>
      <c r="K382" t="s">
        <v>327</v>
      </c>
      <c r="L382" t="s">
        <v>587</v>
      </c>
      <c r="M382" t="s">
        <v>28</v>
      </c>
      <c r="N382" s="1">
        <f t="shared" si="82"/>
        <v>0</v>
      </c>
      <c r="O382" s="1">
        <f t="shared" si="83"/>
        <v>1</v>
      </c>
      <c r="P382" s="1">
        <f t="shared" si="84"/>
        <v>1</v>
      </c>
      <c r="Q382" s="1">
        <f t="shared" si="85"/>
        <v>1</v>
      </c>
      <c r="R382" s="1">
        <f t="shared" si="86"/>
        <v>1</v>
      </c>
      <c r="S382" s="1">
        <f t="shared" si="87"/>
        <v>1</v>
      </c>
      <c r="T382" s="1">
        <f t="shared" si="88"/>
        <v>1</v>
      </c>
      <c r="U382" s="26">
        <f t="shared" si="89"/>
        <v>0</v>
      </c>
      <c r="V382" s="26">
        <f t="shared" si="90"/>
        <v>0</v>
      </c>
      <c r="W382" s="1">
        <f t="shared" si="91"/>
        <v>1</v>
      </c>
      <c r="X382" s="26">
        <f t="shared" si="92"/>
        <v>1</v>
      </c>
      <c r="Y382" s="26">
        <f t="shared" si="93"/>
        <v>0</v>
      </c>
      <c r="Z382" s="1">
        <f t="shared" si="94"/>
        <v>0</v>
      </c>
      <c r="AA382"/>
      <c r="AB382"/>
    </row>
    <row r="383" spans="1:28" x14ac:dyDescent="0.55000000000000004">
      <c r="A383" s="1">
        <f t="shared" si="81"/>
        <v>383</v>
      </c>
      <c r="B383" t="s">
        <v>37</v>
      </c>
      <c r="C383" t="s">
        <v>196</v>
      </c>
      <c r="D383" t="s">
        <v>174</v>
      </c>
      <c r="E383" t="s">
        <v>1239</v>
      </c>
      <c r="F383" t="s">
        <v>315</v>
      </c>
      <c r="G383" t="s">
        <v>321</v>
      </c>
      <c r="H383" t="s">
        <v>608</v>
      </c>
      <c r="I383" t="s">
        <v>328</v>
      </c>
      <c r="J383" t="s">
        <v>1241</v>
      </c>
      <c r="K383" t="s">
        <v>323</v>
      </c>
      <c r="L383" t="s">
        <v>1242</v>
      </c>
      <c r="M383" t="s">
        <v>28</v>
      </c>
      <c r="N383" s="1">
        <f t="shared" si="82"/>
        <v>1</v>
      </c>
      <c r="O383" s="1">
        <f t="shared" si="83"/>
        <v>1</v>
      </c>
      <c r="P383" s="1">
        <f t="shared" si="84"/>
        <v>2</v>
      </c>
      <c r="Q383" s="1">
        <f t="shared" si="85"/>
        <v>0</v>
      </c>
      <c r="R383" s="1">
        <f t="shared" si="86"/>
        <v>1</v>
      </c>
      <c r="S383" s="1">
        <f t="shared" si="87"/>
        <v>0</v>
      </c>
      <c r="T383" s="1">
        <f t="shared" si="88"/>
        <v>1</v>
      </c>
      <c r="U383" s="26">
        <f t="shared" si="89"/>
        <v>1</v>
      </c>
      <c r="V383" s="26">
        <f t="shared" si="90"/>
        <v>0</v>
      </c>
      <c r="W383" s="1">
        <f t="shared" si="91"/>
        <v>1</v>
      </c>
      <c r="X383" s="26">
        <f t="shared" si="92"/>
        <v>1</v>
      </c>
      <c r="Y383" s="26">
        <f t="shared" si="93"/>
        <v>0</v>
      </c>
      <c r="Z383" s="1">
        <f t="shared" si="94"/>
        <v>1</v>
      </c>
      <c r="AA383"/>
      <c r="AB383"/>
    </row>
    <row r="384" spans="1:28" x14ac:dyDescent="0.55000000000000004">
      <c r="A384" s="1">
        <f t="shared" si="81"/>
        <v>384</v>
      </c>
      <c r="B384" t="s">
        <v>37</v>
      </c>
      <c r="C384" t="s">
        <v>196</v>
      </c>
      <c r="D384" t="s">
        <v>174</v>
      </c>
      <c r="E384" t="s">
        <v>1239</v>
      </c>
      <c r="F384" t="s">
        <v>311</v>
      </c>
      <c r="G384" t="s">
        <v>324</v>
      </c>
      <c r="H384" t="s">
        <v>579</v>
      </c>
      <c r="I384" t="s">
        <v>316</v>
      </c>
      <c r="J384" t="s">
        <v>1243</v>
      </c>
      <c r="K384" t="s">
        <v>325</v>
      </c>
      <c r="L384" t="s">
        <v>589</v>
      </c>
      <c r="M384" t="s">
        <v>28</v>
      </c>
      <c r="N384" s="1">
        <f t="shared" si="82"/>
        <v>2</v>
      </c>
      <c r="O384" s="1">
        <f t="shared" si="83"/>
        <v>1</v>
      </c>
      <c r="P384" s="1">
        <f t="shared" si="84"/>
        <v>3</v>
      </c>
      <c r="Q384" s="1">
        <f t="shared" si="85"/>
        <v>1</v>
      </c>
      <c r="R384" s="1">
        <f t="shared" si="86"/>
        <v>1</v>
      </c>
      <c r="S384" s="1">
        <f t="shared" si="87"/>
        <v>1</v>
      </c>
      <c r="T384" s="1">
        <f t="shared" si="88"/>
        <v>1</v>
      </c>
      <c r="U384" s="26">
        <f t="shared" si="89"/>
        <v>1</v>
      </c>
      <c r="V384" s="26">
        <f t="shared" si="90"/>
        <v>1</v>
      </c>
      <c r="W384" s="1">
        <f t="shared" si="91"/>
        <v>1</v>
      </c>
      <c r="X384" s="26">
        <f t="shared" si="92"/>
        <v>1</v>
      </c>
      <c r="Y384" s="26">
        <f t="shared" si="93"/>
        <v>0</v>
      </c>
      <c r="Z384" s="1">
        <f t="shared" si="94"/>
        <v>1</v>
      </c>
      <c r="AA384"/>
      <c r="AB384"/>
    </row>
    <row r="385" spans="1:28" x14ac:dyDescent="0.55000000000000004">
      <c r="A385" s="1">
        <f t="shared" si="81"/>
        <v>385</v>
      </c>
      <c r="B385" t="s">
        <v>37</v>
      </c>
      <c r="C385" t="s">
        <v>196</v>
      </c>
      <c r="D385" t="s">
        <v>42</v>
      </c>
      <c r="E385" t="s">
        <v>1507</v>
      </c>
      <c r="F385" t="s">
        <v>1508</v>
      </c>
      <c r="G385" t="s">
        <v>322</v>
      </c>
      <c r="H385" t="s">
        <v>708</v>
      </c>
      <c r="I385" t="s">
        <v>312</v>
      </c>
      <c r="J385" t="s">
        <v>1509</v>
      </c>
      <c r="K385" t="s">
        <v>1510</v>
      </c>
      <c r="L385" t="s">
        <v>875</v>
      </c>
      <c r="M385" t="s">
        <v>28</v>
      </c>
      <c r="N385" s="1">
        <f t="shared" si="82"/>
        <v>0</v>
      </c>
      <c r="O385" s="1">
        <f t="shared" si="83"/>
        <v>0</v>
      </c>
      <c r="P385" s="1">
        <f t="shared" si="84"/>
        <v>0</v>
      </c>
      <c r="Q385" s="1">
        <f t="shared" si="85"/>
        <v>0</v>
      </c>
      <c r="R385" s="1">
        <f t="shared" si="86"/>
        <v>1</v>
      </c>
      <c r="S385" s="1">
        <f t="shared" si="87"/>
        <v>0</v>
      </c>
      <c r="T385" s="1">
        <f t="shared" si="88"/>
        <v>1</v>
      </c>
      <c r="U385" s="26">
        <f t="shared" si="89"/>
        <v>0</v>
      </c>
      <c r="V385" s="26">
        <f t="shared" si="90"/>
        <v>0</v>
      </c>
      <c r="W385" s="1">
        <f t="shared" si="91"/>
        <v>1</v>
      </c>
      <c r="X385" s="26">
        <f t="shared" si="92"/>
        <v>0</v>
      </c>
      <c r="Y385" s="26">
        <f t="shared" si="93"/>
        <v>0</v>
      </c>
      <c r="Z385" s="1">
        <f t="shared" si="94"/>
        <v>0</v>
      </c>
      <c r="AA385"/>
      <c r="AB385"/>
    </row>
    <row r="386" spans="1:28" x14ac:dyDescent="0.55000000000000004">
      <c r="A386" s="1">
        <f t="shared" si="81"/>
        <v>386</v>
      </c>
      <c r="B386" t="s">
        <v>37</v>
      </c>
      <c r="C386" t="s">
        <v>197</v>
      </c>
      <c r="D386" t="s">
        <v>174</v>
      </c>
      <c r="E386" t="s">
        <v>1244</v>
      </c>
      <c r="F386" t="s">
        <v>315</v>
      </c>
      <c r="G386" t="s">
        <v>324</v>
      </c>
      <c r="H386" t="s">
        <v>664</v>
      </c>
      <c r="I386" t="s">
        <v>313</v>
      </c>
      <c r="J386" t="s">
        <v>1245</v>
      </c>
      <c r="K386" t="s">
        <v>325</v>
      </c>
      <c r="L386" t="s">
        <v>870</v>
      </c>
      <c r="M386" t="s">
        <v>28</v>
      </c>
      <c r="N386" s="1">
        <f t="shared" si="82"/>
        <v>2</v>
      </c>
      <c r="O386" s="1">
        <f t="shared" si="83"/>
        <v>2</v>
      </c>
      <c r="P386" s="1">
        <f t="shared" si="84"/>
        <v>4</v>
      </c>
      <c r="Q386" s="1">
        <f t="shared" si="85"/>
        <v>0</v>
      </c>
      <c r="R386" s="1">
        <f t="shared" si="86"/>
        <v>1</v>
      </c>
      <c r="S386" s="1">
        <f t="shared" si="87"/>
        <v>0</v>
      </c>
      <c r="T386" s="1">
        <f t="shared" si="88"/>
        <v>1</v>
      </c>
      <c r="U386" s="26">
        <f t="shared" si="89"/>
        <v>1</v>
      </c>
      <c r="V386" s="26">
        <f t="shared" si="90"/>
        <v>1</v>
      </c>
      <c r="W386" s="1">
        <f t="shared" si="91"/>
        <v>1</v>
      </c>
      <c r="X386" s="26">
        <f t="shared" si="92"/>
        <v>1</v>
      </c>
      <c r="Y386" s="26">
        <f t="shared" si="93"/>
        <v>1</v>
      </c>
      <c r="Z386" s="1">
        <f t="shared" si="94"/>
        <v>1</v>
      </c>
      <c r="AA386"/>
      <c r="AB386"/>
    </row>
    <row r="387" spans="1:28" x14ac:dyDescent="0.55000000000000004">
      <c r="A387" s="1">
        <f t="shared" ref="A387:A450" si="95">A386+1</f>
        <v>387</v>
      </c>
      <c r="B387" t="s">
        <v>37</v>
      </c>
      <c r="C387" t="s">
        <v>197</v>
      </c>
      <c r="D387" t="s">
        <v>174</v>
      </c>
      <c r="E387" t="s">
        <v>1244</v>
      </c>
      <c r="F387" t="s">
        <v>311</v>
      </c>
      <c r="G387" t="s">
        <v>318</v>
      </c>
      <c r="H387" t="s">
        <v>573</v>
      </c>
      <c r="I387" t="s">
        <v>321</v>
      </c>
      <c r="J387" t="s">
        <v>1246</v>
      </c>
      <c r="K387" t="s">
        <v>320</v>
      </c>
      <c r="L387" t="s">
        <v>861</v>
      </c>
      <c r="M387" t="s">
        <v>28</v>
      </c>
      <c r="N387" s="1">
        <f t="shared" ref="N387:N450" si="96">VALUE(LEFT(H387,1))</f>
        <v>2</v>
      </c>
      <c r="O387" s="1">
        <f t="shared" ref="O387:O450" si="97">VALUE(RIGHT(H387,1))</f>
        <v>0</v>
      </c>
      <c r="P387" s="1">
        <f t="shared" ref="P387:P450" si="98">SUM(N387,O387)</f>
        <v>2</v>
      </c>
      <c r="Q387" s="1">
        <f t="shared" ref="Q387:Q450" si="99">IF(N387&lt;&gt;O387, 1, 0)</f>
        <v>1</v>
      </c>
      <c r="R387" s="1">
        <f t="shared" ref="R387:R450" si="100">IF(P387&lt;=4,1,0)</f>
        <v>1</v>
      </c>
      <c r="S387" s="1">
        <f t="shared" ref="S387:S450" si="101">IF(AND(Q387=1,R387=1),1,0)</f>
        <v>1</v>
      </c>
      <c r="T387" s="1">
        <f t="shared" ref="T387:T450" si="102">IF(N387&lt;=2,1,0)</f>
        <v>1</v>
      </c>
      <c r="U387" s="26">
        <f t="shared" ref="U387:U450" si="103">IF(AND(N387&gt;=1,N387&lt;=3),1,0)</f>
        <v>1</v>
      </c>
      <c r="V387" s="26">
        <f t="shared" ref="V387:V450" si="104">IF(AND(N387&gt;=2,N387&lt;=5),1,0)</f>
        <v>1</v>
      </c>
      <c r="W387" s="1">
        <f t="shared" ref="W387:W450" si="105">IF(O387&lt;=2,1,0)</f>
        <v>1</v>
      </c>
      <c r="X387" s="26">
        <f t="shared" ref="X387:X450" si="106">IF(AND(O387&gt;=1,O387&lt;=3),1,0)</f>
        <v>0</v>
      </c>
      <c r="Y387" s="26">
        <f t="shared" ref="Y387:Y450" si="107">IF(AND(O387&gt;=2,O387&lt;=5),1,0)</f>
        <v>0</v>
      </c>
      <c r="Z387" s="1">
        <f t="shared" ref="Z387:Z450" si="108">IF(P387&gt;=2,1,0)</f>
        <v>1</v>
      </c>
      <c r="AA387"/>
      <c r="AB387"/>
    </row>
    <row r="388" spans="1:28" x14ac:dyDescent="0.55000000000000004">
      <c r="A388" s="1">
        <f t="shared" si="95"/>
        <v>388</v>
      </c>
      <c r="B388" t="s">
        <v>37</v>
      </c>
      <c r="C388" t="s">
        <v>197</v>
      </c>
      <c r="D388" t="s">
        <v>133</v>
      </c>
      <c r="E388" t="s">
        <v>583</v>
      </c>
      <c r="F388" t="s">
        <v>315</v>
      </c>
      <c r="G388" t="s">
        <v>316</v>
      </c>
      <c r="H388" t="s">
        <v>584</v>
      </c>
      <c r="I388" t="s">
        <v>322</v>
      </c>
      <c r="K388" t="s">
        <v>341</v>
      </c>
      <c r="L388" t="s">
        <v>585</v>
      </c>
      <c r="M388" t="s">
        <v>28</v>
      </c>
      <c r="N388" s="1">
        <f t="shared" si="96"/>
        <v>0</v>
      </c>
      <c r="O388" s="1">
        <f t="shared" si="97"/>
        <v>4</v>
      </c>
      <c r="P388" s="1">
        <f t="shared" si="98"/>
        <v>4</v>
      </c>
      <c r="Q388" s="1">
        <f t="shared" si="99"/>
        <v>1</v>
      </c>
      <c r="R388" s="1">
        <f t="shared" si="100"/>
        <v>1</v>
      </c>
      <c r="S388" s="1">
        <f t="shared" si="101"/>
        <v>1</v>
      </c>
      <c r="T388" s="1">
        <f t="shared" si="102"/>
        <v>1</v>
      </c>
      <c r="U388" s="26">
        <f t="shared" si="103"/>
        <v>0</v>
      </c>
      <c r="V388" s="26">
        <f t="shared" si="104"/>
        <v>0</v>
      </c>
      <c r="W388" s="1">
        <f t="shared" si="105"/>
        <v>0</v>
      </c>
      <c r="X388" s="26">
        <f t="shared" si="106"/>
        <v>0</v>
      </c>
      <c r="Y388" s="26">
        <f t="shared" si="107"/>
        <v>1</v>
      </c>
      <c r="Z388" s="1">
        <f t="shared" si="108"/>
        <v>1</v>
      </c>
      <c r="AA388"/>
      <c r="AB388"/>
    </row>
    <row r="389" spans="1:28" x14ac:dyDescent="0.55000000000000004">
      <c r="A389" s="1">
        <f t="shared" si="95"/>
        <v>389</v>
      </c>
      <c r="B389" t="s">
        <v>37</v>
      </c>
      <c r="C389" t="s">
        <v>198</v>
      </c>
      <c r="D389" t="s">
        <v>174</v>
      </c>
      <c r="E389" t="s">
        <v>1247</v>
      </c>
      <c r="F389" t="s">
        <v>315</v>
      </c>
      <c r="G389" t="s">
        <v>324</v>
      </c>
      <c r="H389" t="s">
        <v>590</v>
      </c>
      <c r="I389" t="s">
        <v>322</v>
      </c>
      <c r="J389" t="s">
        <v>1248</v>
      </c>
      <c r="K389" t="s">
        <v>325</v>
      </c>
      <c r="L389" t="s">
        <v>888</v>
      </c>
      <c r="M389" t="s">
        <v>28</v>
      </c>
      <c r="N389" s="1">
        <f t="shared" si="96"/>
        <v>0</v>
      </c>
      <c r="O389" s="1">
        <f t="shared" si="97"/>
        <v>1</v>
      </c>
      <c r="P389" s="1">
        <f t="shared" si="98"/>
        <v>1</v>
      </c>
      <c r="Q389" s="1">
        <f t="shared" si="99"/>
        <v>1</v>
      </c>
      <c r="R389" s="1">
        <f t="shared" si="100"/>
        <v>1</v>
      </c>
      <c r="S389" s="1">
        <f t="shared" si="101"/>
        <v>1</v>
      </c>
      <c r="T389" s="1">
        <f t="shared" si="102"/>
        <v>1</v>
      </c>
      <c r="U389" s="26">
        <f t="shared" si="103"/>
        <v>0</v>
      </c>
      <c r="V389" s="26">
        <f t="shared" si="104"/>
        <v>0</v>
      </c>
      <c r="W389" s="1">
        <f t="shared" si="105"/>
        <v>1</v>
      </c>
      <c r="X389" s="26">
        <f t="shared" si="106"/>
        <v>1</v>
      </c>
      <c r="Y389" s="26">
        <f t="shared" si="107"/>
        <v>0</v>
      </c>
      <c r="Z389" s="1">
        <f t="shared" si="108"/>
        <v>0</v>
      </c>
      <c r="AA389"/>
      <c r="AB389"/>
    </row>
    <row r="390" spans="1:28" x14ac:dyDescent="0.55000000000000004">
      <c r="A390" s="1">
        <f t="shared" si="95"/>
        <v>390</v>
      </c>
      <c r="B390" t="s">
        <v>37</v>
      </c>
      <c r="C390" t="s">
        <v>198</v>
      </c>
      <c r="D390" t="s">
        <v>174</v>
      </c>
      <c r="E390" t="s">
        <v>1247</v>
      </c>
      <c r="F390" t="s">
        <v>315</v>
      </c>
      <c r="G390" t="s">
        <v>328</v>
      </c>
      <c r="H390" t="s">
        <v>608</v>
      </c>
      <c r="I390" t="s">
        <v>326</v>
      </c>
      <c r="J390" t="s">
        <v>1249</v>
      </c>
      <c r="K390" t="s">
        <v>329</v>
      </c>
      <c r="L390" t="s">
        <v>875</v>
      </c>
      <c r="M390" t="s">
        <v>28</v>
      </c>
      <c r="N390" s="1">
        <f t="shared" si="96"/>
        <v>1</v>
      </c>
      <c r="O390" s="1">
        <f t="shared" si="97"/>
        <v>1</v>
      </c>
      <c r="P390" s="1">
        <f t="shared" si="98"/>
        <v>2</v>
      </c>
      <c r="Q390" s="1">
        <f t="shared" si="99"/>
        <v>0</v>
      </c>
      <c r="R390" s="1">
        <f t="shared" si="100"/>
        <v>1</v>
      </c>
      <c r="S390" s="1">
        <f t="shared" si="101"/>
        <v>0</v>
      </c>
      <c r="T390" s="1">
        <f t="shared" si="102"/>
        <v>1</v>
      </c>
      <c r="U390" s="26">
        <f t="shared" si="103"/>
        <v>1</v>
      </c>
      <c r="V390" s="26">
        <f t="shared" si="104"/>
        <v>0</v>
      </c>
      <c r="W390" s="1">
        <f t="shared" si="105"/>
        <v>1</v>
      </c>
      <c r="X390" s="26">
        <f t="shared" si="106"/>
        <v>1</v>
      </c>
      <c r="Y390" s="26">
        <f t="shared" si="107"/>
        <v>0</v>
      </c>
      <c r="Z390" s="1">
        <f t="shared" si="108"/>
        <v>1</v>
      </c>
      <c r="AA390"/>
      <c r="AB390"/>
    </row>
    <row r="391" spans="1:28" x14ac:dyDescent="0.55000000000000004">
      <c r="A391" s="1">
        <f t="shared" si="95"/>
        <v>391</v>
      </c>
      <c r="B391" t="s">
        <v>37</v>
      </c>
      <c r="C391" t="s">
        <v>198</v>
      </c>
      <c r="D391" t="s">
        <v>174</v>
      </c>
      <c r="E391" t="s">
        <v>1247</v>
      </c>
      <c r="F391" t="s">
        <v>315</v>
      </c>
      <c r="G391" t="s">
        <v>321</v>
      </c>
      <c r="H391" t="s">
        <v>708</v>
      </c>
      <c r="I391" t="s">
        <v>316</v>
      </c>
      <c r="J391" t="s">
        <v>1250</v>
      </c>
      <c r="K391" t="s">
        <v>323</v>
      </c>
      <c r="L391" t="s">
        <v>883</v>
      </c>
      <c r="M391" t="s">
        <v>28</v>
      </c>
      <c r="N391" s="1">
        <f t="shared" si="96"/>
        <v>0</v>
      </c>
      <c r="O391" s="1">
        <f t="shared" si="97"/>
        <v>0</v>
      </c>
      <c r="P391" s="1">
        <f t="shared" si="98"/>
        <v>0</v>
      </c>
      <c r="Q391" s="1">
        <f t="shared" si="99"/>
        <v>0</v>
      </c>
      <c r="R391" s="1">
        <f t="shared" si="100"/>
        <v>1</v>
      </c>
      <c r="S391" s="1">
        <f t="shared" si="101"/>
        <v>0</v>
      </c>
      <c r="T391" s="1">
        <f t="shared" si="102"/>
        <v>1</v>
      </c>
      <c r="U391" s="26">
        <f t="shared" si="103"/>
        <v>0</v>
      </c>
      <c r="V391" s="26">
        <f t="shared" si="104"/>
        <v>0</v>
      </c>
      <c r="W391" s="1">
        <f t="shared" si="105"/>
        <v>1</v>
      </c>
      <c r="X391" s="26">
        <f t="shared" si="106"/>
        <v>0</v>
      </c>
      <c r="Y391" s="26">
        <f t="shared" si="107"/>
        <v>0</v>
      </c>
      <c r="Z391" s="1">
        <f t="shared" si="108"/>
        <v>0</v>
      </c>
      <c r="AA391"/>
      <c r="AB391"/>
    </row>
    <row r="392" spans="1:28" x14ac:dyDescent="0.55000000000000004">
      <c r="A392" s="1">
        <f t="shared" si="95"/>
        <v>392</v>
      </c>
      <c r="B392" t="s">
        <v>37</v>
      </c>
      <c r="C392" t="s">
        <v>198</v>
      </c>
      <c r="D392" t="s">
        <v>174</v>
      </c>
      <c r="E392" t="s">
        <v>1247</v>
      </c>
      <c r="F392" t="s">
        <v>311</v>
      </c>
      <c r="G392" t="s">
        <v>313</v>
      </c>
      <c r="H392" t="s">
        <v>608</v>
      </c>
      <c r="I392" t="s">
        <v>318</v>
      </c>
      <c r="J392" t="s">
        <v>1251</v>
      </c>
      <c r="K392" t="s">
        <v>317</v>
      </c>
      <c r="L392" t="s">
        <v>866</v>
      </c>
      <c r="M392" t="s">
        <v>28</v>
      </c>
      <c r="N392" s="1">
        <f t="shared" si="96"/>
        <v>1</v>
      </c>
      <c r="O392" s="1">
        <f t="shared" si="97"/>
        <v>1</v>
      </c>
      <c r="P392" s="1">
        <f t="shared" si="98"/>
        <v>2</v>
      </c>
      <c r="Q392" s="1">
        <f t="shared" si="99"/>
        <v>0</v>
      </c>
      <c r="R392" s="1">
        <f t="shared" si="100"/>
        <v>1</v>
      </c>
      <c r="S392" s="1">
        <f t="shared" si="101"/>
        <v>0</v>
      </c>
      <c r="T392" s="1">
        <f t="shared" si="102"/>
        <v>1</v>
      </c>
      <c r="U392" s="26">
        <f t="shared" si="103"/>
        <v>1</v>
      </c>
      <c r="V392" s="26">
        <f t="shared" si="104"/>
        <v>0</v>
      </c>
      <c r="W392" s="1">
        <f t="shared" si="105"/>
        <v>1</v>
      </c>
      <c r="X392" s="26">
        <f t="shared" si="106"/>
        <v>1</v>
      </c>
      <c r="Y392" s="26">
        <f t="shared" si="107"/>
        <v>0</v>
      </c>
      <c r="Z392" s="1">
        <f t="shared" si="108"/>
        <v>1</v>
      </c>
      <c r="AA392"/>
      <c r="AB392"/>
    </row>
    <row r="393" spans="1:28" x14ac:dyDescent="0.55000000000000004">
      <c r="A393" s="1">
        <f t="shared" si="95"/>
        <v>393</v>
      </c>
      <c r="B393" t="s">
        <v>37</v>
      </c>
      <c r="C393" t="s">
        <v>198</v>
      </c>
      <c r="D393" t="s">
        <v>174</v>
      </c>
      <c r="E393" t="s">
        <v>1247</v>
      </c>
      <c r="F393" t="s">
        <v>311</v>
      </c>
      <c r="G393" t="s">
        <v>319</v>
      </c>
      <c r="H393" t="s">
        <v>573</v>
      </c>
      <c r="I393" t="s">
        <v>312</v>
      </c>
      <c r="J393" t="s">
        <v>1252</v>
      </c>
      <c r="K393" t="s">
        <v>330</v>
      </c>
      <c r="L393" t="s">
        <v>591</v>
      </c>
      <c r="M393" t="s">
        <v>28</v>
      </c>
      <c r="N393" s="1">
        <f t="shared" si="96"/>
        <v>2</v>
      </c>
      <c r="O393" s="1">
        <f t="shared" si="97"/>
        <v>0</v>
      </c>
      <c r="P393" s="1">
        <f t="shared" si="98"/>
        <v>2</v>
      </c>
      <c r="Q393" s="1">
        <f t="shared" si="99"/>
        <v>1</v>
      </c>
      <c r="R393" s="1">
        <f t="shared" si="100"/>
        <v>1</v>
      </c>
      <c r="S393" s="1">
        <f t="shared" si="101"/>
        <v>1</v>
      </c>
      <c r="T393" s="1">
        <f t="shared" si="102"/>
        <v>1</v>
      </c>
      <c r="U393" s="26">
        <f t="shared" si="103"/>
        <v>1</v>
      </c>
      <c r="V393" s="26">
        <f t="shared" si="104"/>
        <v>1</v>
      </c>
      <c r="W393" s="1">
        <f t="shared" si="105"/>
        <v>1</v>
      </c>
      <c r="X393" s="26">
        <f t="shared" si="106"/>
        <v>0</v>
      </c>
      <c r="Y393" s="26">
        <f t="shared" si="107"/>
        <v>0</v>
      </c>
      <c r="Z393" s="1">
        <f t="shared" si="108"/>
        <v>1</v>
      </c>
      <c r="AA393"/>
      <c r="AB393"/>
    </row>
    <row r="394" spans="1:28" x14ac:dyDescent="0.55000000000000004">
      <c r="A394" s="1">
        <f t="shared" si="95"/>
        <v>394</v>
      </c>
      <c r="B394" t="s">
        <v>37</v>
      </c>
      <c r="C394" t="s">
        <v>196</v>
      </c>
      <c r="D394" t="s">
        <v>179</v>
      </c>
      <c r="E394" t="s">
        <v>859</v>
      </c>
      <c r="F394" t="s">
        <v>311</v>
      </c>
      <c r="G394" t="s">
        <v>319</v>
      </c>
      <c r="H394" t="s">
        <v>608</v>
      </c>
      <c r="I394" t="s">
        <v>313</v>
      </c>
      <c r="J394" t="s">
        <v>860</v>
      </c>
      <c r="K394" t="s">
        <v>330</v>
      </c>
      <c r="L394" t="s">
        <v>861</v>
      </c>
      <c r="M394" t="s">
        <v>28</v>
      </c>
      <c r="N394" s="1">
        <f t="shared" si="96"/>
        <v>1</v>
      </c>
      <c r="O394" s="1">
        <f t="shared" si="97"/>
        <v>1</v>
      </c>
      <c r="P394" s="1">
        <f t="shared" si="98"/>
        <v>2</v>
      </c>
      <c r="Q394" s="1">
        <f t="shared" si="99"/>
        <v>0</v>
      </c>
      <c r="R394" s="1">
        <f t="shared" si="100"/>
        <v>1</v>
      </c>
      <c r="S394" s="1">
        <f t="shared" si="101"/>
        <v>0</v>
      </c>
      <c r="T394" s="1">
        <f t="shared" si="102"/>
        <v>1</v>
      </c>
      <c r="U394" s="26">
        <f t="shared" si="103"/>
        <v>1</v>
      </c>
      <c r="V394" s="26">
        <f t="shared" si="104"/>
        <v>0</v>
      </c>
      <c r="W394" s="1">
        <f t="shared" si="105"/>
        <v>1</v>
      </c>
      <c r="X394" s="26">
        <f t="shared" si="106"/>
        <v>1</v>
      </c>
      <c r="Y394" s="26">
        <f t="shared" si="107"/>
        <v>0</v>
      </c>
      <c r="Z394" s="1">
        <f t="shared" si="108"/>
        <v>1</v>
      </c>
      <c r="AA394"/>
      <c r="AB394"/>
    </row>
    <row r="395" spans="1:28" x14ac:dyDescent="0.55000000000000004">
      <c r="A395" s="1">
        <f t="shared" si="95"/>
        <v>395</v>
      </c>
      <c r="B395" t="s">
        <v>37</v>
      </c>
      <c r="C395" t="s">
        <v>199</v>
      </c>
      <c r="D395" t="s">
        <v>174</v>
      </c>
      <c r="E395" t="s">
        <v>1253</v>
      </c>
      <c r="F395" t="s">
        <v>315</v>
      </c>
      <c r="G395" t="s">
        <v>318</v>
      </c>
      <c r="H395" t="s">
        <v>581</v>
      </c>
      <c r="I395" t="s">
        <v>328</v>
      </c>
      <c r="J395" t="s">
        <v>1254</v>
      </c>
      <c r="K395" t="s">
        <v>320</v>
      </c>
      <c r="L395" t="s">
        <v>591</v>
      </c>
      <c r="M395" t="s">
        <v>28</v>
      </c>
      <c r="N395" s="1">
        <f t="shared" si="96"/>
        <v>1</v>
      </c>
      <c r="O395" s="1">
        <f t="shared" si="97"/>
        <v>2</v>
      </c>
      <c r="P395" s="1">
        <f t="shared" si="98"/>
        <v>3</v>
      </c>
      <c r="Q395" s="1">
        <f t="shared" si="99"/>
        <v>1</v>
      </c>
      <c r="R395" s="1">
        <f t="shared" si="100"/>
        <v>1</v>
      </c>
      <c r="S395" s="1">
        <f t="shared" si="101"/>
        <v>1</v>
      </c>
      <c r="T395" s="1">
        <f t="shared" si="102"/>
        <v>1</v>
      </c>
      <c r="U395" s="26">
        <f t="shared" si="103"/>
        <v>1</v>
      </c>
      <c r="V395" s="26">
        <f t="shared" si="104"/>
        <v>0</v>
      </c>
      <c r="W395" s="1">
        <f t="shared" si="105"/>
        <v>1</v>
      </c>
      <c r="X395" s="26">
        <f t="shared" si="106"/>
        <v>1</v>
      </c>
      <c r="Y395" s="26">
        <f t="shared" si="107"/>
        <v>1</v>
      </c>
      <c r="Z395" s="1">
        <f t="shared" si="108"/>
        <v>1</v>
      </c>
      <c r="AA395"/>
      <c r="AB395"/>
    </row>
    <row r="396" spans="1:28" x14ac:dyDescent="0.55000000000000004">
      <c r="A396" s="1">
        <f t="shared" si="95"/>
        <v>396</v>
      </c>
      <c r="B396" t="s">
        <v>37</v>
      </c>
      <c r="C396" t="s">
        <v>199</v>
      </c>
      <c r="D396" t="s">
        <v>174</v>
      </c>
      <c r="E396" t="s">
        <v>1253</v>
      </c>
      <c r="F396" t="s">
        <v>315</v>
      </c>
      <c r="G396" t="s">
        <v>312</v>
      </c>
      <c r="H396" t="s">
        <v>687</v>
      </c>
      <c r="I396" t="s">
        <v>313</v>
      </c>
      <c r="J396" t="s">
        <v>1255</v>
      </c>
      <c r="K396" t="s">
        <v>314</v>
      </c>
      <c r="L396" t="s">
        <v>1242</v>
      </c>
      <c r="M396" t="s">
        <v>28</v>
      </c>
      <c r="N396" s="1">
        <f t="shared" si="96"/>
        <v>4</v>
      </c>
      <c r="O396" s="1">
        <f t="shared" si="97"/>
        <v>0</v>
      </c>
      <c r="P396" s="1">
        <f t="shared" si="98"/>
        <v>4</v>
      </c>
      <c r="Q396" s="1">
        <f t="shared" si="99"/>
        <v>1</v>
      </c>
      <c r="R396" s="1">
        <f t="shared" si="100"/>
        <v>1</v>
      </c>
      <c r="S396" s="1">
        <f t="shared" si="101"/>
        <v>1</v>
      </c>
      <c r="T396" s="1">
        <f t="shared" si="102"/>
        <v>0</v>
      </c>
      <c r="U396" s="26">
        <f t="shared" si="103"/>
        <v>0</v>
      </c>
      <c r="V396" s="26">
        <f t="shared" si="104"/>
        <v>1</v>
      </c>
      <c r="W396" s="1">
        <f t="shared" si="105"/>
        <v>1</v>
      </c>
      <c r="X396" s="26">
        <f t="shared" si="106"/>
        <v>0</v>
      </c>
      <c r="Y396" s="26">
        <f t="shared" si="107"/>
        <v>0</v>
      </c>
      <c r="Z396" s="1">
        <f t="shared" si="108"/>
        <v>1</v>
      </c>
      <c r="AA396"/>
      <c r="AB396"/>
    </row>
    <row r="397" spans="1:28" x14ac:dyDescent="0.55000000000000004">
      <c r="A397" s="1">
        <f t="shared" si="95"/>
        <v>397</v>
      </c>
      <c r="B397" t="s">
        <v>37</v>
      </c>
      <c r="C397" t="s">
        <v>199</v>
      </c>
      <c r="D397" t="s">
        <v>174</v>
      </c>
      <c r="E397" t="s">
        <v>1253</v>
      </c>
      <c r="F397" t="s">
        <v>315</v>
      </c>
      <c r="G397" t="s">
        <v>324</v>
      </c>
      <c r="H397" t="s">
        <v>1214</v>
      </c>
      <c r="I397" t="s">
        <v>321</v>
      </c>
      <c r="J397" t="s">
        <v>1256</v>
      </c>
      <c r="K397" t="s">
        <v>325</v>
      </c>
      <c r="L397" t="s">
        <v>593</v>
      </c>
      <c r="M397" t="s">
        <v>28</v>
      </c>
      <c r="N397" s="1">
        <f t="shared" si="96"/>
        <v>4</v>
      </c>
      <c r="O397" s="1">
        <f t="shared" si="97"/>
        <v>2</v>
      </c>
      <c r="P397" s="1">
        <f t="shared" si="98"/>
        <v>6</v>
      </c>
      <c r="Q397" s="1">
        <f t="shared" si="99"/>
        <v>1</v>
      </c>
      <c r="R397" s="1">
        <f t="shared" si="100"/>
        <v>0</v>
      </c>
      <c r="S397" s="1">
        <f t="shared" si="101"/>
        <v>0</v>
      </c>
      <c r="T397" s="1">
        <f t="shared" si="102"/>
        <v>0</v>
      </c>
      <c r="U397" s="26">
        <f t="shared" si="103"/>
        <v>0</v>
      </c>
      <c r="V397" s="26">
        <f t="shared" si="104"/>
        <v>1</v>
      </c>
      <c r="W397" s="1">
        <f t="shared" si="105"/>
        <v>1</v>
      </c>
      <c r="X397" s="26">
        <f t="shared" si="106"/>
        <v>1</v>
      </c>
      <c r="Y397" s="26">
        <f t="shared" si="107"/>
        <v>1</v>
      </c>
      <c r="Z397" s="1">
        <f t="shared" si="108"/>
        <v>1</v>
      </c>
      <c r="AA397"/>
      <c r="AB397"/>
    </row>
    <row r="398" spans="1:28" x14ac:dyDescent="0.55000000000000004">
      <c r="A398" s="1">
        <f t="shared" si="95"/>
        <v>398</v>
      </c>
      <c r="B398" t="s">
        <v>37</v>
      </c>
      <c r="C398" t="s">
        <v>199</v>
      </c>
      <c r="D398" t="s">
        <v>174</v>
      </c>
      <c r="E398" t="s">
        <v>1253</v>
      </c>
      <c r="F398" t="s">
        <v>315</v>
      </c>
      <c r="G398" t="s">
        <v>326</v>
      </c>
      <c r="H398" t="s">
        <v>575</v>
      </c>
      <c r="I398" t="s">
        <v>316</v>
      </c>
      <c r="J398" t="s">
        <v>1257</v>
      </c>
      <c r="K398" t="s">
        <v>327</v>
      </c>
      <c r="L398" t="s">
        <v>866</v>
      </c>
      <c r="M398" t="s">
        <v>28</v>
      </c>
      <c r="N398" s="1">
        <f t="shared" si="96"/>
        <v>1</v>
      </c>
      <c r="O398" s="1">
        <f t="shared" si="97"/>
        <v>0</v>
      </c>
      <c r="P398" s="1">
        <f t="shared" si="98"/>
        <v>1</v>
      </c>
      <c r="Q398" s="1">
        <f t="shared" si="99"/>
        <v>1</v>
      </c>
      <c r="R398" s="1">
        <f t="shared" si="100"/>
        <v>1</v>
      </c>
      <c r="S398" s="1">
        <f t="shared" si="101"/>
        <v>1</v>
      </c>
      <c r="T398" s="1">
        <f t="shared" si="102"/>
        <v>1</v>
      </c>
      <c r="U398" s="26">
        <f t="shared" si="103"/>
        <v>1</v>
      </c>
      <c r="V398" s="26">
        <f t="shared" si="104"/>
        <v>0</v>
      </c>
      <c r="W398" s="1">
        <f t="shared" si="105"/>
        <v>1</v>
      </c>
      <c r="X398" s="26">
        <f t="shared" si="106"/>
        <v>0</v>
      </c>
      <c r="Y398" s="26">
        <f t="shared" si="107"/>
        <v>0</v>
      </c>
      <c r="Z398" s="1">
        <f t="shared" si="108"/>
        <v>0</v>
      </c>
      <c r="AA398"/>
      <c r="AB398"/>
    </row>
    <row r="399" spans="1:28" x14ac:dyDescent="0.55000000000000004">
      <c r="A399" s="1">
        <f t="shared" si="95"/>
        <v>399</v>
      </c>
      <c r="B399" t="s">
        <v>37</v>
      </c>
      <c r="C399" t="s">
        <v>199</v>
      </c>
      <c r="D399" t="s">
        <v>174</v>
      </c>
      <c r="E399" t="s">
        <v>1253</v>
      </c>
      <c r="F399" t="s">
        <v>311</v>
      </c>
      <c r="G399" t="s">
        <v>322</v>
      </c>
      <c r="H399" t="s">
        <v>683</v>
      </c>
      <c r="I399" t="s">
        <v>319</v>
      </c>
      <c r="J399" t="s">
        <v>1258</v>
      </c>
      <c r="K399" t="s">
        <v>331</v>
      </c>
      <c r="L399" t="s">
        <v>589</v>
      </c>
      <c r="M399" t="s">
        <v>28</v>
      </c>
      <c r="N399" s="1">
        <f t="shared" si="96"/>
        <v>3</v>
      </c>
      <c r="O399" s="1">
        <f t="shared" si="97"/>
        <v>2</v>
      </c>
      <c r="P399" s="1">
        <f t="shared" si="98"/>
        <v>5</v>
      </c>
      <c r="Q399" s="1">
        <f t="shared" si="99"/>
        <v>1</v>
      </c>
      <c r="R399" s="1">
        <f t="shared" si="100"/>
        <v>0</v>
      </c>
      <c r="S399" s="1">
        <f t="shared" si="101"/>
        <v>0</v>
      </c>
      <c r="T399" s="1">
        <f t="shared" si="102"/>
        <v>0</v>
      </c>
      <c r="U399" s="26">
        <f t="shared" si="103"/>
        <v>1</v>
      </c>
      <c r="V399" s="26">
        <f t="shared" si="104"/>
        <v>1</v>
      </c>
      <c r="W399" s="1">
        <f t="shared" si="105"/>
        <v>1</v>
      </c>
      <c r="X399" s="26">
        <f t="shared" si="106"/>
        <v>1</v>
      </c>
      <c r="Y399" s="26">
        <f t="shared" si="107"/>
        <v>1</v>
      </c>
      <c r="Z399" s="1">
        <f t="shared" si="108"/>
        <v>1</v>
      </c>
      <c r="AA399"/>
      <c r="AB399"/>
    </row>
    <row r="400" spans="1:28" x14ac:dyDescent="0.55000000000000004">
      <c r="A400" s="1">
        <f t="shared" si="95"/>
        <v>400</v>
      </c>
      <c r="B400" t="s">
        <v>39</v>
      </c>
      <c r="C400" t="s">
        <v>196</v>
      </c>
      <c r="D400" t="s">
        <v>133</v>
      </c>
      <c r="E400" t="s">
        <v>1839</v>
      </c>
      <c r="F400" t="s">
        <v>985</v>
      </c>
      <c r="G400" t="s">
        <v>223</v>
      </c>
      <c r="H400" t="s">
        <v>581</v>
      </c>
      <c r="I400" t="s">
        <v>228</v>
      </c>
      <c r="J400" t="s">
        <v>1840</v>
      </c>
      <c r="K400" t="s">
        <v>244</v>
      </c>
      <c r="L400" t="s">
        <v>998</v>
      </c>
      <c r="M400" t="s">
        <v>28</v>
      </c>
      <c r="N400" s="1">
        <f t="shared" si="96"/>
        <v>1</v>
      </c>
      <c r="O400" s="1">
        <f t="shared" si="97"/>
        <v>2</v>
      </c>
      <c r="P400" s="1">
        <f t="shared" si="98"/>
        <v>3</v>
      </c>
      <c r="Q400" s="1">
        <f t="shared" si="99"/>
        <v>1</v>
      </c>
      <c r="R400" s="1">
        <f t="shared" si="100"/>
        <v>1</v>
      </c>
      <c r="S400" s="1">
        <f t="shared" si="101"/>
        <v>1</v>
      </c>
      <c r="T400" s="1">
        <f t="shared" si="102"/>
        <v>1</v>
      </c>
      <c r="U400" s="26">
        <f t="shared" si="103"/>
        <v>1</v>
      </c>
      <c r="V400" s="26">
        <f t="shared" si="104"/>
        <v>0</v>
      </c>
      <c r="W400" s="1">
        <f t="shared" si="105"/>
        <v>1</v>
      </c>
      <c r="X400" s="26">
        <f t="shared" si="106"/>
        <v>1</v>
      </c>
      <c r="Y400" s="26">
        <f t="shared" si="107"/>
        <v>1</v>
      </c>
      <c r="Z400" s="1">
        <f t="shared" si="108"/>
        <v>1</v>
      </c>
      <c r="AA400"/>
      <c r="AB400"/>
    </row>
    <row r="401" spans="1:28" x14ac:dyDescent="0.55000000000000004">
      <c r="A401" s="1">
        <f t="shared" si="95"/>
        <v>401</v>
      </c>
      <c r="B401" t="s">
        <v>39</v>
      </c>
      <c r="C401" t="s">
        <v>196</v>
      </c>
      <c r="D401" t="s">
        <v>133</v>
      </c>
      <c r="E401" t="s">
        <v>1839</v>
      </c>
      <c r="F401" t="s">
        <v>985</v>
      </c>
      <c r="G401" t="s">
        <v>222</v>
      </c>
      <c r="H401" t="s">
        <v>570</v>
      </c>
      <c r="I401" t="s">
        <v>220</v>
      </c>
      <c r="J401" t="s">
        <v>1841</v>
      </c>
      <c r="K401" t="s">
        <v>224</v>
      </c>
      <c r="L401" t="s">
        <v>1012</v>
      </c>
      <c r="M401" t="s">
        <v>28</v>
      </c>
      <c r="N401" s="1">
        <f t="shared" si="96"/>
        <v>3</v>
      </c>
      <c r="O401" s="1">
        <f t="shared" si="97"/>
        <v>1</v>
      </c>
      <c r="P401" s="1">
        <f t="shared" si="98"/>
        <v>4</v>
      </c>
      <c r="Q401" s="1">
        <f t="shared" si="99"/>
        <v>1</v>
      </c>
      <c r="R401" s="1">
        <f t="shared" si="100"/>
        <v>1</v>
      </c>
      <c r="S401" s="1">
        <f t="shared" si="101"/>
        <v>1</v>
      </c>
      <c r="T401" s="1">
        <f t="shared" si="102"/>
        <v>0</v>
      </c>
      <c r="U401" s="26">
        <f t="shared" si="103"/>
        <v>1</v>
      </c>
      <c r="V401" s="26">
        <f t="shared" si="104"/>
        <v>1</v>
      </c>
      <c r="W401" s="1">
        <f t="shared" si="105"/>
        <v>1</v>
      </c>
      <c r="X401" s="26">
        <f t="shared" si="106"/>
        <v>1</v>
      </c>
      <c r="Y401" s="26">
        <f t="shared" si="107"/>
        <v>0</v>
      </c>
      <c r="Z401" s="1">
        <f t="shared" si="108"/>
        <v>1</v>
      </c>
      <c r="AA401"/>
      <c r="AB401"/>
    </row>
    <row r="402" spans="1:28" x14ac:dyDescent="0.55000000000000004">
      <c r="A402" s="1">
        <f t="shared" si="95"/>
        <v>402</v>
      </c>
      <c r="B402" t="s">
        <v>39</v>
      </c>
      <c r="C402" t="s">
        <v>196</v>
      </c>
      <c r="D402" t="s">
        <v>133</v>
      </c>
      <c r="E402" t="s">
        <v>1839</v>
      </c>
      <c r="F402" t="s">
        <v>1513</v>
      </c>
      <c r="G402" t="s">
        <v>232</v>
      </c>
      <c r="H402" t="s">
        <v>608</v>
      </c>
      <c r="I402" t="s">
        <v>229</v>
      </c>
      <c r="J402" t="s">
        <v>1842</v>
      </c>
      <c r="K402" t="s">
        <v>238</v>
      </c>
      <c r="L402" t="s">
        <v>1000</v>
      </c>
      <c r="M402" t="s">
        <v>28</v>
      </c>
      <c r="N402" s="1">
        <f t="shared" si="96"/>
        <v>1</v>
      </c>
      <c r="O402" s="1">
        <f t="shared" si="97"/>
        <v>1</v>
      </c>
      <c r="P402" s="1">
        <f t="shared" si="98"/>
        <v>2</v>
      </c>
      <c r="Q402" s="1">
        <f t="shared" si="99"/>
        <v>0</v>
      </c>
      <c r="R402" s="1">
        <f t="shared" si="100"/>
        <v>1</v>
      </c>
      <c r="S402" s="1">
        <f t="shared" si="101"/>
        <v>0</v>
      </c>
      <c r="T402" s="1">
        <f t="shared" si="102"/>
        <v>1</v>
      </c>
      <c r="U402" s="26">
        <f t="shared" si="103"/>
        <v>1</v>
      </c>
      <c r="V402" s="26">
        <f t="shared" si="104"/>
        <v>0</v>
      </c>
      <c r="W402" s="1">
        <f t="shared" si="105"/>
        <v>1</v>
      </c>
      <c r="X402" s="26">
        <f t="shared" si="106"/>
        <v>1</v>
      </c>
      <c r="Y402" s="26">
        <f t="shared" si="107"/>
        <v>0</v>
      </c>
      <c r="Z402" s="1">
        <f t="shared" si="108"/>
        <v>1</v>
      </c>
      <c r="AA402"/>
      <c r="AB402"/>
    </row>
    <row r="403" spans="1:28" x14ac:dyDescent="0.55000000000000004">
      <c r="A403" s="1">
        <f t="shared" si="95"/>
        <v>403</v>
      </c>
      <c r="B403" t="s">
        <v>39</v>
      </c>
      <c r="C403" t="s">
        <v>196</v>
      </c>
      <c r="D403" t="s">
        <v>42</v>
      </c>
      <c r="E403" t="s">
        <v>1511</v>
      </c>
      <c r="F403" t="s">
        <v>985</v>
      </c>
      <c r="G403" t="s">
        <v>225</v>
      </c>
      <c r="H403" t="s">
        <v>565</v>
      </c>
      <c r="I403" t="s">
        <v>234</v>
      </c>
      <c r="J403" t="s">
        <v>1512</v>
      </c>
      <c r="K403" t="s">
        <v>227</v>
      </c>
      <c r="L403" t="s">
        <v>1007</v>
      </c>
      <c r="M403" t="s">
        <v>28</v>
      </c>
      <c r="N403" s="1">
        <f t="shared" si="96"/>
        <v>2</v>
      </c>
      <c r="O403" s="1">
        <f t="shared" si="97"/>
        <v>3</v>
      </c>
      <c r="P403" s="1">
        <f t="shared" si="98"/>
        <v>5</v>
      </c>
      <c r="Q403" s="1">
        <f t="shared" si="99"/>
        <v>1</v>
      </c>
      <c r="R403" s="1">
        <f t="shared" si="100"/>
        <v>0</v>
      </c>
      <c r="S403" s="1">
        <f t="shared" si="101"/>
        <v>0</v>
      </c>
      <c r="T403" s="1">
        <f t="shared" si="102"/>
        <v>1</v>
      </c>
      <c r="U403" s="26">
        <f t="shared" si="103"/>
        <v>1</v>
      </c>
      <c r="V403" s="26">
        <f t="shared" si="104"/>
        <v>1</v>
      </c>
      <c r="W403" s="1">
        <f t="shared" si="105"/>
        <v>0</v>
      </c>
      <c r="X403" s="26">
        <f t="shared" si="106"/>
        <v>1</v>
      </c>
      <c r="Y403" s="26">
        <f t="shared" si="107"/>
        <v>1</v>
      </c>
      <c r="Z403" s="1">
        <f t="shared" si="108"/>
        <v>1</v>
      </c>
      <c r="AA403"/>
      <c r="AB403"/>
    </row>
    <row r="404" spans="1:28" x14ac:dyDescent="0.55000000000000004">
      <c r="A404" s="1">
        <f t="shared" si="95"/>
        <v>404</v>
      </c>
      <c r="B404" t="s">
        <v>39</v>
      </c>
      <c r="C404" t="s">
        <v>196</v>
      </c>
      <c r="D404" t="s">
        <v>42</v>
      </c>
      <c r="E404" t="s">
        <v>1511</v>
      </c>
      <c r="F404" t="s">
        <v>1513</v>
      </c>
      <c r="G404" t="s">
        <v>219</v>
      </c>
      <c r="H404" t="s">
        <v>708</v>
      </c>
      <c r="I404" t="s">
        <v>231</v>
      </c>
      <c r="J404" t="s">
        <v>1514</v>
      </c>
      <c r="K404" t="s">
        <v>221</v>
      </c>
      <c r="L404" t="s">
        <v>1140</v>
      </c>
      <c r="M404" t="s">
        <v>28</v>
      </c>
      <c r="N404" s="1">
        <f t="shared" si="96"/>
        <v>0</v>
      </c>
      <c r="O404" s="1">
        <f t="shared" si="97"/>
        <v>0</v>
      </c>
      <c r="P404" s="1">
        <f t="shared" si="98"/>
        <v>0</v>
      </c>
      <c r="Q404" s="1">
        <f t="shared" si="99"/>
        <v>0</v>
      </c>
      <c r="R404" s="1">
        <f t="shared" si="100"/>
        <v>1</v>
      </c>
      <c r="S404" s="1">
        <f t="shared" si="101"/>
        <v>0</v>
      </c>
      <c r="T404" s="1">
        <f t="shared" si="102"/>
        <v>1</v>
      </c>
      <c r="U404" s="26">
        <f t="shared" si="103"/>
        <v>0</v>
      </c>
      <c r="V404" s="26">
        <f t="shared" si="104"/>
        <v>0</v>
      </c>
      <c r="W404" s="1">
        <f t="shared" si="105"/>
        <v>1</v>
      </c>
      <c r="X404" s="26">
        <f t="shared" si="106"/>
        <v>0</v>
      </c>
      <c r="Y404" s="26">
        <f t="shared" si="107"/>
        <v>0</v>
      </c>
      <c r="Z404" s="1">
        <f t="shared" si="108"/>
        <v>0</v>
      </c>
      <c r="AA404"/>
      <c r="AB404"/>
    </row>
    <row r="405" spans="1:28" x14ac:dyDescent="0.55000000000000004">
      <c r="A405" s="1">
        <f t="shared" si="95"/>
        <v>405</v>
      </c>
      <c r="B405" t="s">
        <v>37</v>
      </c>
      <c r="C405" t="s">
        <v>197</v>
      </c>
      <c r="D405" t="s">
        <v>179</v>
      </c>
      <c r="E405" t="s">
        <v>862</v>
      </c>
      <c r="F405" t="s">
        <v>315</v>
      </c>
      <c r="G405" t="s">
        <v>312</v>
      </c>
      <c r="H405" t="s">
        <v>575</v>
      </c>
      <c r="I405" t="s">
        <v>326</v>
      </c>
      <c r="J405" t="s">
        <v>863</v>
      </c>
      <c r="K405" t="s">
        <v>314</v>
      </c>
      <c r="L405" t="s">
        <v>861</v>
      </c>
      <c r="M405" t="s">
        <v>28</v>
      </c>
      <c r="N405" s="1">
        <f t="shared" si="96"/>
        <v>1</v>
      </c>
      <c r="O405" s="1">
        <f t="shared" si="97"/>
        <v>0</v>
      </c>
      <c r="P405" s="1">
        <f t="shared" si="98"/>
        <v>1</v>
      </c>
      <c r="Q405" s="1">
        <f t="shared" si="99"/>
        <v>1</v>
      </c>
      <c r="R405" s="1">
        <f t="shared" si="100"/>
        <v>1</v>
      </c>
      <c r="S405" s="1">
        <f t="shared" si="101"/>
        <v>1</v>
      </c>
      <c r="T405" s="1">
        <f t="shared" si="102"/>
        <v>1</v>
      </c>
      <c r="U405" s="26">
        <f t="shared" si="103"/>
        <v>1</v>
      </c>
      <c r="V405" s="26">
        <f t="shared" si="104"/>
        <v>0</v>
      </c>
      <c r="W405" s="1">
        <f t="shared" si="105"/>
        <v>1</v>
      </c>
      <c r="X405" s="26">
        <f t="shared" si="106"/>
        <v>0</v>
      </c>
      <c r="Y405" s="26">
        <f t="shared" si="107"/>
        <v>0</v>
      </c>
      <c r="Z405" s="1">
        <f t="shared" si="108"/>
        <v>0</v>
      </c>
      <c r="AA405"/>
      <c r="AB405"/>
    </row>
    <row r="406" spans="1:28" x14ac:dyDescent="0.55000000000000004">
      <c r="A406" s="1">
        <f t="shared" si="95"/>
        <v>406</v>
      </c>
      <c r="B406" t="s">
        <v>39</v>
      </c>
      <c r="C406" t="s">
        <v>196</v>
      </c>
      <c r="D406" t="s">
        <v>179</v>
      </c>
      <c r="E406" t="s">
        <v>862</v>
      </c>
      <c r="F406" t="s">
        <v>985</v>
      </c>
      <c r="G406" t="s">
        <v>226</v>
      </c>
      <c r="H406" t="s">
        <v>608</v>
      </c>
      <c r="I406" t="s">
        <v>235</v>
      </c>
      <c r="J406" t="s">
        <v>986</v>
      </c>
      <c r="K406" t="s">
        <v>241</v>
      </c>
      <c r="L406" t="s">
        <v>987</v>
      </c>
      <c r="M406" t="s">
        <v>28</v>
      </c>
      <c r="N406" s="1">
        <f t="shared" si="96"/>
        <v>1</v>
      </c>
      <c r="O406" s="1">
        <f t="shared" si="97"/>
        <v>1</v>
      </c>
      <c r="P406" s="1">
        <f t="shared" si="98"/>
        <v>2</v>
      </c>
      <c r="Q406" s="1">
        <f t="shared" si="99"/>
        <v>0</v>
      </c>
      <c r="R406" s="1">
        <f t="shared" si="100"/>
        <v>1</v>
      </c>
      <c r="S406" s="1">
        <f t="shared" si="101"/>
        <v>0</v>
      </c>
      <c r="T406" s="1">
        <f t="shared" si="102"/>
        <v>1</v>
      </c>
      <c r="U406" s="26">
        <f t="shared" si="103"/>
        <v>1</v>
      </c>
      <c r="V406" s="26">
        <f t="shared" si="104"/>
        <v>0</v>
      </c>
      <c r="W406" s="1">
        <f t="shared" si="105"/>
        <v>1</v>
      </c>
      <c r="X406" s="26">
        <f t="shared" si="106"/>
        <v>1</v>
      </c>
      <c r="Y406" s="26">
        <f t="shared" si="107"/>
        <v>0</v>
      </c>
      <c r="Z406" s="1">
        <f t="shared" si="108"/>
        <v>1</v>
      </c>
      <c r="AA406"/>
      <c r="AB406"/>
    </row>
    <row r="407" spans="1:28" x14ac:dyDescent="0.55000000000000004">
      <c r="A407" s="1">
        <f t="shared" si="95"/>
        <v>407</v>
      </c>
      <c r="B407" t="s">
        <v>33</v>
      </c>
      <c r="C407" t="s">
        <v>196</v>
      </c>
      <c r="D407" t="s">
        <v>174</v>
      </c>
      <c r="E407" t="s">
        <v>1180</v>
      </c>
      <c r="F407" t="s">
        <v>1181</v>
      </c>
      <c r="G407" t="s">
        <v>367</v>
      </c>
      <c r="H407" t="s">
        <v>678</v>
      </c>
      <c r="I407" t="s">
        <v>282</v>
      </c>
      <c r="J407" t="s">
        <v>1182</v>
      </c>
      <c r="K407" t="s">
        <v>368</v>
      </c>
      <c r="L407" t="s">
        <v>1183</v>
      </c>
      <c r="M407" t="s">
        <v>28</v>
      </c>
      <c r="N407" s="1">
        <f t="shared" si="96"/>
        <v>5</v>
      </c>
      <c r="O407" s="1">
        <f t="shared" si="97"/>
        <v>1</v>
      </c>
      <c r="P407" s="1">
        <f t="shared" si="98"/>
        <v>6</v>
      </c>
      <c r="Q407" s="1">
        <f t="shared" si="99"/>
        <v>1</v>
      </c>
      <c r="R407" s="1">
        <f t="shared" si="100"/>
        <v>0</v>
      </c>
      <c r="S407" s="1">
        <f t="shared" si="101"/>
        <v>0</v>
      </c>
      <c r="T407" s="1">
        <f t="shared" si="102"/>
        <v>0</v>
      </c>
      <c r="U407" s="26">
        <f t="shared" si="103"/>
        <v>0</v>
      </c>
      <c r="V407" s="26">
        <f t="shared" si="104"/>
        <v>1</v>
      </c>
      <c r="W407" s="1">
        <f t="shared" si="105"/>
        <v>1</v>
      </c>
      <c r="X407" s="26">
        <f t="shared" si="106"/>
        <v>1</v>
      </c>
      <c r="Y407" s="26">
        <f t="shared" si="107"/>
        <v>0</v>
      </c>
      <c r="Z407" s="1">
        <f t="shared" si="108"/>
        <v>1</v>
      </c>
      <c r="AA407"/>
      <c r="AB407"/>
    </row>
    <row r="408" spans="1:28" x14ac:dyDescent="0.55000000000000004">
      <c r="A408" s="1">
        <f t="shared" si="95"/>
        <v>408</v>
      </c>
      <c r="B408" t="s">
        <v>37</v>
      </c>
      <c r="C408" t="s">
        <v>200</v>
      </c>
      <c r="D408" t="s">
        <v>174</v>
      </c>
      <c r="E408" t="s">
        <v>1180</v>
      </c>
      <c r="F408" t="s">
        <v>315</v>
      </c>
      <c r="G408" t="s">
        <v>326</v>
      </c>
      <c r="H408" t="s">
        <v>664</v>
      </c>
      <c r="I408" t="s">
        <v>313</v>
      </c>
      <c r="J408" t="s">
        <v>1259</v>
      </c>
      <c r="K408" t="s">
        <v>327</v>
      </c>
      <c r="L408" t="s">
        <v>585</v>
      </c>
      <c r="M408" t="s">
        <v>28</v>
      </c>
      <c r="N408" s="1">
        <f t="shared" si="96"/>
        <v>2</v>
      </c>
      <c r="O408" s="1">
        <f t="shared" si="97"/>
        <v>2</v>
      </c>
      <c r="P408" s="1">
        <f t="shared" si="98"/>
        <v>4</v>
      </c>
      <c r="Q408" s="1">
        <f t="shared" si="99"/>
        <v>0</v>
      </c>
      <c r="R408" s="1">
        <f t="shared" si="100"/>
        <v>1</v>
      </c>
      <c r="S408" s="1">
        <f t="shared" si="101"/>
        <v>0</v>
      </c>
      <c r="T408" s="1">
        <f t="shared" si="102"/>
        <v>1</v>
      </c>
      <c r="U408" s="26">
        <f t="shared" si="103"/>
        <v>1</v>
      </c>
      <c r="V408" s="26">
        <f t="shared" si="104"/>
        <v>1</v>
      </c>
      <c r="W408" s="1">
        <f t="shared" si="105"/>
        <v>1</v>
      </c>
      <c r="X408" s="26">
        <f t="shared" si="106"/>
        <v>1</v>
      </c>
      <c r="Y408" s="26">
        <f t="shared" si="107"/>
        <v>1</v>
      </c>
      <c r="Z408" s="1">
        <f t="shared" si="108"/>
        <v>1</v>
      </c>
      <c r="AA408"/>
      <c r="AB408"/>
    </row>
    <row r="409" spans="1:28" x14ac:dyDescent="0.55000000000000004">
      <c r="A409" s="1">
        <f t="shared" si="95"/>
        <v>409</v>
      </c>
      <c r="B409" t="s">
        <v>37</v>
      </c>
      <c r="C409" t="s">
        <v>200</v>
      </c>
      <c r="D409" t="s">
        <v>174</v>
      </c>
      <c r="E409" t="s">
        <v>1180</v>
      </c>
      <c r="F409" t="s">
        <v>315</v>
      </c>
      <c r="G409" t="s">
        <v>321</v>
      </c>
      <c r="H409" t="s">
        <v>590</v>
      </c>
      <c r="I409" t="s">
        <v>322</v>
      </c>
      <c r="J409" t="s">
        <v>1260</v>
      </c>
      <c r="K409" t="s">
        <v>323</v>
      </c>
      <c r="L409" t="s">
        <v>591</v>
      </c>
      <c r="M409" t="s">
        <v>28</v>
      </c>
      <c r="N409" s="1">
        <f t="shared" si="96"/>
        <v>0</v>
      </c>
      <c r="O409" s="1">
        <f t="shared" si="97"/>
        <v>1</v>
      </c>
      <c r="P409" s="1">
        <f t="shared" si="98"/>
        <v>1</v>
      </c>
      <c r="Q409" s="1">
        <f t="shared" si="99"/>
        <v>1</v>
      </c>
      <c r="R409" s="1">
        <f t="shared" si="100"/>
        <v>1</v>
      </c>
      <c r="S409" s="1">
        <f t="shared" si="101"/>
        <v>1</v>
      </c>
      <c r="T409" s="1">
        <f t="shared" si="102"/>
        <v>1</v>
      </c>
      <c r="U409" s="26">
        <f t="shared" si="103"/>
        <v>0</v>
      </c>
      <c r="V409" s="26">
        <f t="shared" si="104"/>
        <v>0</v>
      </c>
      <c r="W409" s="1">
        <f t="shared" si="105"/>
        <v>1</v>
      </c>
      <c r="X409" s="26">
        <f t="shared" si="106"/>
        <v>1</v>
      </c>
      <c r="Y409" s="26">
        <f t="shared" si="107"/>
        <v>0</v>
      </c>
      <c r="Z409" s="1">
        <f t="shared" si="108"/>
        <v>0</v>
      </c>
      <c r="AA409"/>
      <c r="AB409"/>
    </row>
    <row r="410" spans="1:28" x14ac:dyDescent="0.55000000000000004">
      <c r="A410" s="1">
        <f t="shared" si="95"/>
        <v>410</v>
      </c>
      <c r="B410" t="s">
        <v>37</v>
      </c>
      <c r="C410" t="s">
        <v>200</v>
      </c>
      <c r="D410" t="s">
        <v>174</v>
      </c>
      <c r="E410" t="s">
        <v>1180</v>
      </c>
      <c r="F410" t="s">
        <v>311</v>
      </c>
      <c r="G410" t="s">
        <v>319</v>
      </c>
      <c r="H410" t="s">
        <v>575</v>
      </c>
      <c r="I410" t="s">
        <v>324</v>
      </c>
      <c r="J410" t="s">
        <v>1261</v>
      </c>
      <c r="K410" t="s">
        <v>330</v>
      </c>
      <c r="L410" t="s">
        <v>875</v>
      </c>
      <c r="M410" t="s">
        <v>28</v>
      </c>
      <c r="N410" s="1">
        <f t="shared" si="96"/>
        <v>1</v>
      </c>
      <c r="O410" s="1">
        <f t="shared" si="97"/>
        <v>0</v>
      </c>
      <c r="P410" s="1">
        <f t="shared" si="98"/>
        <v>1</v>
      </c>
      <c r="Q410" s="1">
        <f t="shared" si="99"/>
        <v>1</v>
      </c>
      <c r="R410" s="1">
        <f t="shared" si="100"/>
        <v>1</v>
      </c>
      <c r="S410" s="1">
        <f t="shared" si="101"/>
        <v>1</v>
      </c>
      <c r="T410" s="1">
        <f t="shared" si="102"/>
        <v>1</v>
      </c>
      <c r="U410" s="26">
        <f t="shared" si="103"/>
        <v>1</v>
      </c>
      <c r="V410" s="26">
        <f t="shared" si="104"/>
        <v>0</v>
      </c>
      <c r="W410" s="1">
        <f t="shared" si="105"/>
        <v>1</v>
      </c>
      <c r="X410" s="26">
        <f t="shared" si="106"/>
        <v>0</v>
      </c>
      <c r="Y410" s="26">
        <f t="shared" si="107"/>
        <v>0</v>
      </c>
      <c r="Z410" s="1">
        <f t="shared" si="108"/>
        <v>0</v>
      </c>
      <c r="AA410"/>
      <c r="AB410"/>
    </row>
    <row r="411" spans="1:28" x14ac:dyDescent="0.55000000000000004">
      <c r="A411" s="1">
        <f t="shared" si="95"/>
        <v>411</v>
      </c>
      <c r="B411" t="s">
        <v>37</v>
      </c>
      <c r="C411" t="s">
        <v>200</v>
      </c>
      <c r="D411" t="s">
        <v>174</v>
      </c>
      <c r="E411" t="s">
        <v>1180</v>
      </c>
      <c r="F411" t="s">
        <v>311</v>
      </c>
      <c r="G411" t="s">
        <v>328</v>
      </c>
      <c r="H411" t="s">
        <v>565</v>
      </c>
      <c r="I411" t="s">
        <v>312</v>
      </c>
      <c r="J411" t="s">
        <v>1262</v>
      </c>
      <c r="K411" t="s">
        <v>329</v>
      </c>
      <c r="L411" t="s">
        <v>593</v>
      </c>
      <c r="M411" t="s">
        <v>28</v>
      </c>
      <c r="N411" s="1">
        <f t="shared" si="96"/>
        <v>2</v>
      </c>
      <c r="O411" s="1">
        <f t="shared" si="97"/>
        <v>3</v>
      </c>
      <c r="P411" s="1">
        <f t="shared" si="98"/>
        <v>5</v>
      </c>
      <c r="Q411" s="1">
        <f t="shared" si="99"/>
        <v>1</v>
      </c>
      <c r="R411" s="1">
        <f t="shared" si="100"/>
        <v>0</v>
      </c>
      <c r="S411" s="1">
        <f t="shared" si="101"/>
        <v>0</v>
      </c>
      <c r="T411" s="1">
        <f t="shared" si="102"/>
        <v>1</v>
      </c>
      <c r="U411" s="26">
        <f t="shared" si="103"/>
        <v>1</v>
      </c>
      <c r="V411" s="26">
        <f t="shared" si="104"/>
        <v>1</v>
      </c>
      <c r="W411" s="1">
        <f t="shared" si="105"/>
        <v>0</v>
      </c>
      <c r="X411" s="26">
        <f t="shared" si="106"/>
        <v>1</v>
      </c>
      <c r="Y411" s="26">
        <f t="shared" si="107"/>
        <v>1</v>
      </c>
      <c r="Z411" s="1">
        <f t="shared" si="108"/>
        <v>1</v>
      </c>
      <c r="AA411"/>
      <c r="AB411"/>
    </row>
    <row r="412" spans="1:28" x14ac:dyDescent="0.55000000000000004">
      <c r="A412" s="1">
        <f t="shared" si="95"/>
        <v>412</v>
      </c>
      <c r="B412" t="s">
        <v>37</v>
      </c>
      <c r="C412" t="s">
        <v>200</v>
      </c>
      <c r="D412" t="s">
        <v>133</v>
      </c>
      <c r="E412" t="s">
        <v>586</v>
      </c>
      <c r="F412" t="s">
        <v>315</v>
      </c>
      <c r="G412" t="s">
        <v>316</v>
      </c>
      <c r="H412" t="s">
        <v>579</v>
      </c>
      <c r="I412" t="s">
        <v>318</v>
      </c>
      <c r="K412" t="s">
        <v>341</v>
      </c>
      <c r="L412" t="s">
        <v>587</v>
      </c>
      <c r="M412" t="s">
        <v>28</v>
      </c>
      <c r="N412" s="1">
        <f t="shared" si="96"/>
        <v>2</v>
      </c>
      <c r="O412" s="1">
        <f t="shared" si="97"/>
        <v>1</v>
      </c>
      <c r="P412" s="1">
        <f t="shared" si="98"/>
        <v>3</v>
      </c>
      <c r="Q412" s="1">
        <f t="shared" si="99"/>
        <v>1</v>
      </c>
      <c r="R412" s="1">
        <f t="shared" si="100"/>
        <v>1</v>
      </c>
      <c r="S412" s="1">
        <f t="shared" si="101"/>
        <v>1</v>
      </c>
      <c r="T412" s="1">
        <f t="shared" si="102"/>
        <v>1</v>
      </c>
      <c r="U412" s="26">
        <f t="shared" si="103"/>
        <v>1</v>
      </c>
      <c r="V412" s="26">
        <f t="shared" si="104"/>
        <v>1</v>
      </c>
      <c r="W412" s="1">
        <f t="shared" si="105"/>
        <v>1</v>
      </c>
      <c r="X412" s="26">
        <f t="shared" si="106"/>
        <v>1</v>
      </c>
      <c r="Y412" s="26">
        <f t="shared" si="107"/>
        <v>0</v>
      </c>
      <c r="Z412" s="1">
        <f t="shared" si="108"/>
        <v>1</v>
      </c>
      <c r="AA412"/>
      <c r="AB412"/>
    </row>
    <row r="413" spans="1:28" x14ac:dyDescent="0.55000000000000004">
      <c r="A413" s="1">
        <f t="shared" si="95"/>
        <v>413</v>
      </c>
      <c r="B413" t="s">
        <v>33</v>
      </c>
      <c r="C413" t="s">
        <v>196</v>
      </c>
      <c r="D413" t="s">
        <v>133</v>
      </c>
      <c r="E413" t="s">
        <v>586</v>
      </c>
      <c r="F413" t="s">
        <v>409</v>
      </c>
      <c r="G413" t="s">
        <v>284</v>
      </c>
      <c r="H413" t="s">
        <v>722</v>
      </c>
      <c r="I413" t="s">
        <v>362</v>
      </c>
      <c r="J413" t="s">
        <v>1740</v>
      </c>
      <c r="K413" t="s">
        <v>286</v>
      </c>
      <c r="L413" t="s">
        <v>812</v>
      </c>
      <c r="M413" t="s">
        <v>28</v>
      </c>
      <c r="N413" s="1">
        <f t="shared" si="96"/>
        <v>3</v>
      </c>
      <c r="O413" s="1">
        <f t="shared" si="97"/>
        <v>0</v>
      </c>
      <c r="P413" s="1">
        <f t="shared" si="98"/>
        <v>3</v>
      </c>
      <c r="Q413" s="1">
        <f t="shared" si="99"/>
        <v>1</v>
      </c>
      <c r="R413" s="1">
        <f t="shared" si="100"/>
        <v>1</v>
      </c>
      <c r="S413" s="1">
        <f t="shared" si="101"/>
        <v>1</v>
      </c>
      <c r="T413" s="1">
        <f t="shared" si="102"/>
        <v>0</v>
      </c>
      <c r="U413" s="26">
        <f t="shared" si="103"/>
        <v>1</v>
      </c>
      <c r="V413" s="26">
        <f t="shared" si="104"/>
        <v>1</v>
      </c>
      <c r="W413" s="1">
        <f t="shared" si="105"/>
        <v>1</v>
      </c>
      <c r="X413" s="26">
        <f t="shared" si="106"/>
        <v>0</v>
      </c>
      <c r="Y413" s="26">
        <f t="shared" si="107"/>
        <v>0</v>
      </c>
      <c r="Z413" s="1">
        <f t="shared" si="108"/>
        <v>1</v>
      </c>
      <c r="AA413"/>
      <c r="AB413"/>
    </row>
    <row r="414" spans="1:28" x14ac:dyDescent="0.55000000000000004">
      <c r="A414" s="1">
        <f t="shared" si="95"/>
        <v>414</v>
      </c>
      <c r="B414" t="s">
        <v>33</v>
      </c>
      <c r="C414" t="s">
        <v>196</v>
      </c>
      <c r="D414" t="s">
        <v>133</v>
      </c>
      <c r="E414" t="s">
        <v>586</v>
      </c>
      <c r="F414" t="s">
        <v>409</v>
      </c>
      <c r="G414" t="s">
        <v>299</v>
      </c>
      <c r="H414" t="s">
        <v>708</v>
      </c>
      <c r="I414" t="s">
        <v>292</v>
      </c>
      <c r="J414" t="s">
        <v>1741</v>
      </c>
      <c r="K414" t="s">
        <v>366</v>
      </c>
      <c r="L414" t="s">
        <v>804</v>
      </c>
      <c r="M414" t="s">
        <v>28</v>
      </c>
      <c r="N414" s="1">
        <f t="shared" si="96"/>
        <v>0</v>
      </c>
      <c r="O414" s="1">
        <f t="shared" si="97"/>
        <v>0</v>
      </c>
      <c r="P414" s="1">
        <f t="shared" si="98"/>
        <v>0</v>
      </c>
      <c r="Q414" s="1">
        <f t="shared" si="99"/>
        <v>0</v>
      </c>
      <c r="R414" s="1">
        <f t="shared" si="100"/>
        <v>1</v>
      </c>
      <c r="S414" s="1">
        <f t="shared" si="101"/>
        <v>0</v>
      </c>
      <c r="T414" s="1">
        <f t="shared" si="102"/>
        <v>1</v>
      </c>
      <c r="U414" s="26">
        <f t="shared" si="103"/>
        <v>0</v>
      </c>
      <c r="V414" s="26">
        <f t="shared" si="104"/>
        <v>0</v>
      </c>
      <c r="W414" s="1">
        <f t="shared" si="105"/>
        <v>1</v>
      </c>
      <c r="X414" s="26">
        <f t="shared" si="106"/>
        <v>0</v>
      </c>
      <c r="Y414" s="26">
        <f t="shared" si="107"/>
        <v>0</v>
      </c>
      <c r="Z414" s="1">
        <f t="shared" si="108"/>
        <v>0</v>
      </c>
      <c r="AA414"/>
      <c r="AB414"/>
    </row>
    <row r="415" spans="1:28" x14ac:dyDescent="0.55000000000000004">
      <c r="A415" s="1">
        <f t="shared" si="95"/>
        <v>415</v>
      </c>
      <c r="B415" t="s">
        <v>33</v>
      </c>
      <c r="C415" t="s">
        <v>196</v>
      </c>
      <c r="D415" t="s">
        <v>133</v>
      </c>
      <c r="E415" t="s">
        <v>586</v>
      </c>
      <c r="F415" t="s">
        <v>1674</v>
      </c>
      <c r="G415" t="s">
        <v>360</v>
      </c>
      <c r="H415" t="s">
        <v>1669</v>
      </c>
      <c r="I415" t="s">
        <v>279</v>
      </c>
      <c r="J415" t="s">
        <v>1742</v>
      </c>
      <c r="K415" t="s">
        <v>371</v>
      </c>
      <c r="L415" t="s">
        <v>808</v>
      </c>
      <c r="M415" t="s">
        <v>28</v>
      </c>
      <c r="N415" s="1">
        <f t="shared" si="96"/>
        <v>5</v>
      </c>
      <c r="O415" s="1">
        <f t="shared" si="97"/>
        <v>3</v>
      </c>
      <c r="P415" s="1">
        <f t="shared" si="98"/>
        <v>8</v>
      </c>
      <c r="Q415" s="1">
        <f t="shared" si="99"/>
        <v>1</v>
      </c>
      <c r="R415" s="1">
        <f t="shared" si="100"/>
        <v>0</v>
      </c>
      <c r="S415" s="1">
        <f t="shared" si="101"/>
        <v>0</v>
      </c>
      <c r="T415" s="1">
        <f t="shared" si="102"/>
        <v>0</v>
      </c>
      <c r="U415" s="26">
        <f t="shared" si="103"/>
        <v>0</v>
      </c>
      <c r="V415" s="26">
        <f t="shared" si="104"/>
        <v>1</v>
      </c>
      <c r="W415" s="1">
        <f t="shared" si="105"/>
        <v>0</v>
      </c>
      <c r="X415" s="26">
        <f t="shared" si="106"/>
        <v>1</v>
      </c>
      <c r="Y415" s="26">
        <f t="shared" si="107"/>
        <v>1</v>
      </c>
      <c r="Z415" s="1">
        <f t="shared" si="108"/>
        <v>1</v>
      </c>
      <c r="AA415"/>
      <c r="AB415"/>
    </row>
    <row r="416" spans="1:28" x14ac:dyDescent="0.55000000000000004">
      <c r="A416" s="1">
        <f t="shared" si="95"/>
        <v>416</v>
      </c>
      <c r="B416" t="s">
        <v>33</v>
      </c>
      <c r="C416" t="s">
        <v>196</v>
      </c>
      <c r="D416" t="s">
        <v>133</v>
      </c>
      <c r="E416" t="s">
        <v>586</v>
      </c>
      <c r="F416" t="s">
        <v>1181</v>
      </c>
      <c r="G416" t="s">
        <v>365</v>
      </c>
      <c r="H416" t="s">
        <v>570</v>
      </c>
      <c r="I416" t="s">
        <v>285</v>
      </c>
      <c r="J416" t="s">
        <v>1743</v>
      </c>
      <c r="K416" t="s">
        <v>369</v>
      </c>
      <c r="L416" t="s">
        <v>806</v>
      </c>
      <c r="M416" t="s">
        <v>28</v>
      </c>
      <c r="N416" s="1">
        <f t="shared" si="96"/>
        <v>3</v>
      </c>
      <c r="O416" s="1">
        <f t="shared" si="97"/>
        <v>1</v>
      </c>
      <c r="P416" s="1">
        <f t="shared" si="98"/>
        <v>4</v>
      </c>
      <c r="Q416" s="1">
        <f t="shared" si="99"/>
        <v>1</v>
      </c>
      <c r="R416" s="1">
        <f t="shared" si="100"/>
        <v>1</v>
      </c>
      <c r="S416" s="1">
        <f t="shared" si="101"/>
        <v>1</v>
      </c>
      <c r="T416" s="1">
        <f t="shared" si="102"/>
        <v>0</v>
      </c>
      <c r="U416" s="26">
        <f t="shared" si="103"/>
        <v>1</v>
      </c>
      <c r="V416" s="26">
        <f t="shared" si="104"/>
        <v>1</v>
      </c>
      <c r="W416" s="1">
        <f t="shared" si="105"/>
        <v>1</v>
      </c>
      <c r="X416" s="26">
        <f t="shared" si="106"/>
        <v>1</v>
      </c>
      <c r="Y416" s="26">
        <f t="shared" si="107"/>
        <v>0</v>
      </c>
      <c r="Z416" s="1">
        <f t="shared" si="108"/>
        <v>1</v>
      </c>
      <c r="AA416"/>
      <c r="AB416"/>
    </row>
    <row r="417" spans="1:28" x14ac:dyDescent="0.55000000000000004">
      <c r="A417" s="1">
        <f t="shared" si="95"/>
        <v>417</v>
      </c>
      <c r="B417" t="s">
        <v>33</v>
      </c>
      <c r="C417" t="s">
        <v>196</v>
      </c>
      <c r="D417" t="s">
        <v>133</v>
      </c>
      <c r="E417" t="s">
        <v>586</v>
      </c>
      <c r="F417" t="s">
        <v>1181</v>
      </c>
      <c r="G417" t="s">
        <v>288</v>
      </c>
      <c r="H417" t="s">
        <v>581</v>
      </c>
      <c r="I417" t="s">
        <v>278</v>
      </c>
      <c r="J417" t="s">
        <v>1744</v>
      </c>
      <c r="K417" t="s">
        <v>361</v>
      </c>
      <c r="L417" t="s">
        <v>1206</v>
      </c>
      <c r="M417" t="s">
        <v>28</v>
      </c>
      <c r="N417" s="1">
        <f t="shared" si="96"/>
        <v>1</v>
      </c>
      <c r="O417" s="1">
        <f t="shared" si="97"/>
        <v>2</v>
      </c>
      <c r="P417" s="1">
        <f t="shared" si="98"/>
        <v>3</v>
      </c>
      <c r="Q417" s="1">
        <f t="shared" si="99"/>
        <v>1</v>
      </c>
      <c r="R417" s="1">
        <f t="shared" si="100"/>
        <v>1</v>
      </c>
      <c r="S417" s="1">
        <f t="shared" si="101"/>
        <v>1</v>
      </c>
      <c r="T417" s="1">
        <f t="shared" si="102"/>
        <v>1</v>
      </c>
      <c r="U417" s="26">
        <f t="shared" si="103"/>
        <v>1</v>
      </c>
      <c r="V417" s="26">
        <f t="shared" si="104"/>
        <v>0</v>
      </c>
      <c r="W417" s="1">
        <f t="shared" si="105"/>
        <v>1</v>
      </c>
      <c r="X417" s="26">
        <f t="shared" si="106"/>
        <v>1</v>
      </c>
      <c r="Y417" s="26">
        <f t="shared" si="107"/>
        <v>1</v>
      </c>
      <c r="Z417" s="1">
        <f t="shared" si="108"/>
        <v>1</v>
      </c>
      <c r="AA417"/>
      <c r="AB417"/>
    </row>
    <row r="418" spans="1:28" x14ac:dyDescent="0.55000000000000004">
      <c r="A418" s="1">
        <f t="shared" si="95"/>
        <v>418</v>
      </c>
      <c r="B418" t="s">
        <v>39</v>
      </c>
      <c r="C418" t="s">
        <v>197</v>
      </c>
      <c r="D418" t="s">
        <v>133</v>
      </c>
      <c r="E418" t="s">
        <v>586</v>
      </c>
      <c r="F418" t="s">
        <v>1513</v>
      </c>
      <c r="G418" t="s">
        <v>234</v>
      </c>
      <c r="H418" t="s">
        <v>608</v>
      </c>
      <c r="I418" t="s">
        <v>226</v>
      </c>
      <c r="J418" t="s">
        <v>1843</v>
      </c>
      <c r="K418" t="s">
        <v>236</v>
      </c>
      <c r="L418" t="s">
        <v>991</v>
      </c>
      <c r="M418" t="s">
        <v>28</v>
      </c>
      <c r="N418" s="1">
        <f t="shared" si="96"/>
        <v>1</v>
      </c>
      <c r="O418" s="1">
        <f t="shared" si="97"/>
        <v>1</v>
      </c>
      <c r="P418" s="1">
        <f t="shared" si="98"/>
        <v>2</v>
      </c>
      <c r="Q418" s="1">
        <f t="shared" si="99"/>
        <v>0</v>
      </c>
      <c r="R418" s="1">
        <f t="shared" si="100"/>
        <v>1</v>
      </c>
      <c r="S418" s="1">
        <f t="shared" si="101"/>
        <v>0</v>
      </c>
      <c r="T418" s="1">
        <f t="shared" si="102"/>
        <v>1</v>
      </c>
      <c r="U418" s="26">
        <f t="shared" si="103"/>
        <v>1</v>
      </c>
      <c r="V418" s="26">
        <f t="shared" si="104"/>
        <v>0</v>
      </c>
      <c r="W418" s="1">
        <f t="shared" si="105"/>
        <v>1</v>
      </c>
      <c r="X418" s="26">
        <f t="shared" si="106"/>
        <v>1</v>
      </c>
      <c r="Y418" s="26">
        <f t="shared" si="107"/>
        <v>0</v>
      </c>
      <c r="Z418" s="1">
        <f t="shared" si="108"/>
        <v>1</v>
      </c>
      <c r="AA418"/>
      <c r="AB418"/>
    </row>
    <row r="419" spans="1:28" x14ac:dyDescent="0.55000000000000004">
      <c r="A419" s="1">
        <f t="shared" si="95"/>
        <v>419</v>
      </c>
      <c r="B419" t="s">
        <v>39</v>
      </c>
      <c r="C419" t="s">
        <v>197</v>
      </c>
      <c r="D419" t="s">
        <v>133</v>
      </c>
      <c r="E419" t="s">
        <v>586</v>
      </c>
      <c r="F419" t="s">
        <v>1513</v>
      </c>
      <c r="G419" t="s">
        <v>231</v>
      </c>
      <c r="H419" t="s">
        <v>683</v>
      </c>
      <c r="I419" t="s">
        <v>223</v>
      </c>
      <c r="J419" t="s">
        <v>1844</v>
      </c>
      <c r="K419" t="s">
        <v>233</v>
      </c>
      <c r="L419" t="s">
        <v>1540</v>
      </c>
      <c r="M419" t="s">
        <v>28</v>
      </c>
      <c r="N419" s="1">
        <f t="shared" si="96"/>
        <v>3</v>
      </c>
      <c r="O419" s="1">
        <f t="shared" si="97"/>
        <v>2</v>
      </c>
      <c r="P419" s="1">
        <f t="shared" si="98"/>
        <v>5</v>
      </c>
      <c r="Q419" s="1">
        <f t="shared" si="99"/>
        <v>1</v>
      </c>
      <c r="R419" s="1">
        <f t="shared" si="100"/>
        <v>0</v>
      </c>
      <c r="S419" s="1">
        <f t="shared" si="101"/>
        <v>0</v>
      </c>
      <c r="T419" s="1">
        <f t="shared" si="102"/>
        <v>0</v>
      </c>
      <c r="U419" s="26">
        <f t="shared" si="103"/>
        <v>1</v>
      </c>
      <c r="V419" s="26">
        <f t="shared" si="104"/>
        <v>1</v>
      </c>
      <c r="W419" s="1">
        <f t="shared" si="105"/>
        <v>1</v>
      </c>
      <c r="X419" s="26">
        <f t="shared" si="106"/>
        <v>1</v>
      </c>
      <c r="Y419" s="26">
        <f t="shared" si="107"/>
        <v>1</v>
      </c>
      <c r="Z419" s="1">
        <f t="shared" si="108"/>
        <v>1</v>
      </c>
      <c r="AA419"/>
      <c r="AB419"/>
    </row>
    <row r="420" spans="1:28" x14ac:dyDescent="0.55000000000000004">
      <c r="A420" s="1">
        <f t="shared" si="95"/>
        <v>420</v>
      </c>
      <c r="B420" t="s">
        <v>33</v>
      </c>
      <c r="C420" t="s">
        <v>196</v>
      </c>
      <c r="D420" t="s">
        <v>42</v>
      </c>
      <c r="E420" t="s">
        <v>1423</v>
      </c>
      <c r="F420" t="s">
        <v>409</v>
      </c>
      <c r="G420" t="s">
        <v>296</v>
      </c>
      <c r="H420" t="s">
        <v>573</v>
      </c>
      <c r="I420" t="s">
        <v>291</v>
      </c>
      <c r="J420" t="s">
        <v>1424</v>
      </c>
      <c r="K420" t="s">
        <v>297</v>
      </c>
      <c r="L420" t="s">
        <v>569</v>
      </c>
      <c r="M420" t="s">
        <v>28</v>
      </c>
      <c r="N420" s="1">
        <f t="shared" si="96"/>
        <v>2</v>
      </c>
      <c r="O420" s="1">
        <f t="shared" si="97"/>
        <v>0</v>
      </c>
      <c r="P420" s="1">
        <f t="shared" si="98"/>
        <v>2</v>
      </c>
      <c r="Q420" s="1">
        <f t="shared" si="99"/>
        <v>1</v>
      </c>
      <c r="R420" s="1">
        <f t="shared" si="100"/>
        <v>1</v>
      </c>
      <c r="S420" s="1">
        <f t="shared" si="101"/>
        <v>1</v>
      </c>
      <c r="T420" s="1">
        <f t="shared" si="102"/>
        <v>1</v>
      </c>
      <c r="U420" s="26">
        <f t="shared" si="103"/>
        <v>1</v>
      </c>
      <c r="V420" s="26">
        <f t="shared" si="104"/>
        <v>1</v>
      </c>
      <c r="W420" s="1">
        <f t="shared" si="105"/>
        <v>1</v>
      </c>
      <c r="X420" s="26">
        <f t="shared" si="106"/>
        <v>0</v>
      </c>
      <c r="Y420" s="26">
        <f t="shared" si="107"/>
        <v>0</v>
      </c>
      <c r="Z420" s="1">
        <f t="shared" si="108"/>
        <v>1</v>
      </c>
      <c r="AA420"/>
      <c r="AB420"/>
    </row>
    <row r="421" spans="1:28" x14ac:dyDescent="0.55000000000000004">
      <c r="A421" s="1">
        <f t="shared" si="95"/>
        <v>421</v>
      </c>
      <c r="B421" t="s">
        <v>33</v>
      </c>
      <c r="C421" t="s">
        <v>196</v>
      </c>
      <c r="D421" t="s">
        <v>42</v>
      </c>
      <c r="E421" t="s">
        <v>1423</v>
      </c>
      <c r="F421" t="s">
        <v>390</v>
      </c>
      <c r="G421" t="s">
        <v>287</v>
      </c>
      <c r="H421" t="s">
        <v>568</v>
      </c>
      <c r="I421" t="s">
        <v>281</v>
      </c>
      <c r="J421" t="s">
        <v>1425</v>
      </c>
      <c r="K421" t="s">
        <v>289</v>
      </c>
      <c r="L421" t="s">
        <v>810</v>
      </c>
      <c r="M421" t="s">
        <v>28</v>
      </c>
      <c r="N421" s="1">
        <f t="shared" si="96"/>
        <v>0</v>
      </c>
      <c r="O421" s="1">
        <f t="shared" si="97"/>
        <v>2</v>
      </c>
      <c r="P421" s="1">
        <f t="shared" si="98"/>
        <v>2</v>
      </c>
      <c r="Q421" s="1">
        <f t="shared" si="99"/>
        <v>1</v>
      </c>
      <c r="R421" s="1">
        <f t="shared" si="100"/>
        <v>1</v>
      </c>
      <c r="S421" s="1">
        <f t="shared" si="101"/>
        <v>1</v>
      </c>
      <c r="T421" s="1">
        <f t="shared" si="102"/>
        <v>1</v>
      </c>
      <c r="U421" s="26">
        <f t="shared" si="103"/>
        <v>0</v>
      </c>
      <c r="V421" s="26">
        <f t="shared" si="104"/>
        <v>0</v>
      </c>
      <c r="W421" s="1">
        <f t="shared" si="105"/>
        <v>1</v>
      </c>
      <c r="X421" s="26">
        <f t="shared" si="106"/>
        <v>1</v>
      </c>
      <c r="Y421" s="26">
        <f t="shared" si="107"/>
        <v>1</v>
      </c>
      <c r="Z421" s="1">
        <f t="shared" si="108"/>
        <v>1</v>
      </c>
      <c r="AA421"/>
      <c r="AB421"/>
    </row>
    <row r="422" spans="1:28" x14ac:dyDescent="0.55000000000000004">
      <c r="A422" s="1">
        <f t="shared" si="95"/>
        <v>422</v>
      </c>
      <c r="B422" t="s">
        <v>39</v>
      </c>
      <c r="C422" t="s">
        <v>197</v>
      </c>
      <c r="D422" t="s">
        <v>42</v>
      </c>
      <c r="E422" t="s">
        <v>1423</v>
      </c>
      <c r="F422" t="s">
        <v>985</v>
      </c>
      <c r="G422" t="s">
        <v>232</v>
      </c>
      <c r="H422" t="s">
        <v>608</v>
      </c>
      <c r="I422" t="s">
        <v>225</v>
      </c>
      <c r="J422" t="s">
        <v>1515</v>
      </c>
      <c r="K422" t="s">
        <v>238</v>
      </c>
      <c r="L422" t="s">
        <v>987</v>
      </c>
      <c r="M422" t="s">
        <v>28</v>
      </c>
      <c r="N422" s="1">
        <f t="shared" si="96"/>
        <v>1</v>
      </c>
      <c r="O422" s="1">
        <f t="shared" si="97"/>
        <v>1</v>
      </c>
      <c r="P422" s="1">
        <f t="shared" si="98"/>
        <v>2</v>
      </c>
      <c r="Q422" s="1">
        <f t="shared" si="99"/>
        <v>0</v>
      </c>
      <c r="R422" s="1">
        <f t="shared" si="100"/>
        <v>1</v>
      </c>
      <c r="S422" s="1">
        <f t="shared" si="101"/>
        <v>0</v>
      </c>
      <c r="T422" s="1">
        <f t="shared" si="102"/>
        <v>1</v>
      </c>
      <c r="U422" s="26">
        <f t="shared" si="103"/>
        <v>1</v>
      </c>
      <c r="V422" s="26">
        <f t="shared" si="104"/>
        <v>0</v>
      </c>
      <c r="W422" s="1">
        <f t="shared" si="105"/>
        <v>1</v>
      </c>
      <c r="X422" s="26">
        <f t="shared" si="106"/>
        <v>1</v>
      </c>
      <c r="Y422" s="26">
        <f t="shared" si="107"/>
        <v>0</v>
      </c>
      <c r="Z422" s="1">
        <f t="shared" si="108"/>
        <v>1</v>
      </c>
      <c r="AA422"/>
      <c r="AB422"/>
    </row>
    <row r="423" spans="1:28" x14ac:dyDescent="0.55000000000000004">
      <c r="A423" s="1">
        <f t="shared" si="95"/>
        <v>423</v>
      </c>
      <c r="B423" t="s">
        <v>39</v>
      </c>
      <c r="C423" t="s">
        <v>197</v>
      </c>
      <c r="D423" t="s">
        <v>42</v>
      </c>
      <c r="E423" t="s">
        <v>1423</v>
      </c>
      <c r="F423" t="s">
        <v>1513</v>
      </c>
      <c r="G423" t="s">
        <v>235</v>
      </c>
      <c r="H423" t="s">
        <v>579</v>
      </c>
      <c r="I423" t="s">
        <v>219</v>
      </c>
      <c r="J423" t="s">
        <v>1516</v>
      </c>
      <c r="K423" t="s">
        <v>242</v>
      </c>
      <c r="L423" t="s">
        <v>1142</v>
      </c>
      <c r="M423" t="s">
        <v>28</v>
      </c>
      <c r="N423" s="1">
        <f t="shared" si="96"/>
        <v>2</v>
      </c>
      <c r="O423" s="1">
        <f t="shared" si="97"/>
        <v>1</v>
      </c>
      <c r="P423" s="1">
        <f t="shared" si="98"/>
        <v>3</v>
      </c>
      <c r="Q423" s="1">
        <f t="shared" si="99"/>
        <v>1</v>
      </c>
      <c r="R423" s="1">
        <f t="shared" si="100"/>
        <v>1</v>
      </c>
      <c r="S423" s="1">
        <f t="shared" si="101"/>
        <v>1</v>
      </c>
      <c r="T423" s="1">
        <f t="shared" si="102"/>
        <v>1</v>
      </c>
      <c r="U423" s="26">
        <f t="shared" si="103"/>
        <v>1</v>
      </c>
      <c r="V423" s="26">
        <f t="shared" si="104"/>
        <v>1</v>
      </c>
      <c r="W423" s="1">
        <f t="shared" si="105"/>
        <v>1</v>
      </c>
      <c r="X423" s="26">
        <f t="shared" si="106"/>
        <v>1</v>
      </c>
      <c r="Y423" s="26">
        <f t="shared" si="107"/>
        <v>0</v>
      </c>
      <c r="Z423" s="1">
        <f t="shared" si="108"/>
        <v>1</v>
      </c>
      <c r="AA423"/>
      <c r="AB423"/>
    </row>
    <row r="424" spans="1:28" x14ac:dyDescent="0.55000000000000004">
      <c r="A424" s="1">
        <f t="shared" si="95"/>
        <v>424</v>
      </c>
      <c r="B424" t="s">
        <v>37</v>
      </c>
      <c r="C424" t="s">
        <v>197</v>
      </c>
      <c r="D424" t="s">
        <v>179</v>
      </c>
      <c r="E424" t="s">
        <v>864</v>
      </c>
      <c r="F424" t="s">
        <v>315</v>
      </c>
      <c r="G424" t="s">
        <v>328</v>
      </c>
      <c r="H424" t="s">
        <v>664</v>
      </c>
      <c r="I424" t="s">
        <v>319</v>
      </c>
      <c r="J424" t="s">
        <v>865</v>
      </c>
      <c r="K424" t="s">
        <v>329</v>
      </c>
      <c r="L424" t="s">
        <v>866</v>
      </c>
      <c r="M424" t="s">
        <v>28</v>
      </c>
      <c r="N424" s="1">
        <f t="shared" si="96"/>
        <v>2</v>
      </c>
      <c r="O424" s="1">
        <f t="shared" si="97"/>
        <v>2</v>
      </c>
      <c r="P424" s="1">
        <f t="shared" si="98"/>
        <v>4</v>
      </c>
      <c r="Q424" s="1">
        <f t="shared" si="99"/>
        <v>0</v>
      </c>
      <c r="R424" s="1">
        <f t="shared" si="100"/>
        <v>1</v>
      </c>
      <c r="S424" s="1">
        <f t="shared" si="101"/>
        <v>0</v>
      </c>
      <c r="T424" s="1">
        <f t="shared" si="102"/>
        <v>1</v>
      </c>
      <c r="U424" s="26">
        <f t="shared" si="103"/>
        <v>1</v>
      </c>
      <c r="V424" s="26">
        <f t="shared" si="104"/>
        <v>1</v>
      </c>
      <c r="W424" s="1">
        <f t="shared" si="105"/>
        <v>1</v>
      </c>
      <c r="X424" s="26">
        <f t="shared" si="106"/>
        <v>1</v>
      </c>
      <c r="Y424" s="26">
        <f t="shared" si="107"/>
        <v>1</v>
      </c>
      <c r="Z424" s="1">
        <f t="shared" si="108"/>
        <v>1</v>
      </c>
      <c r="AA424"/>
      <c r="AB424"/>
    </row>
    <row r="425" spans="1:28" x14ac:dyDescent="0.55000000000000004">
      <c r="A425" s="1">
        <f t="shared" si="95"/>
        <v>425</v>
      </c>
      <c r="B425" t="s">
        <v>33</v>
      </c>
      <c r="C425" t="s">
        <v>197</v>
      </c>
      <c r="D425" t="s">
        <v>174</v>
      </c>
      <c r="E425" t="s">
        <v>1184</v>
      </c>
      <c r="F425" t="s">
        <v>1181</v>
      </c>
      <c r="G425" t="s">
        <v>287</v>
      </c>
      <c r="H425" t="s">
        <v>817</v>
      </c>
      <c r="I425" t="s">
        <v>279</v>
      </c>
      <c r="J425" t="s">
        <v>1185</v>
      </c>
      <c r="K425" t="s">
        <v>289</v>
      </c>
      <c r="L425" t="s">
        <v>1044</v>
      </c>
      <c r="M425" t="s">
        <v>28</v>
      </c>
      <c r="N425" s="1">
        <f t="shared" si="96"/>
        <v>4</v>
      </c>
      <c r="O425" s="1">
        <f t="shared" si="97"/>
        <v>1</v>
      </c>
      <c r="P425" s="1">
        <f t="shared" si="98"/>
        <v>5</v>
      </c>
      <c r="Q425" s="1">
        <f t="shared" si="99"/>
        <v>1</v>
      </c>
      <c r="R425" s="1">
        <f t="shared" si="100"/>
        <v>0</v>
      </c>
      <c r="S425" s="1">
        <f t="shared" si="101"/>
        <v>0</v>
      </c>
      <c r="T425" s="1">
        <f t="shared" si="102"/>
        <v>0</v>
      </c>
      <c r="U425" s="26">
        <f t="shared" si="103"/>
        <v>0</v>
      </c>
      <c r="V425" s="26">
        <f t="shared" si="104"/>
        <v>1</v>
      </c>
      <c r="W425" s="1">
        <f t="shared" si="105"/>
        <v>1</v>
      </c>
      <c r="X425" s="26">
        <f t="shared" si="106"/>
        <v>1</v>
      </c>
      <c r="Y425" s="26">
        <f t="shared" si="107"/>
        <v>0</v>
      </c>
      <c r="Z425" s="1">
        <f t="shared" si="108"/>
        <v>1</v>
      </c>
      <c r="AA425"/>
      <c r="AB425"/>
    </row>
    <row r="426" spans="1:28" x14ac:dyDescent="0.55000000000000004">
      <c r="A426" s="1">
        <f t="shared" si="95"/>
        <v>426</v>
      </c>
      <c r="B426" t="s">
        <v>37</v>
      </c>
      <c r="C426" t="s">
        <v>132</v>
      </c>
      <c r="D426" t="s">
        <v>174</v>
      </c>
      <c r="E426" t="s">
        <v>1184</v>
      </c>
      <c r="F426" t="s">
        <v>315</v>
      </c>
      <c r="G426" t="s">
        <v>324</v>
      </c>
      <c r="H426" t="s">
        <v>581</v>
      </c>
      <c r="I426" t="s">
        <v>328</v>
      </c>
      <c r="J426" t="s">
        <v>1263</v>
      </c>
      <c r="K426" t="s">
        <v>325</v>
      </c>
      <c r="L426" t="s">
        <v>589</v>
      </c>
      <c r="M426" t="s">
        <v>28</v>
      </c>
      <c r="N426" s="1">
        <f t="shared" si="96"/>
        <v>1</v>
      </c>
      <c r="O426" s="1">
        <f t="shared" si="97"/>
        <v>2</v>
      </c>
      <c r="P426" s="1">
        <f t="shared" si="98"/>
        <v>3</v>
      </c>
      <c r="Q426" s="1">
        <f t="shared" si="99"/>
        <v>1</v>
      </c>
      <c r="R426" s="1">
        <f t="shared" si="100"/>
        <v>1</v>
      </c>
      <c r="S426" s="1">
        <f t="shared" si="101"/>
        <v>1</v>
      </c>
      <c r="T426" s="1">
        <f t="shared" si="102"/>
        <v>1</v>
      </c>
      <c r="U426" s="26">
        <f t="shared" si="103"/>
        <v>1</v>
      </c>
      <c r="V426" s="26">
        <f t="shared" si="104"/>
        <v>0</v>
      </c>
      <c r="W426" s="1">
        <f t="shared" si="105"/>
        <v>1</v>
      </c>
      <c r="X426" s="26">
        <f t="shared" si="106"/>
        <v>1</v>
      </c>
      <c r="Y426" s="26">
        <f t="shared" si="107"/>
        <v>1</v>
      </c>
      <c r="Z426" s="1">
        <f t="shared" si="108"/>
        <v>1</v>
      </c>
      <c r="AA426"/>
      <c r="AB426"/>
    </row>
    <row r="427" spans="1:28" x14ac:dyDescent="0.55000000000000004">
      <c r="A427" s="1">
        <f t="shared" si="95"/>
        <v>427</v>
      </c>
      <c r="B427" t="s">
        <v>37</v>
      </c>
      <c r="C427" t="s">
        <v>132</v>
      </c>
      <c r="D427" t="s">
        <v>174</v>
      </c>
      <c r="E427" t="s">
        <v>1184</v>
      </c>
      <c r="F427" t="s">
        <v>315</v>
      </c>
      <c r="G427" t="s">
        <v>322</v>
      </c>
      <c r="H427" t="s">
        <v>575</v>
      </c>
      <c r="I427" t="s">
        <v>326</v>
      </c>
      <c r="J427" t="s">
        <v>1264</v>
      </c>
      <c r="K427" t="s">
        <v>331</v>
      </c>
      <c r="L427" t="s">
        <v>883</v>
      </c>
      <c r="M427" t="s">
        <v>28</v>
      </c>
      <c r="N427" s="1">
        <f t="shared" si="96"/>
        <v>1</v>
      </c>
      <c r="O427" s="1">
        <f t="shared" si="97"/>
        <v>0</v>
      </c>
      <c r="P427" s="1">
        <f t="shared" si="98"/>
        <v>1</v>
      </c>
      <c r="Q427" s="1">
        <f t="shared" si="99"/>
        <v>1</v>
      </c>
      <c r="R427" s="1">
        <f t="shared" si="100"/>
        <v>1</v>
      </c>
      <c r="S427" s="1">
        <f t="shared" si="101"/>
        <v>1</v>
      </c>
      <c r="T427" s="1">
        <f t="shared" si="102"/>
        <v>1</v>
      </c>
      <c r="U427" s="26">
        <f t="shared" si="103"/>
        <v>1</v>
      </c>
      <c r="V427" s="26">
        <f t="shared" si="104"/>
        <v>0</v>
      </c>
      <c r="W427" s="1">
        <f t="shared" si="105"/>
        <v>1</v>
      </c>
      <c r="X427" s="26">
        <f t="shared" si="106"/>
        <v>0</v>
      </c>
      <c r="Y427" s="26">
        <f t="shared" si="107"/>
        <v>0</v>
      </c>
      <c r="Z427" s="1">
        <f t="shared" si="108"/>
        <v>0</v>
      </c>
      <c r="AA427"/>
      <c r="AB427"/>
    </row>
    <row r="428" spans="1:28" x14ac:dyDescent="0.55000000000000004">
      <c r="A428" s="1">
        <f t="shared" si="95"/>
        <v>428</v>
      </c>
      <c r="B428" t="s">
        <v>37</v>
      </c>
      <c r="C428" t="s">
        <v>132</v>
      </c>
      <c r="D428" t="s">
        <v>174</v>
      </c>
      <c r="E428" t="s">
        <v>1184</v>
      </c>
      <c r="F428" t="s">
        <v>315</v>
      </c>
      <c r="G428" t="s">
        <v>313</v>
      </c>
      <c r="H428" t="s">
        <v>847</v>
      </c>
      <c r="I428" t="s">
        <v>321</v>
      </c>
      <c r="J428" t="s">
        <v>1265</v>
      </c>
      <c r="K428" t="s">
        <v>317</v>
      </c>
      <c r="L428" t="s">
        <v>888</v>
      </c>
      <c r="M428" t="s">
        <v>28</v>
      </c>
      <c r="N428" s="1">
        <f t="shared" si="96"/>
        <v>5</v>
      </c>
      <c r="O428" s="1">
        <f t="shared" si="97"/>
        <v>0</v>
      </c>
      <c r="P428" s="1">
        <f t="shared" si="98"/>
        <v>5</v>
      </c>
      <c r="Q428" s="1">
        <f t="shared" si="99"/>
        <v>1</v>
      </c>
      <c r="R428" s="1">
        <f t="shared" si="100"/>
        <v>0</v>
      </c>
      <c r="S428" s="1">
        <f t="shared" si="101"/>
        <v>0</v>
      </c>
      <c r="T428" s="1">
        <f t="shared" si="102"/>
        <v>0</v>
      </c>
      <c r="U428" s="26">
        <f t="shared" si="103"/>
        <v>0</v>
      </c>
      <c r="V428" s="26">
        <f t="shared" si="104"/>
        <v>1</v>
      </c>
      <c r="W428" s="1">
        <f t="shared" si="105"/>
        <v>1</v>
      </c>
      <c r="X428" s="26">
        <f t="shared" si="106"/>
        <v>0</v>
      </c>
      <c r="Y428" s="26">
        <f t="shared" si="107"/>
        <v>0</v>
      </c>
      <c r="Z428" s="1">
        <f t="shared" si="108"/>
        <v>1</v>
      </c>
      <c r="AA428"/>
      <c r="AB428"/>
    </row>
    <row r="429" spans="1:28" x14ac:dyDescent="0.55000000000000004">
      <c r="A429" s="1">
        <f t="shared" si="95"/>
        <v>429</v>
      </c>
      <c r="B429" t="s">
        <v>37</v>
      </c>
      <c r="C429" t="s">
        <v>132</v>
      </c>
      <c r="D429" t="s">
        <v>174</v>
      </c>
      <c r="E429" t="s">
        <v>1184</v>
      </c>
      <c r="F429" t="s">
        <v>315</v>
      </c>
      <c r="G429" t="s">
        <v>312</v>
      </c>
      <c r="H429" t="s">
        <v>817</v>
      </c>
      <c r="I429" t="s">
        <v>318</v>
      </c>
      <c r="J429" t="s">
        <v>1266</v>
      </c>
      <c r="K429" t="s">
        <v>314</v>
      </c>
      <c r="L429" t="s">
        <v>866</v>
      </c>
      <c r="M429" t="s">
        <v>28</v>
      </c>
      <c r="N429" s="1">
        <f t="shared" si="96"/>
        <v>4</v>
      </c>
      <c r="O429" s="1">
        <f t="shared" si="97"/>
        <v>1</v>
      </c>
      <c r="P429" s="1">
        <f t="shared" si="98"/>
        <v>5</v>
      </c>
      <c r="Q429" s="1">
        <f t="shared" si="99"/>
        <v>1</v>
      </c>
      <c r="R429" s="1">
        <f t="shared" si="100"/>
        <v>0</v>
      </c>
      <c r="S429" s="1">
        <f t="shared" si="101"/>
        <v>0</v>
      </c>
      <c r="T429" s="1">
        <f t="shared" si="102"/>
        <v>0</v>
      </c>
      <c r="U429" s="26">
        <f t="shared" si="103"/>
        <v>0</v>
      </c>
      <c r="V429" s="26">
        <f t="shared" si="104"/>
        <v>1</v>
      </c>
      <c r="W429" s="1">
        <f t="shared" si="105"/>
        <v>1</v>
      </c>
      <c r="X429" s="26">
        <f t="shared" si="106"/>
        <v>1</v>
      </c>
      <c r="Y429" s="26">
        <f t="shared" si="107"/>
        <v>0</v>
      </c>
      <c r="Z429" s="1">
        <f t="shared" si="108"/>
        <v>1</v>
      </c>
      <c r="AA429"/>
      <c r="AB429"/>
    </row>
    <row r="430" spans="1:28" x14ac:dyDescent="0.55000000000000004">
      <c r="A430" s="1">
        <f t="shared" si="95"/>
        <v>430</v>
      </c>
      <c r="B430" t="s">
        <v>37</v>
      </c>
      <c r="C430" t="s">
        <v>132</v>
      </c>
      <c r="D430" t="s">
        <v>174</v>
      </c>
      <c r="E430" t="s">
        <v>1184</v>
      </c>
      <c r="F430" t="s">
        <v>311</v>
      </c>
      <c r="G430" t="s">
        <v>316</v>
      </c>
      <c r="H430" t="s">
        <v>568</v>
      </c>
      <c r="I430" t="s">
        <v>319</v>
      </c>
      <c r="J430" t="s">
        <v>1267</v>
      </c>
      <c r="K430" t="s">
        <v>341</v>
      </c>
      <c r="L430" t="s">
        <v>591</v>
      </c>
      <c r="M430" t="s">
        <v>28</v>
      </c>
      <c r="N430" s="1">
        <f t="shared" si="96"/>
        <v>0</v>
      </c>
      <c r="O430" s="1">
        <f t="shared" si="97"/>
        <v>2</v>
      </c>
      <c r="P430" s="1">
        <f t="shared" si="98"/>
        <v>2</v>
      </c>
      <c r="Q430" s="1">
        <f t="shared" si="99"/>
        <v>1</v>
      </c>
      <c r="R430" s="1">
        <f t="shared" si="100"/>
        <v>1</v>
      </c>
      <c r="S430" s="1">
        <f t="shared" si="101"/>
        <v>1</v>
      </c>
      <c r="T430" s="1">
        <f t="shared" si="102"/>
        <v>1</v>
      </c>
      <c r="U430" s="26">
        <f t="shared" si="103"/>
        <v>0</v>
      </c>
      <c r="V430" s="26">
        <f t="shared" si="104"/>
        <v>0</v>
      </c>
      <c r="W430" s="1">
        <f t="shared" si="105"/>
        <v>1</v>
      </c>
      <c r="X430" s="26">
        <f t="shared" si="106"/>
        <v>1</v>
      </c>
      <c r="Y430" s="26">
        <f t="shared" si="107"/>
        <v>1</v>
      </c>
      <c r="Z430" s="1">
        <f t="shared" si="108"/>
        <v>1</v>
      </c>
      <c r="AA430"/>
      <c r="AB430"/>
    </row>
    <row r="431" spans="1:28" x14ac:dyDescent="0.55000000000000004">
      <c r="A431" s="1">
        <f t="shared" si="95"/>
        <v>431</v>
      </c>
      <c r="B431" t="s">
        <v>33</v>
      </c>
      <c r="C431" t="s">
        <v>197</v>
      </c>
      <c r="D431" t="s">
        <v>133</v>
      </c>
      <c r="E431" t="s">
        <v>1745</v>
      </c>
      <c r="F431" t="s">
        <v>409</v>
      </c>
      <c r="G431" t="s">
        <v>284</v>
      </c>
      <c r="H431" t="s">
        <v>579</v>
      </c>
      <c r="I431" t="s">
        <v>281</v>
      </c>
      <c r="J431" t="s">
        <v>1746</v>
      </c>
      <c r="K431" t="s">
        <v>286</v>
      </c>
      <c r="L431" t="s">
        <v>820</v>
      </c>
      <c r="M431" t="s">
        <v>28</v>
      </c>
      <c r="N431" s="1">
        <f t="shared" si="96"/>
        <v>2</v>
      </c>
      <c r="O431" s="1">
        <f t="shared" si="97"/>
        <v>1</v>
      </c>
      <c r="P431" s="1">
        <f t="shared" si="98"/>
        <v>3</v>
      </c>
      <c r="Q431" s="1">
        <f t="shared" si="99"/>
        <v>1</v>
      </c>
      <c r="R431" s="1">
        <f t="shared" si="100"/>
        <v>1</v>
      </c>
      <c r="S431" s="1">
        <f t="shared" si="101"/>
        <v>1</v>
      </c>
      <c r="T431" s="1">
        <f t="shared" si="102"/>
        <v>1</v>
      </c>
      <c r="U431" s="26">
        <f t="shared" si="103"/>
        <v>1</v>
      </c>
      <c r="V431" s="26">
        <f t="shared" si="104"/>
        <v>1</v>
      </c>
      <c r="W431" s="1">
        <f t="shared" si="105"/>
        <v>1</v>
      </c>
      <c r="X431" s="26">
        <f t="shared" si="106"/>
        <v>1</v>
      </c>
      <c r="Y431" s="26">
        <f t="shared" si="107"/>
        <v>0</v>
      </c>
      <c r="Z431" s="1">
        <f t="shared" si="108"/>
        <v>1</v>
      </c>
      <c r="AA431"/>
      <c r="AB431"/>
    </row>
    <row r="432" spans="1:28" x14ac:dyDescent="0.55000000000000004">
      <c r="A432" s="1">
        <f t="shared" si="95"/>
        <v>432</v>
      </c>
      <c r="B432" t="s">
        <v>33</v>
      </c>
      <c r="C432" t="s">
        <v>197</v>
      </c>
      <c r="D432" t="s">
        <v>133</v>
      </c>
      <c r="E432" t="s">
        <v>1745</v>
      </c>
      <c r="F432" t="s">
        <v>409</v>
      </c>
      <c r="G432" t="s">
        <v>296</v>
      </c>
      <c r="H432" t="s">
        <v>608</v>
      </c>
      <c r="I432" t="s">
        <v>360</v>
      </c>
      <c r="J432" t="s">
        <v>1747</v>
      </c>
      <c r="K432" t="s">
        <v>297</v>
      </c>
      <c r="L432" t="s">
        <v>810</v>
      </c>
      <c r="M432" t="s">
        <v>28</v>
      </c>
      <c r="N432" s="1">
        <f t="shared" si="96"/>
        <v>1</v>
      </c>
      <c r="O432" s="1">
        <f t="shared" si="97"/>
        <v>1</v>
      </c>
      <c r="P432" s="1">
        <f t="shared" si="98"/>
        <v>2</v>
      </c>
      <c r="Q432" s="1">
        <f t="shared" si="99"/>
        <v>0</v>
      </c>
      <c r="R432" s="1">
        <f t="shared" si="100"/>
        <v>1</v>
      </c>
      <c r="S432" s="1">
        <f t="shared" si="101"/>
        <v>0</v>
      </c>
      <c r="T432" s="1">
        <f t="shared" si="102"/>
        <v>1</v>
      </c>
      <c r="U432" s="26">
        <f t="shared" si="103"/>
        <v>1</v>
      </c>
      <c r="V432" s="26">
        <f t="shared" si="104"/>
        <v>0</v>
      </c>
      <c r="W432" s="1">
        <f t="shared" si="105"/>
        <v>1</v>
      </c>
      <c r="X432" s="26">
        <f t="shared" si="106"/>
        <v>1</v>
      </c>
      <c r="Y432" s="26">
        <f t="shared" si="107"/>
        <v>0</v>
      </c>
      <c r="Z432" s="1">
        <f t="shared" si="108"/>
        <v>1</v>
      </c>
      <c r="AA432"/>
      <c r="AB432"/>
    </row>
    <row r="433" spans="1:28" x14ac:dyDescent="0.55000000000000004">
      <c r="A433" s="1">
        <f t="shared" si="95"/>
        <v>433</v>
      </c>
      <c r="B433" t="s">
        <v>33</v>
      </c>
      <c r="C433" t="s">
        <v>197</v>
      </c>
      <c r="D433" t="s">
        <v>133</v>
      </c>
      <c r="E433" t="s">
        <v>1745</v>
      </c>
      <c r="F433" t="s">
        <v>1181</v>
      </c>
      <c r="G433" t="s">
        <v>292</v>
      </c>
      <c r="H433" t="s">
        <v>575</v>
      </c>
      <c r="I433" t="s">
        <v>362</v>
      </c>
      <c r="J433" t="s">
        <v>1748</v>
      </c>
      <c r="K433" t="s">
        <v>408</v>
      </c>
      <c r="L433" t="s">
        <v>1208</v>
      </c>
      <c r="M433" t="s">
        <v>28</v>
      </c>
      <c r="N433" s="1">
        <f t="shared" si="96"/>
        <v>1</v>
      </c>
      <c r="O433" s="1">
        <f t="shared" si="97"/>
        <v>0</v>
      </c>
      <c r="P433" s="1">
        <f t="shared" si="98"/>
        <v>1</v>
      </c>
      <c r="Q433" s="1">
        <f t="shared" si="99"/>
        <v>1</v>
      </c>
      <c r="R433" s="1">
        <f t="shared" si="100"/>
        <v>1</v>
      </c>
      <c r="S433" s="1">
        <f t="shared" si="101"/>
        <v>1</v>
      </c>
      <c r="T433" s="1">
        <f t="shared" si="102"/>
        <v>1</v>
      </c>
      <c r="U433" s="26">
        <f t="shared" si="103"/>
        <v>1</v>
      </c>
      <c r="V433" s="26">
        <f t="shared" si="104"/>
        <v>0</v>
      </c>
      <c r="W433" s="1">
        <f t="shared" si="105"/>
        <v>1</v>
      </c>
      <c r="X433" s="26">
        <f t="shared" si="106"/>
        <v>0</v>
      </c>
      <c r="Y433" s="26">
        <f t="shared" si="107"/>
        <v>0</v>
      </c>
      <c r="Z433" s="1">
        <f t="shared" si="108"/>
        <v>0</v>
      </c>
      <c r="AA433"/>
      <c r="AB433"/>
    </row>
    <row r="434" spans="1:28" x14ac:dyDescent="0.55000000000000004">
      <c r="A434" s="1">
        <f t="shared" si="95"/>
        <v>434</v>
      </c>
      <c r="B434" t="s">
        <v>33</v>
      </c>
      <c r="C434" t="s">
        <v>197</v>
      </c>
      <c r="D434" t="s">
        <v>133</v>
      </c>
      <c r="E434" t="s">
        <v>1745</v>
      </c>
      <c r="F434" t="s">
        <v>1749</v>
      </c>
      <c r="G434" t="s">
        <v>282</v>
      </c>
      <c r="H434" t="s">
        <v>575</v>
      </c>
      <c r="I434" t="s">
        <v>299</v>
      </c>
      <c r="J434" t="s">
        <v>1750</v>
      </c>
      <c r="K434" t="s">
        <v>295</v>
      </c>
      <c r="L434" t="s">
        <v>829</v>
      </c>
      <c r="M434" t="s">
        <v>28</v>
      </c>
      <c r="N434" s="1">
        <f t="shared" si="96"/>
        <v>1</v>
      </c>
      <c r="O434" s="1">
        <f t="shared" si="97"/>
        <v>0</v>
      </c>
      <c r="P434" s="1">
        <f t="shared" si="98"/>
        <v>1</v>
      </c>
      <c r="Q434" s="1">
        <f t="shared" si="99"/>
        <v>1</v>
      </c>
      <c r="R434" s="1">
        <f t="shared" si="100"/>
        <v>1</v>
      </c>
      <c r="S434" s="1">
        <f t="shared" si="101"/>
        <v>1</v>
      </c>
      <c r="T434" s="1">
        <f t="shared" si="102"/>
        <v>1</v>
      </c>
      <c r="U434" s="26">
        <f t="shared" si="103"/>
        <v>1</v>
      </c>
      <c r="V434" s="26">
        <f t="shared" si="104"/>
        <v>0</v>
      </c>
      <c r="W434" s="1">
        <f t="shared" si="105"/>
        <v>1</v>
      </c>
      <c r="X434" s="26">
        <f t="shared" si="106"/>
        <v>0</v>
      </c>
      <c r="Y434" s="26">
        <f t="shared" si="107"/>
        <v>0</v>
      </c>
      <c r="Z434" s="1">
        <f t="shared" si="108"/>
        <v>0</v>
      </c>
      <c r="AA434"/>
      <c r="AB434"/>
    </row>
    <row r="435" spans="1:28" x14ac:dyDescent="0.55000000000000004">
      <c r="A435" s="1">
        <f t="shared" si="95"/>
        <v>435</v>
      </c>
      <c r="B435" t="s">
        <v>35</v>
      </c>
      <c r="C435" t="s">
        <v>196</v>
      </c>
      <c r="D435" t="s">
        <v>133</v>
      </c>
      <c r="E435" t="s">
        <v>1745</v>
      </c>
      <c r="F435" t="s">
        <v>376</v>
      </c>
      <c r="G435" t="s">
        <v>205</v>
      </c>
      <c r="H435" t="s">
        <v>579</v>
      </c>
      <c r="I435" t="s">
        <v>208</v>
      </c>
      <c r="J435" t="s">
        <v>1805</v>
      </c>
      <c r="K435" t="s">
        <v>417</v>
      </c>
      <c r="L435" t="s">
        <v>843</v>
      </c>
      <c r="M435" t="s">
        <v>28</v>
      </c>
      <c r="N435" s="1">
        <f t="shared" si="96"/>
        <v>2</v>
      </c>
      <c r="O435" s="1">
        <f t="shared" si="97"/>
        <v>1</v>
      </c>
      <c r="P435" s="1">
        <f t="shared" si="98"/>
        <v>3</v>
      </c>
      <c r="Q435" s="1">
        <f t="shared" si="99"/>
        <v>1</v>
      </c>
      <c r="R435" s="1">
        <f t="shared" si="100"/>
        <v>1</v>
      </c>
      <c r="S435" s="1">
        <f t="shared" si="101"/>
        <v>1</v>
      </c>
      <c r="T435" s="1">
        <f t="shared" si="102"/>
        <v>1</v>
      </c>
      <c r="U435" s="26">
        <f t="shared" si="103"/>
        <v>1</v>
      </c>
      <c r="V435" s="26">
        <f t="shared" si="104"/>
        <v>1</v>
      </c>
      <c r="W435" s="1">
        <f t="shared" si="105"/>
        <v>1</v>
      </c>
      <c r="X435" s="26">
        <f t="shared" si="106"/>
        <v>1</v>
      </c>
      <c r="Y435" s="26">
        <f t="shared" si="107"/>
        <v>0</v>
      </c>
      <c r="Z435" s="1">
        <f t="shared" si="108"/>
        <v>1</v>
      </c>
      <c r="AA435"/>
      <c r="AB435"/>
    </row>
    <row r="436" spans="1:28" x14ac:dyDescent="0.55000000000000004">
      <c r="A436" s="1">
        <f t="shared" si="95"/>
        <v>436</v>
      </c>
      <c r="B436" t="s">
        <v>35</v>
      </c>
      <c r="C436" t="s">
        <v>196</v>
      </c>
      <c r="D436" t="s">
        <v>133</v>
      </c>
      <c r="E436" t="s">
        <v>1745</v>
      </c>
      <c r="F436" t="s">
        <v>375</v>
      </c>
      <c r="G436" t="s">
        <v>383</v>
      </c>
      <c r="H436" t="s">
        <v>573</v>
      </c>
      <c r="I436" t="s">
        <v>210</v>
      </c>
      <c r="J436" t="s">
        <v>1806</v>
      </c>
      <c r="K436" t="s">
        <v>387</v>
      </c>
      <c r="L436" t="s">
        <v>831</v>
      </c>
      <c r="M436" t="s">
        <v>28</v>
      </c>
      <c r="N436" s="1">
        <f t="shared" si="96"/>
        <v>2</v>
      </c>
      <c r="O436" s="1">
        <f t="shared" si="97"/>
        <v>0</v>
      </c>
      <c r="P436" s="1">
        <f t="shared" si="98"/>
        <v>2</v>
      </c>
      <c r="Q436" s="1">
        <f t="shared" si="99"/>
        <v>1</v>
      </c>
      <c r="R436" s="1">
        <f t="shared" si="100"/>
        <v>1</v>
      </c>
      <c r="S436" s="1">
        <f t="shared" si="101"/>
        <v>1</v>
      </c>
      <c r="T436" s="1">
        <f t="shared" si="102"/>
        <v>1</v>
      </c>
      <c r="U436" s="26">
        <f t="shared" si="103"/>
        <v>1</v>
      </c>
      <c r="V436" s="26">
        <f t="shared" si="104"/>
        <v>1</v>
      </c>
      <c r="W436" s="1">
        <f t="shared" si="105"/>
        <v>1</v>
      </c>
      <c r="X436" s="26">
        <f t="shared" si="106"/>
        <v>0</v>
      </c>
      <c r="Y436" s="26">
        <f t="shared" si="107"/>
        <v>0</v>
      </c>
      <c r="Z436" s="1">
        <f t="shared" si="108"/>
        <v>1</v>
      </c>
      <c r="AA436"/>
      <c r="AB436"/>
    </row>
    <row r="437" spans="1:28" x14ac:dyDescent="0.55000000000000004">
      <c r="A437" s="1">
        <f t="shared" si="95"/>
        <v>437</v>
      </c>
      <c r="B437" t="s">
        <v>39</v>
      </c>
      <c r="C437" t="s">
        <v>198</v>
      </c>
      <c r="D437" t="s">
        <v>133</v>
      </c>
      <c r="E437" t="s">
        <v>1745</v>
      </c>
      <c r="F437" t="s">
        <v>985</v>
      </c>
      <c r="G437" t="s">
        <v>231</v>
      </c>
      <c r="H437" t="s">
        <v>708</v>
      </c>
      <c r="I437" t="s">
        <v>225</v>
      </c>
      <c r="J437" t="s">
        <v>1845</v>
      </c>
      <c r="K437" t="s">
        <v>233</v>
      </c>
      <c r="L437" t="s">
        <v>995</v>
      </c>
      <c r="M437" t="s">
        <v>28</v>
      </c>
      <c r="N437" s="1">
        <f t="shared" si="96"/>
        <v>0</v>
      </c>
      <c r="O437" s="1">
        <f t="shared" si="97"/>
        <v>0</v>
      </c>
      <c r="P437" s="1">
        <f t="shared" si="98"/>
        <v>0</v>
      </c>
      <c r="Q437" s="1">
        <f t="shared" si="99"/>
        <v>0</v>
      </c>
      <c r="R437" s="1">
        <f t="shared" si="100"/>
        <v>1</v>
      </c>
      <c r="S437" s="1">
        <f t="shared" si="101"/>
        <v>0</v>
      </c>
      <c r="T437" s="1">
        <f t="shared" si="102"/>
        <v>1</v>
      </c>
      <c r="U437" s="26">
        <f t="shared" si="103"/>
        <v>0</v>
      </c>
      <c r="V437" s="26">
        <f t="shared" si="104"/>
        <v>0</v>
      </c>
      <c r="W437" s="1">
        <f t="shared" si="105"/>
        <v>1</v>
      </c>
      <c r="X437" s="26">
        <f t="shared" si="106"/>
        <v>0</v>
      </c>
      <c r="Y437" s="26">
        <f t="shared" si="107"/>
        <v>0</v>
      </c>
      <c r="Z437" s="1">
        <f t="shared" si="108"/>
        <v>0</v>
      </c>
      <c r="AA437"/>
      <c r="AB437"/>
    </row>
    <row r="438" spans="1:28" x14ac:dyDescent="0.55000000000000004">
      <c r="A438" s="1">
        <f t="shared" si="95"/>
        <v>438</v>
      </c>
      <c r="B438" t="s">
        <v>39</v>
      </c>
      <c r="C438" t="s">
        <v>198</v>
      </c>
      <c r="D438" t="s">
        <v>133</v>
      </c>
      <c r="E438" t="s">
        <v>1745</v>
      </c>
      <c r="F438" t="s">
        <v>1513</v>
      </c>
      <c r="G438" t="s">
        <v>226</v>
      </c>
      <c r="H438" t="s">
        <v>608</v>
      </c>
      <c r="I438" t="s">
        <v>232</v>
      </c>
      <c r="J438" t="s">
        <v>1846</v>
      </c>
      <c r="K438" t="s">
        <v>241</v>
      </c>
      <c r="L438" t="s">
        <v>1140</v>
      </c>
      <c r="M438" t="s">
        <v>28</v>
      </c>
      <c r="N438" s="1">
        <f t="shared" si="96"/>
        <v>1</v>
      </c>
      <c r="O438" s="1">
        <f t="shared" si="97"/>
        <v>1</v>
      </c>
      <c r="P438" s="1">
        <f t="shared" si="98"/>
        <v>2</v>
      </c>
      <c r="Q438" s="1">
        <f t="shared" si="99"/>
        <v>0</v>
      </c>
      <c r="R438" s="1">
        <f t="shared" si="100"/>
        <v>1</v>
      </c>
      <c r="S438" s="1">
        <f t="shared" si="101"/>
        <v>0</v>
      </c>
      <c r="T438" s="1">
        <f t="shared" si="102"/>
        <v>1</v>
      </c>
      <c r="U438" s="26">
        <f t="shared" si="103"/>
        <v>1</v>
      </c>
      <c r="V438" s="26">
        <f t="shared" si="104"/>
        <v>0</v>
      </c>
      <c r="W438" s="1">
        <f t="shared" si="105"/>
        <v>1</v>
      </c>
      <c r="X438" s="26">
        <f t="shared" si="106"/>
        <v>1</v>
      </c>
      <c r="Y438" s="26">
        <f t="shared" si="107"/>
        <v>0</v>
      </c>
      <c r="Z438" s="1">
        <f t="shared" si="108"/>
        <v>1</v>
      </c>
      <c r="AA438"/>
      <c r="AB438"/>
    </row>
    <row r="439" spans="1:28" x14ac:dyDescent="0.55000000000000004">
      <c r="A439" s="1">
        <f t="shared" si="95"/>
        <v>439</v>
      </c>
      <c r="B439" t="s">
        <v>35</v>
      </c>
      <c r="C439" t="s">
        <v>196</v>
      </c>
      <c r="D439" t="s">
        <v>42</v>
      </c>
      <c r="E439" t="s">
        <v>572</v>
      </c>
      <c r="F439" t="s">
        <v>357</v>
      </c>
      <c r="G439" t="s">
        <v>304</v>
      </c>
      <c r="H439" t="s">
        <v>573</v>
      </c>
      <c r="I439" t="s">
        <v>307</v>
      </c>
      <c r="K439" t="s">
        <v>382</v>
      </c>
      <c r="L439" t="s">
        <v>574</v>
      </c>
      <c r="M439" t="s">
        <v>28</v>
      </c>
      <c r="N439" s="1">
        <f t="shared" si="96"/>
        <v>2</v>
      </c>
      <c r="O439" s="1">
        <f t="shared" si="97"/>
        <v>0</v>
      </c>
      <c r="P439" s="1">
        <f t="shared" si="98"/>
        <v>2</v>
      </c>
      <c r="Q439" s="1">
        <f t="shared" si="99"/>
        <v>1</v>
      </c>
      <c r="R439" s="1">
        <f t="shared" si="100"/>
        <v>1</v>
      </c>
      <c r="S439" s="1">
        <f t="shared" si="101"/>
        <v>1</v>
      </c>
      <c r="T439" s="1">
        <f t="shared" si="102"/>
        <v>1</v>
      </c>
      <c r="U439" s="26">
        <f t="shared" si="103"/>
        <v>1</v>
      </c>
      <c r="V439" s="26">
        <f t="shared" si="104"/>
        <v>1</v>
      </c>
      <c r="W439" s="1">
        <f t="shared" si="105"/>
        <v>1</v>
      </c>
      <c r="X439" s="26">
        <f t="shared" si="106"/>
        <v>0</v>
      </c>
      <c r="Y439" s="26">
        <f t="shared" si="107"/>
        <v>0</v>
      </c>
      <c r="Z439" s="1">
        <f t="shared" si="108"/>
        <v>1</v>
      </c>
      <c r="AA439"/>
      <c r="AB439"/>
    </row>
    <row r="440" spans="1:28" x14ac:dyDescent="0.55000000000000004">
      <c r="A440" s="1">
        <f t="shared" si="95"/>
        <v>440</v>
      </c>
      <c r="B440" t="s">
        <v>35</v>
      </c>
      <c r="C440" t="s">
        <v>196</v>
      </c>
      <c r="D440" t="s">
        <v>42</v>
      </c>
      <c r="E440" t="s">
        <v>572</v>
      </c>
      <c r="F440" t="s">
        <v>357</v>
      </c>
      <c r="G440" t="s">
        <v>214</v>
      </c>
      <c r="H440" t="s">
        <v>575</v>
      </c>
      <c r="I440" t="s">
        <v>303</v>
      </c>
      <c r="K440" t="s">
        <v>301</v>
      </c>
      <c r="L440" t="s">
        <v>576</v>
      </c>
      <c r="M440" t="s">
        <v>28</v>
      </c>
      <c r="N440" s="1">
        <f t="shared" si="96"/>
        <v>1</v>
      </c>
      <c r="O440" s="1">
        <f t="shared" si="97"/>
        <v>0</v>
      </c>
      <c r="P440" s="1">
        <f t="shared" si="98"/>
        <v>1</v>
      </c>
      <c r="Q440" s="1">
        <f t="shared" si="99"/>
        <v>1</v>
      </c>
      <c r="R440" s="1">
        <f t="shared" si="100"/>
        <v>1</v>
      </c>
      <c r="S440" s="1">
        <f t="shared" si="101"/>
        <v>1</v>
      </c>
      <c r="T440" s="1">
        <f t="shared" si="102"/>
        <v>1</v>
      </c>
      <c r="U440" s="26">
        <f t="shared" si="103"/>
        <v>1</v>
      </c>
      <c r="V440" s="26">
        <f t="shared" si="104"/>
        <v>0</v>
      </c>
      <c r="W440" s="1">
        <f t="shared" si="105"/>
        <v>1</v>
      </c>
      <c r="X440" s="26">
        <f t="shared" si="106"/>
        <v>0</v>
      </c>
      <c r="Y440" s="26">
        <f t="shared" si="107"/>
        <v>0</v>
      </c>
      <c r="Z440" s="1">
        <f t="shared" si="108"/>
        <v>0</v>
      </c>
      <c r="AA440"/>
      <c r="AB440"/>
    </row>
    <row r="441" spans="1:28" x14ac:dyDescent="0.55000000000000004">
      <c r="A441" s="1">
        <f t="shared" si="95"/>
        <v>441</v>
      </c>
      <c r="B441" t="s">
        <v>35</v>
      </c>
      <c r="C441" t="s">
        <v>196</v>
      </c>
      <c r="D441" t="s">
        <v>42</v>
      </c>
      <c r="E441" t="s">
        <v>572</v>
      </c>
      <c r="F441" t="s">
        <v>357</v>
      </c>
      <c r="G441" t="s">
        <v>306</v>
      </c>
      <c r="H441" t="s">
        <v>577</v>
      </c>
      <c r="I441" t="s">
        <v>207</v>
      </c>
      <c r="K441" t="s">
        <v>308</v>
      </c>
      <c r="L441" t="s">
        <v>578</v>
      </c>
      <c r="M441" t="s">
        <v>28</v>
      </c>
      <c r="N441" s="1">
        <f t="shared" si="96"/>
        <v>1</v>
      </c>
      <c r="O441" s="1">
        <f t="shared" si="97"/>
        <v>3</v>
      </c>
      <c r="P441" s="1">
        <f t="shared" si="98"/>
        <v>4</v>
      </c>
      <c r="Q441" s="1">
        <f t="shared" si="99"/>
        <v>1</v>
      </c>
      <c r="R441" s="1">
        <f t="shared" si="100"/>
        <v>1</v>
      </c>
      <c r="S441" s="1">
        <f t="shared" si="101"/>
        <v>1</v>
      </c>
      <c r="T441" s="1">
        <f t="shared" si="102"/>
        <v>1</v>
      </c>
      <c r="U441" s="26">
        <f t="shared" si="103"/>
        <v>1</v>
      </c>
      <c r="V441" s="26">
        <f t="shared" si="104"/>
        <v>0</v>
      </c>
      <c r="W441" s="1">
        <f t="shared" si="105"/>
        <v>0</v>
      </c>
      <c r="X441" s="26">
        <f t="shared" si="106"/>
        <v>1</v>
      </c>
      <c r="Y441" s="26">
        <f t="shared" si="107"/>
        <v>1</v>
      </c>
      <c r="Z441" s="1">
        <f t="shared" si="108"/>
        <v>1</v>
      </c>
      <c r="AA441"/>
      <c r="AB441"/>
    </row>
    <row r="442" spans="1:28" x14ac:dyDescent="0.55000000000000004">
      <c r="A442" s="1">
        <f t="shared" si="95"/>
        <v>442</v>
      </c>
      <c r="B442" t="s">
        <v>33</v>
      </c>
      <c r="C442" t="s">
        <v>197</v>
      </c>
      <c r="D442" t="s">
        <v>42</v>
      </c>
      <c r="E442" t="s">
        <v>572</v>
      </c>
      <c r="F442" t="s">
        <v>409</v>
      </c>
      <c r="G442" t="s">
        <v>278</v>
      </c>
      <c r="H442" t="s">
        <v>579</v>
      </c>
      <c r="I442" t="s">
        <v>365</v>
      </c>
      <c r="J442" t="s">
        <v>1426</v>
      </c>
      <c r="K442" t="s">
        <v>280</v>
      </c>
      <c r="L442" t="s">
        <v>826</v>
      </c>
      <c r="M442" t="s">
        <v>28</v>
      </c>
      <c r="N442" s="1">
        <f t="shared" si="96"/>
        <v>2</v>
      </c>
      <c r="O442" s="1">
        <f t="shared" si="97"/>
        <v>1</v>
      </c>
      <c r="P442" s="1">
        <f t="shared" si="98"/>
        <v>3</v>
      </c>
      <c r="Q442" s="1">
        <f t="shared" si="99"/>
        <v>1</v>
      </c>
      <c r="R442" s="1">
        <f t="shared" si="100"/>
        <v>1</v>
      </c>
      <c r="S442" s="1">
        <f t="shared" si="101"/>
        <v>1</v>
      </c>
      <c r="T442" s="1">
        <f t="shared" si="102"/>
        <v>1</v>
      </c>
      <c r="U442" s="26">
        <f t="shared" si="103"/>
        <v>1</v>
      </c>
      <c r="V442" s="26">
        <f t="shared" si="104"/>
        <v>1</v>
      </c>
      <c r="W442" s="1">
        <f t="shared" si="105"/>
        <v>1</v>
      </c>
      <c r="X442" s="26">
        <f t="shared" si="106"/>
        <v>1</v>
      </c>
      <c r="Y442" s="26">
        <f t="shared" si="107"/>
        <v>0</v>
      </c>
      <c r="Z442" s="1">
        <f t="shared" si="108"/>
        <v>1</v>
      </c>
      <c r="AA442"/>
      <c r="AB442"/>
    </row>
    <row r="443" spans="1:28" x14ac:dyDescent="0.55000000000000004">
      <c r="A443" s="1">
        <f t="shared" si="95"/>
        <v>443</v>
      </c>
      <c r="B443" t="s">
        <v>33</v>
      </c>
      <c r="C443" t="s">
        <v>197</v>
      </c>
      <c r="D443" t="s">
        <v>42</v>
      </c>
      <c r="E443" t="s">
        <v>572</v>
      </c>
      <c r="F443" t="s">
        <v>390</v>
      </c>
      <c r="G443" t="s">
        <v>288</v>
      </c>
      <c r="H443" t="s">
        <v>817</v>
      </c>
      <c r="I443" t="s">
        <v>291</v>
      </c>
      <c r="J443" t="s">
        <v>1427</v>
      </c>
      <c r="K443" t="s">
        <v>361</v>
      </c>
      <c r="L443" t="s">
        <v>822</v>
      </c>
      <c r="M443" t="s">
        <v>28</v>
      </c>
      <c r="N443" s="1">
        <f t="shared" si="96"/>
        <v>4</v>
      </c>
      <c r="O443" s="1">
        <f t="shared" si="97"/>
        <v>1</v>
      </c>
      <c r="P443" s="1">
        <f t="shared" si="98"/>
        <v>5</v>
      </c>
      <c r="Q443" s="1">
        <f t="shared" si="99"/>
        <v>1</v>
      </c>
      <c r="R443" s="1">
        <f t="shared" si="100"/>
        <v>0</v>
      </c>
      <c r="S443" s="1">
        <f t="shared" si="101"/>
        <v>0</v>
      </c>
      <c r="T443" s="1">
        <f t="shared" si="102"/>
        <v>0</v>
      </c>
      <c r="U443" s="26">
        <f t="shared" si="103"/>
        <v>0</v>
      </c>
      <c r="V443" s="26">
        <f t="shared" si="104"/>
        <v>1</v>
      </c>
      <c r="W443" s="1">
        <f t="shared" si="105"/>
        <v>1</v>
      </c>
      <c r="X443" s="26">
        <f t="shared" si="106"/>
        <v>1</v>
      </c>
      <c r="Y443" s="26">
        <f t="shared" si="107"/>
        <v>0</v>
      </c>
      <c r="Z443" s="1">
        <f t="shared" si="108"/>
        <v>1</v>
      </c>
      <c r="AA443"/>
      <c r="AB443"/>
    </row>
    <row r="444" spans="1:28" x14ac:dyDescent="0.55000000000000004">
      <c r="A444" s="1">
        <f t="shared" si="95"/>
        <v>444</v>
      </c>
      <c r="B444" t="s">
        <v>33</v>
      </c>
      <c r="C444" t="s">
        <v>197</v>
      </c>
      <c r="D444" t="s">
        <v>42</v>
      </c>
      <c r="E444" t="s">
        <v>572</v>
      </c>
      <c r="F444" t="s">
        <v>1181</v>
      </c>
      <c r="G444" t="s">
        <v>367</v>
      </c>
      <c r="H444" t="s">
        <v>575</v>
      </c>
      <c r="I444" t="s">
        <v>285</v>
      </c>
      <c r="J444" t="s">
        <v>1428</v>
      </c>
      <c r="K444" t="s">
        <v>368</v>
      </c>
      <c r="L444" t="s">
        <v>1055</v>
      </c>
      <c r="M444" t="s">
        <v>28</v>
      </c>
      <c r="N444" s="1">
        <f t="shared" si="96"/>
        <v>1</v>
      </c>
      <c r="O444" s="1">
        <f t="shared" si="97"/>
        <v>0</v>
      </c>
      <c r="P444" s="1">
        <f t="shared" si="98"/>
        <v>1</v>
      </c>
      <c r="Q444" s="1">
        <f t="shared" si="99"/>
        <v>1</v>
      </c>
      <c r="R444" s="1">
        <f t="shared" si="100"/>
        <v>1</v>
      </c>
      <c r="S444" s="1">
        <f t="shared" si="101"/>
        <v>1</v>
      </c>
      <c r="T444" s="1">
        <f t="shared" si="102"/>
        <v>1</v>
      </c>
      <c r="U444" s="26">
        <f t="shared" si="103"/>
        <v>1</v>
      </c>
      <c r="V444" s="26">
        <f t="shared" si="104"/>
        <v>0</v>
      </c>
      <c r="W444" s="1">
        <f t="shared" si="105"/>
        <v>1</v>
      </c>
      <c r="X444" s="26">
        <f t="shared" si="106"/>
        <v>0</v>
      </c>
      <c r="Y444" s="26">
        <f t="shared" si="107"/>
        <v>0</v>
      </c>
      <c r="Z444" s="1">
        <f t="shared" si="108"/>
        <v>0</v>
      </c>
      <c r="AA444"/>
      <c r="AB444"/>
    </row>
    <row r="445" spans="1:28" x14ac:dyDescent="0.55000000000000004">
      <c r="A445" s="1">
        <f t="shared" si="95"/>
        <v>445</v>
      </c>
      <c r="B445" t="s">
        <v>35</v>
      </c>
      <c r="C445" t="s">
        <v>196</v>
      </c>
      <c r="D445" t="s">
        <v>42</v>
      </c>
      <c r="E445" t="s">
        <v>572</v>
      </c>
      <c r="F445" t="s">
        <v>411</v>
      </c>
      <c r="G445" t="s">
        <v>377</v>
      </c>
      <c r="H445" t="s">
        <v>683</v>
      </c>
      <c r="I445" t="s">
        <v>384</v>
      </c>
      <c r="J445" t="s">
        <v>1468</v>
      </c>
      <c r="K445" t="s">
        <v>378</v>
      </c>
      <c r="L445" t="s">
        <v>833</v>
      </c>
      <c r="M445" t="s">
        <v>28</v>
      </c>
      <c r="N445" s="1">
        <f t="shared" si="96"/>
        <v>3</v>
      </c>
      <c r="O445" s="1">
        <f t="shared" si="97"/>
        <v>2</v>
      </c>
      <c r="P445" s="1">
        <f t="shared" si="98"/>
        <v>5</v>
      </c>
      <c r="Q445" s="1">
        <f t="shared" si="99"/>
        <v>1</v>
      </c>
      <c r="R445" s="1">
        <f t="shared" si="100"/>
        <v>0</v>
      </c>
      <c r="S445" s="1">
        <f t="shared" si="101"/>
        <v>0</v>
      </c>
      <c r="T445" s="1">
        <f t="shared" si="102"/>
        <v>0</v>
      </c>
      <c r="U445" s="26">
        <f t="shared" si="103"/>
        <v>1</v>
      </c>
      <c r="V445" s="26">
        <f t="shared" si="104"/>
        <v>1</v>
      </c>
      <c r="W445" s="1">
        <f t="shared" si="105"/>
        <v>1</v>
      </c>
      <c r="X445" s="26">
        <f t="shared" si="106"/>
        <v>1</v>
      </c>
      <c r="Y445" s="26">
        <f t="shared" si="107"/>
        <v>1</v>
      </c>
      <c r="Z445" s="1">
        <f t="shared" si="108"/>
        <v>1</v>
      </c>
      <c r="AA445"/>
      <c r="AB445"/>
    </row>
    <row r="446" spans="1:28" x14ac:dyDescent="0.55000000000000004">
      <c r="A446" s="1">
        <f t="shared" si="95"/>
        <v>446</v>
      </c>
      <c r="B446" t="s">
        <v>35</v>
      </c>
      <c r="C446" t="s">
        <v>196</v>
      </c>
      <c r="D446" t="s">
        <v>42</v>
      </c>
      <c r="E446" t="s">
        <v>572</v>
      </c>
      <c r="F446" t="s">
        <v>412</v>
      </c>
      <c r="G446" t="s">
        <v>386</v>
      </c>
      <c r="H446" t="s">
        <v>687</v>
      </c>
      <c r="I446" t="s">
        <v>211</v>
      </c>
      <c r="J446" t="s">
        <v>1469</v>
      </c>
      <c r="K446" t="s">
        <v>418</v>
      </c>
      <c r="L446" t="s">
        <v>858</v>
      </c>
      <c r="M446" t="s">
        <v>28</v>
      </c>
      <c r="N446" s="1">
        <f t="shared" si="96"/>
        <v>4</v>
      </c>
      <c r="O446" s="1">
        <f t="shared" si="97"/>
        <v>0</v>
      </c>
      <c r="P446" s="1">
        <f t="shared" si="98"/>
        <v>4</v>
      </c>
      <c r="Q446" s="1">
        <f t="shared" si="99"/>
        <v>1</v>
      </c>
      <c r="R446" s="1">
        <f t="shared" si="100"/>
        <v>1</v>
      </c>
      <c r="S446" s="1">
        <f t="shared" si="101"/>
        <v>1</v>
      </c>
      <c r="T446" s="1">
        <f t="shared" si="102"/>
        <v>0</v>
      </c>
      <c r="U446" s="26">
        <f t="shared" si="103"/>
        <v>0</v>
      </c>
      <c r="V446" s="26">
        <f t="shared" si="104"/>
        <v>1</v>
      </c>
      <c r="W446" s="1">
        <f t="shared" si="105"/>
        <v>1</v>
      </c>
      <c r="X446" s="26">
        <f t="shared" si="106"/>
        <v>0</v>
      </c>
      <c r="Y446" s="26">
        <f t="shared" si="107"/>
        <v>0</v>
      </c>
      <c r="Z446" s="1">
        <f t="shared" si="108"/>
        <v>1</v>
      </c>
      <c r="AA446"/>
      <c r="AB446"/>
    </row>
    <row r="447" spans="1:28" x14ac:dyDescent="0.55000000000000004">
      <c r="A447" s="1">
        <f t="shared" si="95"/>
        <v>447</v>
      </c>
      <c r="B447" t="s">
        <v>39</v>
      </c>
      <c r="C447" t="s">
        <v>198</v>
      </c>
      <c r="D447" t="s">
        <v>42</v>
      </c>
      <c r="E447" t="s">
        <v>572</v>
      </c>
      <c r="F447" t="s">
        <v>985</v>
      </c>
      <c r="G447" t="s">
        <v>234</v>
      </c>
      <c r="H447" t="s">
        <v>581</v>
      </c>
      <c r="I447" t="s">
        <v>222</v>
      </c>
      <c r="J447" t="s">
        <v>1517</v>
      </c>
      <c r="K447" t="s">
        <v>236</v>
      </c>
      <c r="L447" t="s">
        <v>1000</v>
      </c>
      <c r="M447" t="s">
        <v>28</v>
      </c>
      <c r="N447" s="1">
        <f t="shared" si="96"/>
        <v>1</v>
      </c>
      <c r="O447" s="1">
        <f t="shared" si="97"/>
        <v>2</v>
      </c>
      <c r="P447" s="1">
        <f t="shared" si="98"/>
        <v>3</v>
      </c>
      <c r="Q447" s="1">
        <f t="shared" si="99"/>
        <v>1</v>
      </c>
      <c r="R447" s="1">
        <f t="shared" si="100"/>
        <v>1</v>
      </c>
      <c r="S447" s="1">
        <f t="shared" si="101"/>
        <v>1</v>
      </c>
      <c r="T447" s="1">
        <f t="shared" si="102"/>
        <v>1</v>
      </c>
      <c r="U447" s="26">
        <f t="shared" si="103"/>
        <v>1</v>
      </c>
      <c r="V447" s="26">
        <f t="shared" si="104"/>
        <v>0</v>
      </c>
      <c r="W447" s="1">
        <f t="shared" si="105"/>
        <v>1</v>
      </c>
      <c r="X447" s="26">
        <f t="shared" si="106"/>
        <v>1</v>
      </c>
      <c r="Y447" s="26">
        <f t="shared" si="107"/>
        <v>1</v>
      </c>
      <c r="Z447" s="1">
        <f t="shared" si="108"/>
        <v>1</v>
      </c>
      <c r="AA447"/>
      <c r="AB447"/>
    </row>
    <row r="448" spans="1:28" x14ac:dyDescent="0.55000000000000004">
      <c r="A448" s="1">
        <f t="shared" si="95"/>
        <v>448</v>
      </c>
      <c r="B448" t="s">
        <v>39</v>
      </c>
      <c r="C448" t="s">
        <v>198</v>
      </c>
      <c r="D448" t="s">
        <v>42</v>
      </c>
      <c r="E448" t="s">
        <v>572</v>
      </c>
      <c r="F448" t="s">
        <v>985</v>
      </c>
      <c r="G448" t="s">
        <v>219</v>
      </c>
      <c r="H448" t="s">
        <v>581</v>
      </c>
      <c r="I448" t="s">
        <v>228</v>
      </c>
      <c r="J448" t="s">
        <v>1518</v>
      </c>
      <c r="K448" t="s">
        <v>221</v>
      </c>
      <c r="L448" t="s">
        <v>1012</v>
      </c>
      <c r="M448" t="s">
        <v>28</v>
      </c>
      <c r="N448" s="1">
        <f t="shared" si="96"/>
        <v>1</v>
      </c>
      <c r="O448" s="1">
        <f t="shared" si="97"/>
        <v>2</v>
      </c>
      <c r="P448" s="1">
        <f t="shared" si="98"/>
        <v>3</v>
      </c>
      <c r="Q448" s="1">
        <f t="shared" si="99"/>
        <v>1</v>
      </c>
      <c r="R448" s="1">
        <f t="shared" si="100"/>
        <v>1</v>
      </c>
      <c r="S448" s="1">
        <f t="shared" si="101"/>
        <v>1</v>
      </c>
      <c r="T448" s="1">
        <f t="shared" si="102"/>
        <v>1</v>
      </c>
      <c r="U448" s="26">
        <f t="shared" si="103"/>
        <v>1</v>
      </c>
      <c r="V448" s="26">
        <f t="shared" si="104"/>
        <v>0</v>
      </c>
      <c r="W448" s="1">
        <f t="shared" si="105"/>
        <v>1</v>
      </c>
      <c r="X448" s="26">
        <f t="shared" si="106"/>
        <v>1</v>
      </c>
      <c r="Y448" s="26">
        <f t="shared" si="107"/>
        <v>1</v>
      </c>
      <c r="Z448" s="1">
        <f t="shared" si="108"/>
        <v>1</v>
      </c>
      <c r="AA448"/>
      <c r="AB448"/>
    </row>
    <row r="449" spans="1:28" x14ac:dyDescent="0.55000000000000004">
      <c r="A449" s="1">
        <f t="shared" si="95"/>
        <v>449</v>
      </c>
      <c r="B449" t="s">
        <v>39</v>
      </c>
      <c r="C449" t="s">
        <v>198</v>
      </c>
      <c r="D449" t="s">
        <v>42</v>
      </c>
      <c r="E449" t="s">
        <v>572</v>
      </c>
      <c r="F449" t="s">
        <v>1513</v>
      </c>
      <c r="G449" t="s">
        <v>229</v>
      </c>
      <c r="H449" t="s">
        <v>608</v>
      </c>
      <c r="I449" t="s">
        <v>223</v>
      </c>
      <c r="J449" t="s">
        <v>1519</v>
      </c>
      <c r="K449" t="s">
        <v>246</v>
      </c>
      <c r="L449" t="s">
        <v>1007</v>
      </c>
      <c r="M449" t="s">
        <v>28</v>
      </c>
      <c r="N449" s="1">
        <f t="shared" si="96"/>
        <v>1</v>
      </c>
      <c r="O449" s="1">
        <f t="shared" si="97"/>
        <v>1</v>
      </c>
      <c r="P449" s="1">
        <f t="shared" si="98"/>
        <v>2</v>
      </c>
      <c r="Q449" s="1">
        <f t="shared" si="99"/>
        <v>0</v>
      </c>
      <c r="R449" s="1">
        <f t="shared" si="100"/>
        <v>1</v>
      </c>
      <c r="S449" s="1">
        <f t="shared" si="101"/>
        <v>0</v>
      </c>
      <c r="T449" s="1">
        <f t="shared" si="102"/>
        <v>1</v>
      </c>
      <c r="U449" s="26">
        <f t="shared" si="103"/>
        <v>1</v>
      </c>
      <c r="V449" s="26">
        <f t="shared" si="104"/>
        <v>0</v>
      </c>
      <c r="W449" s="1">
        <f t="shared" si="105"/>
        <v>1</v>
      </c>
      <c r="X449" s="26">
        <f t="shared" si="106"/>
        <v>1</v>
      </c>
      <c r="Y449" s="26">
        <f t="shared" si="107"/>
        <v>0</v>
      </c>
      <c r="Z449" s="1">
        <f t="shared" si="108"/>
        <v>1</v>
      </c>
      <c r="AA449"/>
      <c r="AB449"/>
    </row>
    <row r="450" spans="1:28" x14ac:dyDescent="0.55000000000000004">
      <c r="A450" s="1">
        <f t="shared" si="95"/>
        <v>450</v>
      </c>
      <c r="B450" t="s">
        <v>39</v>
      </c>
      <c r="C450" t="s">
        <v>198</v>
      </c>
      <c r="D450" t="s">
        <v>42</v>
      </c>
      <c r="E450" t="s">
        <v>572</v>
      </c>
      <c r="F450" t="s">
        <v>1513</v>
      </c>
      <c r="G450" t="s">
        <v>220</v>
      </c>
      <c r="H450" t="s">
        <v>608</v>
      </c>
      <c r="I450" t="s">
        <v>235</v>
      </c>
      <c r="J450" t="s">
        <v>1520</v>
      </c>
      <c r="K450" t="s">
        <v>240</v>
      </c>
      <c r="L450" t="s">
        <v>993</v>
      </c>
      <c r="M450" t="s">
        <v>28</v>
      </c>
      <c r="N450" s="1">
        <f t="shared" si="96"/>
        <v>1</v>
      </c>
      <c r="O450" s="1">
        <f t="shared" si="97"/>
        <v>1</v>
      </c>
      <c r="P450" s="1">
        <f t="shared" si="98"/>
        <v>2</v>
      </c>
      <c r="Q450" s="1">
        <f t="shared" si="99"/>
        <v>0</v>
      </c>
      <c r="R450" s="1">
        <f t="shared" si="100"/>
        <v>1</v>
      </c>
      <c r="S450" s="1">
        <f t="shared" si="101"/>
        <v>0</v>
      </c>
      <c r="T450" s="1">
        <f t="shared" si="102"/>
        <v>1</v>
      </c>
      <c r="U450" s="26">
        <f t="shared" si="103"/>
        <v>1</v>
      </c>
      <c r="V450" s="26">
        <f t="shared" si="104"/>
        <v>0</v>
      </c>
      <c r="W450" s="1">
        <f t="shared" si="105"/>
        <v>1</v>
      </c>
      <c r="X450" s="26">
        <f t="shared" si="106"/>
        <v>1</v>
      </c>
      <c r="Y450" s="26">
        <f t="shared" si="107"/>
        <v>0</v>
      </c>
      <c r="Z450" s="1">
        <f t="shared" si="108"/>
        <v>1</v>
      </c>
      <c r="AA450"/>
      <c r="AB450"/>
    </row>
    <row r="451" spans="1:28" x14ac:dyDescent="0.55000000000000004">
      <c r="A451" s="1">
        <f t="shared" ref="A451:A514" si="109">A450+1</f>
        <v>451</v>
      </c>
      <c r="B451" t="s">
        <v>37</v>
      </c>
      <c r="C451" t="s">
        <v>153</v>
      </c>
      <c r="D451" t="s">
        <v>179</v>
      </c>
      <c r="E451" t="s">
        <v>867</v>
      </c>
      <c r="F451" t="s">
        <v>315</v>
      </c>
      <c r="G451" t="s">
        <v>312</v>
      </c>
      <c r="H451" t="s">
        <v>708</v>
      </c>
      <c r="I451" t="s">
        <v>324</v>
      </c>
      <c r="J451" t="s">
        <v>868</v>
      </c>
      <c r="K451" t="s">
        <v>314</v>
      </c>
      <c r="L451" t="s">
        <v>591</v>
      </c>
      <c r="M451" t="s">
        <v>28</v>
      </c>
      <c r="N451" s="1">
        <f t="shared" ref="N451:N514" si="110">VALUE(LEFT(H451,1))</f>
        <v>0</v>
      </c>
      <c r="O451" s="1">
        <f t="shared" ref="O451:O514" si="111">VALUE(RIGHT(H451,1))</f>
        <v>0</v>
      </c>
      <c r="P451" s="1">
        <f t="shared" ref="P451:P514" si="112">SUM(N451,O451)</f>
        <v>0</v>
      </c>
      <c r="Q451" s="1">
        <f t="shared" ref="Q451:Q514" si="113">IF(N451&lt;&gt;O451, 1, 0)</f>
        <v>0</v>
      </c>
      <c r="R451" s="1">
        <f t="shared" ref="R451:R514" si="114">IF(P451&lt;=4,1,0)</f>
        <v>1</v>
      </c>
      <c r="S451" s="1">
        <f t="shared" ref="S451:S514" si="115">IF(AND(Q451=1,R451=1),1,0)</f>
        <v>0</v>
      </c>
      <c r="T451" s="1">
        <f t="shared" ref="T451:T514" si="116">IF(N451&lt;=2,1,0)</f>
        <v>1</v>
      </c>
      <c r="U451" s="26">
        <f t="shared" ref="U451:U514" si="117">IF(AND(N451&gt;=1,N451&lt;=3),1,0)</f>
        <v>0</v>
      </c>
      <c r="V451" s="26">
        <f t="shared" ref="V451:V514" si="118">IF(AND(N451&gt;=2,N451&lt;=5),1,0)</f>
        <v>0</v>
      </c>
      <c r="W451" s="1">
        <f t="shared" ref="W451:W514" si="119">IF(O451&lt;=2,1,0)</f>
        <v>1</v>
      </c>
      <c r="X451" s="26">
        <f t="shared" ref="X451:X514" si="120">IF(AND(O451&gt;=1,O451&lt;=3),1,0)</f>
        <v>0</v>
      </c>
      <c r="Y451" s="26">
        <f t="shared" ref="Y451:Y514" si="121">IF(AND(O451&gt;=2,O451&lt;=5),1,0)</f>
        <v>0</v>
      </c>
      <c r="Z451" s="1">
        <f t="shared" ref="Z451:Z514" si="122">IF(P451&gt;=2,1,0)</f>
        <v>0</v>
      </c>
      <c r="AA451"/>
      <c r="AB451"/>
    </row>
    <row r="452" spans="1:28" x14ac:dyDescent="0.55000000000000004">
      <c r="A452" s="1">
        <f t="shared" si="109"/>
        <v>452</v>
      </c>
      <c r="B452" t="s">
        <v>37</v>
      </c>
      <c r="C452" t="s">
        <v>153</v>
      </c>
      <c r="D452" t="s">
        <v>179</v>
      </c>
      <c r="E452" t="s">
        <v>867</v>
      </c>
      <c r="F452" t="s">
        <v>315</v>
      </c>
      <c r="G452" t="s">
        <v>318</v>
      </c>
      <c r="H452" t="s">
        <v>708</v>
      </c>
      <c r="I452" t="s">
        <v>319</v>
      </c>
      <c r="J452" t="s">
        <v>869</v>
      </c>
      <c r="K452" t="s">
        <v>320</v>
      </c>
      <c r="L452" t="s">
        <v>870</v>
      </c>
      <c r="M452" t="s">
        <v>28</v>
      </c>
      <c r="N452" s="1">
        <f t="shared" si="110"/>
        <v>0</v>
      </c>
      <c r="O452" s="1">
        <f t="shared" si="111"/>
        <v>0</v>
      </c>
      <c r="P452" s="1">
        <f t="shared" si="112"/>
        <v>0</v>
      </c>
      <c r="Q452" s="1">
        <f t="shared" si="113"/>
        <v>0</v>
      </c>
      <c r="R452" s="1">
        <f t="shared" si="114"/>
        <v>1</v>
      </c>
      <c r="S452" s="1">
        <f t="shared" si="115"/>
        <v>0</v>
      </c>
      <c r="T452" s="1">
        <f t="shared" si="116"/>
        <v>1</v>
      </c>
      <c r="U452" s="26">
        <f t="shared" si="117"/>
        <v>0</v>
      </c>
      <c r="V452" s="26">
        <f t="shared" si="118"/>
        <v>0</v>
      </c>
      <c r="W452" s="1">
        <f t="shared" si="119"/>
        <v>1</v>
      </c>
      <c r="X452" s="26">
        <f t="shared" si="120"/>
        <v>0</v>
      </c>
      <c r="Y452" s="26">
        <f t="shared" si="121"/>
        <v>0</v>
      </c>
      <c r="Z452" s="1">
        <f t="shared" si="122"/>
        <v>0</v>
      </c>
      <c r="AA452"/>
      <c r="AB452"/>
    </row>
    <row r="453" spans="1:28" x14ac:dyDescent="0.55000000000000004">
      <c r="A453" s="1">
        <f t="shared" si="109"/>
        <v>453</v>
      </c>
      <c r="B453" t="s">
        <v>37</v>
      </c>
      <c r="C453" t="s">
        <v>153</v>
      </c>
      <c r="D453" t="s">
        <v>179</v>
      </c>
      <c r="E453" t="s">
        <v>867</v>
      </c>
      <c r="F453" t="s">
        <v>315</v>
      </c>
      <c r="G453" t="s">
        <v>328</v>
      </c>
      <c r="H453" t="s">
        <v>708</v>
      </c>
      <c r="I453" t="s">
        <v>322</v>
      </c>
      <c r="J453" t="s">
        <v>871</v>
      </c>
      <c r="K453" t="s">
        <v>329</v>
      </c>
      <c r="L453" t="s">
        <v>861</v>
      </c>
      <c r="M453" t="s">
        <v>28</v>
      </c>
      <c r="N453" s="1">
        <f t="shared" si="110"/>
        <v>0</v>
      </c>
      <c r="O453" s="1">
        <f t="shared" si="111"/>
        <v>0</v>
      </c>
      <c r="P453" s="1">
        <f t="shared" si="112"/>
        <v>0</v>
      </c>
      <c r="Q453" s="1">
        <f t="shared" si="113"/>
        <v>0</v>
      </c>
      <c r="R453" s="1">
        <f t="shared" si="114"/>
        <v>1</v>
      </c>
      <c r="S453" s="1">
        <f t="shared" si="115"/>
        <v>0</v>
      </c>
      <c r="T453" s="1">
        <f t="shared" si="116"/>
        <v>1</v>
      </c>
      <c r="U453" s="26">
        <f t="shared" si="117"/>
        <v>0</v>
      </c>
      <c r="V453" s="26">
        <f t="shared" si="118"/>
        <v>0</v>
      </c>
      <c r="W453" s="1">
        <f t="shared" si="119"/>
        <v>1</v>
      </c>
      <c r="X453" s="26">
        <f t="shared" si="120"/>
        <v>0</v>
      </c>
      <c r="Y453" s="26">
        <f t="shared" si="121"/>
        <v>0</v>
      </c>
      <c r="Z453" s="1">
        <f t="shared" si="122"/>
        <v>0</v>
      </c>
      <c r="AA453"/>
      <c r="AB453"/>
    </row>
    <row r="454" spans="1:28" x14ac:dyDescent="0.55000000000000004">
      <c r="A454" s="1">
        <f t="shared" si="109"/>
        <v>454</v>
      </c>
      <c r="B454" t="s">
        <v>37</v>
      </c>
      <c r="C454" t="s">
        <v>153</v>
      </c>
      <c r="D454" t="s">
        <v>179</v>
      </c>
      <c r="E454" t="s">
        <v>867</v>
      </c>
      <c r="F454" t="s">
        <v>315</v>
      </c>
      <c r="G454" t="s">
        <v>313</v>
      </c>
      <c r="H454" t="s">
        <v>575</v>
      </c>
      <c r="I454" t="s">
        <v>316</v>
      </c>
      <c r="J454" t="s">
        <v>872</v>
      </c>
      <c r="K454" t="s">
        <v>317</v>
      </c>
      <c r="L454" t="s">
        <v>587</v>
      </c>
      <c r="M454" t="s">
        <v>28</v>
      </c>
      <c r="N454" s="1">
        <f t="shared" si="110"/>
        <v>1</v>
      </c>
      <c r="O454" s="1">
        <f t="shared" si="111"/>
        <v>0</v>
      </c>
      <c r="P454" s="1">
        <f t="shared" si="112"/>
        <v>1</v>
      </c>
      <c r="Q454" s="1">
        <f t="shared" si="113"/>
        <v>1</v>
      </c>
      <c r="R454" s="1">
        <f t="shared" si="114"/>
        <v>1</v>
      </c>
      <c r="S454" s="1">
        <f t="shared" si="115"/>
        <v>1</v>
      </c>
      <c r="T454" s="1">
        <f t="shared" si="116"/>
        <v>1</v>
      </c>
      <c r="U454" s="26">
        <f t="shared" si="117"/>
        <v>1</v>
      </c>
      <c r="V454" s="26">
        <f t="shared" si="118"/>
        <v>0</v>
      </c>
      <c r="W454" s="1">
        <f t="shared" si="119"/>
        <v>1</v>
      </c>
      <c r="X454" s="26">
        <f t="shared" si="120"/>
        <v>0</v>
      </c>
      <c r="Y454" s="26">
        <f t="shared" si="121"/>
        <v>0</v>
      </c>
      <c r="Z454" s="1">
        <f t="shared" si="122"/>
        <v>0</v>
      </c>
      <c r="AA454"/>
      <c r="AB454"/>
    </row>
    <row r="455" spans="1:28" x14ac:dyDescent="0.55000000000000004">
      <c r="A455" s="1">
        <f t="shared" si="109"/>
        <v>455</v>
      </c>
      <c r="B455" t="s">
        <v>37</v>
      </c>
      <c r="C455" t="s">
        <v>153</v>
      </c>
      <c r="D455" t="s">
        <v>179</v>
      </c>
      <c r="E455" t="s">
        <v>867</v>
      </c>
      <c r="F455" t="s">
        <v>311</v>
      </c>
      <c r="G455" t="s">
        <v>326</v>
      </c>
      <c r="H455" t="s">
        <v>873</v>
      </c>
      <c r="I455" t="s">
        <v>321</v>
      </c>
      <c r="J455" t="s">
        <v>874</v>
      </c>
      <c r="K455" t="s">
        <v>327</v>
      </c>
      <c r="L455" t="s">
        <v>875</v>
      </c>
      <c r="M455" t="s">
        <v>28</v>
      </c>
      <c r="N455" s="1">
        <f t="shared" si="110"/>
        <v>4</v>
      </c>
      <c r="O455" s="1">
        <f t="shared" si="111"/>
        <v>3</v>
      </c>
      <c r="P455" s="1">
        <f t="shared" si="112"/>
        <v>7</v>
      </c>
      <c r="Q455" s="1">
        <f t="shared" si="113"/>
        <v>1</v>
      </c>
      <c r="R455" s="1">
        <f t="shared" si="114"/>
        <v>0</v>
      </c>
      <c r="S455" s="1">
        <f t="shared" si="115"/>
        <v>0</v>
      </c>
      <c r="T455" s="1">
        <f t="shared" si="116"/>
        <v>0</v>
      </c>
      <c r="U455" s="26">
        <f t="shared" si="117"/>
        <v>0</v>
      </c>
      <c r="V455" s="26">
        <f t="shared" si="118"/>
        <v>1</v>
      </c>
      <c r="W455" s="1">
        <f t="shared" si="119"/>
        <v>0</v>
      </c>
      <c r="X455" s="26">
        <f t="shared" si="120"/>
        <v>1</v>
      </c>
      <c r="Y455" s="26">
        <f t="shared" si="121"/>
        <v>1</v>
      </c>
      <c r="Z455" s="1">
        <f t="shared" si="122"/>
        <v>1</v>
      </c>
      <c r="AA455"/>
      <c r="AB455"/>
    </row>
    <row r="456" spans="1:28" x14ac:dyDescent="0.55000000000000004">
      <c r="A456" s="1">
        <f t="shared" si="109"/>
        <v>456</v>
      </c>
      <c r="B456" t="s">
        <v>39</v>
      </c>
      <c r="C456" t="s">
        <v>199</v>
      </c>
      <c r="D456" t="s">
        <v>216</v>
      </c>
      <c r="E456" t="s">
        <v>988</v>
      </c>
      <c r="F456" t="s">
        <v>989</v>
      </c>
      <c r="G456" t="s">
        <v>232</v>
      </c>
      <c r="H456" t="s">
        <v>608</v>
      </c>
      <c r="I456" t="s">
        <v>231</v>
      </c>
      <c r="J456" t="s">
        <v>990</v>
      </c>
      <c r="K456" t="s">
        <v>238</v>
      </c>
      <c r="L456" t="s">
        <v>991</v>
      </c>
      <c r="M456" t="s">
        <v>28</v>
      </c>
      <c r="N456" s="1">
        <f t="shared" si="110"/>
        <v>1</v>
      </c>
      <c r="O456" s="1">
        <f t="shared" si="111"/>
        <v>1</v>
      </c>
      <c r="P456" s="1">
        <f t="shared" si="112"/>
        <v>2</v>
      </c>
      <c r="Q456" s="1">
        <f t="shared" si="113"/>
        <v>0</v>
      </c>
      <c r="R456" s="1">
        <f t="shared" si="114"/>
        <v>1</v>
      </c>
      <c r="S456" s="1">
        <f t="shared" si="115"/>
        <v>0</v>
      </c>
      <c r="T456" s="1">
        <f t="shared" si="116"/>
        <v>1</v>
      </c>
      <c r="U456" s="26">
        <f t="shared" si="117"/>
        <v>1</v>
      </c>
      <c r="V456" s="26">
        <f t="shared" si="118"/>
        <v>0</v>
      </c>
      <c r="W456" s="1">
        <f t="shared" si="119"/>
        <v>1</v>
      </c>
      <c r="X456" s="26">
        <f t="shared" si="120"/>
        <v>1</v>
      </c>
      <c r="Y456" s="26">
        <f t="shared" si="121"/>
        <v>0</v>
      </c>
      <c r="Z456" s="1">
        <f t="shared" si="122"/>
        <v>1</v>
      </c>
      <c r="AA456"/>
      <c r="AB456"/>
    </row>
    <row r="457" spans="1:28" x14ac:dyDescent="0.55000000000000004">
      <c r="A457" s="1">
        <f t="shared" si="109"/>
        <v>457</v>
      </c>
      <c r="B457" t="s">
        <v>39</v>
      </c>
      <c r="C457" t="s">
        <v>199</v>
      </c>
      <c r="D457" t="s">
        <v>177</v>
      </c>
      <c r="E457" t="s">
        <v>1138</v>
      </c>
      <c r="F457" t="s">
        <v>989</v>
      </c>
      <c r="G457" t="s">
        <v>225</v>
      </c>
      <c r="H457" t="s">
        <v>579</v>
      </c>
      <c r="I457" t="s">
        <v>235</v>
      </c>
      <c r="J457" t="s">
        <v>1139</v>
      </c>
      <c r="K457" t="s">
        <v>227</v>
      </c>
      <c r="L457" t="s">
        <v>1140</v>
      </c>
      <c r="M457" t="s">
        <v>28</v>
      </c>
      <c r="N457" s="1">
        <f t="shared" si="110"/>
        <v>2</v>
      </c>
      <c r="O457" s="1">
        <f t="shared" si="111"/>
        <v>1</v>
      </c>
      <c r="P457" s="1">
        <f t="shared" si="112"/>
        <v>3</v>
      </c>
      <c r="Q457" s="1">
        <f t="shared" si="113"/>
        <v>1</v>
      </c>
      <c r="R457" s="1">
        <f t="shared" si="114"/>
        <v>1</v>
      </c>
      <c r="S457" s="1">
        <f t="shared" si="115"/>
        <v>1</v>
      </c>
      <c r="T457" s="1">
        <f t="shared" si="116"/>
        <v>1</v>
      </c>
      <c r="U457" s="26">
        <f t="shared" si="117"/>
        <v>1</v>
      </c>
      <c r="V457" s="26">
        <f t="shared" si="118"/>
        <v>1</v>
      </c>
      <c r="W457" s="1">
        <f t="shared" si="119"/>
        <v>1</v>
      </c>
      <c r="X457" s="26">
        <f t="shared" si="120"/>
        <v>1</v>
      </c>
      <c r="Y457" s="26">
        <f t="shared" si="121"/>
        <v>0</v>
      </c>
      <c r="Z457" s="1">
        <f t="shared" si="122"/>
        <v>1</v>
      </c>
      <c r="AA457"/>
      <c r="AB457"/>
    </row>
    <row r="458" spans="1:28" x14ac:dyDescent="0.55000000000000004">
      <c r="A458" s="1">
        <f t="shared" si="109"/>
        <v>458</v>
      </c>
      <c r="B458" t="s">
        <v>39</v>
      </c>
      <c r="C458" t="s">
        <v>199</v>
      </c>
      <c r="D458" t="s">
        <v>177</v>
      </c>
      <c r="E458" t="s">
        <v>1138</v>
      </c>
      <c r="F458" t="s">
        <v>989</v>
      </c>
      <c r="G458" t="s">
        <v>234</v>
      </c>
      <c r="H458" t="s">
        <v>708</v>
      </c>
      <c r="I458" t="s">
        <v>220</v>
      </c>
      <c r="J458" t="s">
        <v>1141</v>
      </c>
      <c r="K458" t="s">
        <v>236</v>
      </c>
      <c r="L458" t="s">
        <v>1142</v>
      </c>
      <c r="M458" t="s">
        <v>28</v>
      </c>
      <c r="N458" s="1">
        <f t="shared" si="110"/>
        <v>0</v>
      </c>
      <c r="O458" s="1">
        <f t="shared" si="111"/>
        <v>0</v>
      </c>
      <c r="P458" s="1">
        <f t="shared" si="112"/>
        <v>0</v>
      </c>
      <c r="Q458" s="1">
        <f t="shared" si="113"/>
        <v>0</v>
      </c>
      <c r="R458" s="1">
        <f t="shared" si="114"/>
        <v>1</v>
      </c>
      <c r="S458" s="1">
        <f t="shared" si="115"/>
        <v>0</v>
      </c>
      <c r="T458" s="1">
        <f t="shared" si="116"/>
        <v>1</v>
      </c>
      <c r="U458" s="26">
        <f t="shared" si="117"/>
        <v>0</v>
      </c>
      <c r="V458" s="26">
        <f t="shared" si="118"/>
        <v>0</v>
      </c>
      <c r="W458" s="1">
        <f t="shared" si="119"/>
        <v>1</v>
      </c>
      <c r="X458" s="26">
        <f t="shared" si="120"/>
        <v>0</v>
      </c>
      <c r="Y458" s="26">
        <f t="shared" si="121"/>
        <v>0</v>
      </c>
      <c r="Z458" s="1">
        <f t="shared" si="122"/>
        <v>0</v>
      </c>
      <c r="AA458"/>
      <c r="AB458"/>
    </row>
    <row r="459" spans="1:28" x14ac:dyDescent="0.55000000000000004">
      <c r="A459" s="1">
        <f t="shared" si="109"/>
        <v>459</v>
      </c>
      <c r="B459" t="s">
        <v>39</v>
      </c>
      <c r="C459" t="s">
        <v>199</v>
      </c>
      <c r="D459" t="s">
        <v>177</v>
      </c>
      <c r="E459" t="s">
        <v>1138</v>
      </c>
      <c r="F459" t="s">
        <v>989</v>
      </c>
      <c r="G459" t="s">
        <v>219</v>
      </c>
      <c r="H459" t="s">
        <v>568</v>
      </c>
      <c r="I459" t="s">
        <v>222</v>
      </c>
      <c r="J459" t="s">
        <v>1143</v>
      </c>
      <c r="K459" t="s">
        <v>221</v>
      </c>
      <c r="L459" t="s">
        <v>995</v>
      </c>
      <c r="M459" t="s">
        <v>28</v>
      </c>
      <c r="N459" s="1">
        <f t="shared" si="110"/>
        <v>0</v>
      </c>
      <c r="O459" s="1">
        <f t="shared" si="111"/>
        <v>2</v>
      </c>
      <c r="P459" s="1">
        <f t="shared" si="112"/>
        <v>2</v>
      </c>
      <c r="Q459" s="1">
        <f t="shared" si="113"/>
        <v>1</v>
      </c>
      <c r="R459" s="1">
        <f t="shared" si="114"/>
        <v>1</v>
      </c>
      <c r="S459" s="1">
        <f t="shared" si="115"/>
        <v>1</v>
      </c>
      <c r="T459" s="1">
        <f t="shared" si="116"/>
        <v>1</v>
      </c>
      <c r="U459" s="26">
        <f t="shared" si="117"/>
        <v>0</v>
      </c>
      <c r="V459" s="26">
        <f t="shared" si="118"/>
        <v>0</v>
      </c>
      <c r="W459" s="1">
        <f t="shared" si="119"/>
        <v>1</v>
      </c>
      <c r="X459" s="26">
        <f t="shared" si="120"/>
        <v>1</v>
      </c>
      <c r="Y459" s="26">
        <f t="shared" si="121"/>
        <v>1</v>
      </c>
      <c r="Z459" s="1">
        <f t="shared" si="122"/>
        <v>1</v>
      </c>
      <c r="AA459"/>
      <c r="AB459"/>
    </row>
    <row r="460" spans="1:28" x14ac:dyDescent="0.55000000000000004">
      <c r="A460" s="1">
        <f t="shared" si="109"/>
        <v>460</v>
      </c>
      <c r="B460" t="s">
        <v>39</v>
      </c>
      <c r="C460" t="s">
        <v>199</v>
      </c>
      <c r="D460" t="s">
        <v>177</v>
      </c>
      <c r="E460" t="s">
        <v>1138</v>
      </c>
      <c r="F460" t="s">
        <v>989</v>
      </c>
      <c r="G460" t="s">
        <v>223</v>
      </c>
      <c r="H460" t="s">
        <v>577</v>
      </c>
      <c r="I460" t="s">
        <v>226</v>
      </c>
      <c r="J460" t="s">
        <v>1144</v>
      </c>
      <c r="K460" t="s">
        <v>244</v>
      </c>
      <c r="L460" t="s">
        <v>993</v>
      </c>
      <c r="M460" t="s">
        <v>28</v>
      </c>
      <c r="N460" s="1">
        <f t="shared" si="110"/>
        <v>1</v>
      </c>
      <c r="O460" s="1">
        <f t="shared" si="111"/>
        <v>3</v>
      </c>
      <c r="P460" s="1">
        <f t="shared" si="112"/>
        <v>4</v>
      </c>
      <c r="Q460" s="1">
        <f t="shared" si="113"/>
        <v>1</v>
      </c>
      <c r="R460" s="1">
        <f t="shared" si="114"/>
        <v>1</v>
      </c>
      <c r="S460" s="1">
        <f t="shared" si="115"/>
        <v>1</v>
      </c>
      <c r="T460" s="1">
        <f t="shared" si="116"/>
        <v>1</v>
      </c>
      <c r="U460" s="26">
        <f t="shared" si="117"/>
        <v>1</v>
      </c>
      <c r="V460" s="26">
        <f t="shared" si="118"/>
        <v>0</v>
      </c>
      <c r="W460" s="1">
        <f t="shared" si="119"/>
        <v>0</v>
      </c>
      <c r="X460" s="26">
        <f t="shared" si="120"/>
        <v>1</v>
      </c>
      <c r="Y460" s="26">
        <f t="shared" si="121"/>
        <v>1</v>
      </c>
      <c r="Z460" s="1">
        <f t="shared" si="122"/>
        <v>1</v>
      </c>
      <c r="AA460"/>
      <c r="AB460"/>
    </row>
    <row r="461" spans="1:28" x14ac:dyDescent="0.55000000000000004">
      <c r="A461" s="1">
        <f t="shared" si="109"/>
        <v>461</v>
      </c>
      <c r="B461" t="s">
        <v>39</v>
      </c>
      <c r="C461" t="s">
        <v>199</v>
      </c>
      <c r="D461" t="s">
        <v>177</v>
      </c>
      <c r="E461" t="s">
        <v>1138</v>
      </c>
      <c r="F461" t="s">
        <v>989</v>
      </c>
      <c r="G461" t="s">
        <v>229</v>
      </c>
      <c r="H461" t="s">
        <v>590</v>
      </c>
      <c r="I461" t="s">
        <v>228</v>
      </c>
      <c r="J461" t="s">
        <v>1145</v>
      </c>
      <c r="K461" t="s">
        <v>246</v>
      </c>
      <c r="L461" t="s">
        <v>987</v>
      </c>
      <c r="M461" t="s">
        <v>28</v>
      </c>
      <c r="N461" s="1">
        <f t="shared" si="110"/>
        <v>0</v>
      </c>
      <c r="O461" s="1">
        <f t="shared" si="111"/>
        <v>1</v>
      </c>
      <c r="P461" s="1">
        <f t="shared" si="112"/>
        <v>1</v>
      </c>
      <c r="Q461" s="1">
        <f t="shared" si="113"/>
        <v>1</v>
      </c>
      <c r="R461" s="1">
        <f t="shared" si="114"/>
        <v>1</v>
      </c>
      <c r="S461" s="1">
        <f t="shared" si="115"/>
        <v>1</v>
      </c>
      <c r="T461" s="1">
        <f t="shared" si="116"/>
        <v>1</v>
      </c>
      <c r="U461" s="26">
        <f t="shared" si="117"/>
        <v>0</v>
      </c>
      <c r="V461" s="26">
        <f t="shared" si="118"/>
        <v>0</v>
      </c>
      <c r="W461" s="1">
        <f t="shared" si="119"/>
        <v>1</v>
      </c>
      <c r="X461" s="26">
        <f t="shared" si="120"/>
        <v>1</v>
      </c>
      <c r="Y461" s="26">
        <f t="shared" si="121"/>
        <v>0</v>
      </c>
      <c r="Z461" s="1">
        <f t="shared" si="122"/>
        <v>0</v>
      </c>
      <c r="AA461"/>
      <c r="AB461"/>
    </row>
    <row r="462" spans="1:28" x14ac:dyDescent="0.55000000000000004">
      <c r="A462" s="1">
        <f t="shared" si="109"/>
        <v>462</v>
      </c>
      <c r="B462" t="s">
        <v>33</v>
      </c>
      <c r="C462" t="s">
        <v>198</v>
      </c>
      <c r="D462" t="s">
        <v>174</v>
      </c>
      <c r="E462" t="s">
        <v>1186</v>
      </c>
      <c r="F462" t="s">
        <v>390</v>
      </c>
      <c r="G462" t="s">
        <v>279</v>
      </c>
      <c r="H462" t="s">
        <v>575</v>
      </c>
      <c r="I462" t="s">
        <v>288</v>
      </c>
      <c r="J462" t="s">
        <v>1187</v>
      </c>
      <c r="K462" t="s">
        <v>294</v>
      </c>
      <c r="L462" t="s">
        <v>806</v>
      </c>
      <c r="M462" t="s">
        <v>28</v>
      </c>
      <c r="N462" s="1">
        <f t="shared" si="110"/>
        <v>1</v>
      </c>
      <c r="O462" s="1">
        <f t="shared" si="111"/>
        <v>0</v>
      </c>
      <c r="P462" s="1">
        <f t="shared" si="112"/>
        <v>1</v>
      </c>
      <c r="Q462" s="1">
        <f t="shared" si="113"/>
        <v>1</v>
      </c>
      <c r="R462" s="1">
        <f t="shared" si="114"/>
        <v>1</v>
      </c>
      <c r="S462" s="1">
        <f t="shared" si="115"/>
        <v>1</v>
      </c>
      <c r="T462" s="1">
        <f t="shared" si="116"/>
        <v>1</v>
      </c>
      <c r="U462" s="26">
        <f t="shared" si="117"/>
        <v>1</v>
      </c>
      <c r="V462" s="26">
        <f t="shared" si="118"/>
        <v>0</v>
      </c>
      <c r="W462" s="1">
        <f t="shared" si="119"/>
        <v>1</v>
      </c>
      <c r="X462" s="26">
        <f t="shared" si="120"/>
        <v>0</v>
      </c>
      <c r="Y462" s="26">
        <f t="shared" si="121"/>
        <v>0</v>
      </c>
      <c r="Z462" s="1">
        <f t="shared" si="122"/>
        <v>0</v>
      </c>
      <c r="AA462"/>
      <c r="AB462"/>
    </row>
    <row r="463" spans="1:28" x14ac:dyDescent="0.55000000000000004">
      <c r="A463" s="1">
        <f t="shared" si="109"/>
        <v>463</v>
      </c>
      <c r="B463" t="s">
        <v>33</v>
      </c>
      <c r="C463" t="s">
        <v>198</v>
      </c>
      <c r="D463" t="s">
        <v>174</v>
      </c>
      <c r="E463" t="s">
        <v>1186</v>
      </c>
      <c r="F463" t="s">
        <v>1181</v>
      </c>
      <c r="G463" t="s">
        <v>285</v>
      </c>
      <c r="H463" t="s">
        <v>640</v>
      </c>
      <c r="I463" t="s">
        <v>296</v>
      </c>
      <c r="J463" t="s">
        <v>1188</v>
      </c>
      <c r="K463" t="s">
        <v>359</v>
      </c>
      <c r="L463" t="s">
        <v>1183</v>
      </c>
      <c r="M463" t="s">
        <v>28</v>
      </c>
      <c r="N463" s="1">
        <f t="shared" si="110"/>
        <v>1</v>
      </c>
      <c r="O463" s="1">
        <f t="shared" si="111"/>
        <v>4</v>
      </c>
      <c r="P463" s="1">
        <f t="shared" si="112"/>
        <v>5</v>
      </c>
      <c r="Q463" s="1">
        <f t="shared" si="113"/>
        <v>1</v>
      </c>
      <c r="R463" s="1">
        <f t="shared" si="114"/>
        <v>0</v>
      </c>
      <c r="S463" s="1">
        <f t="shared" si="115"/>
        <v>0</v>
      </c>
      <c r="T463" s="1">
        <f t="shared" si="116"/>
        <v>1</v>
      </c>
      <c r="U463" s="26">
        <f t="shared" si="117"/>
        <v>1</v>
      </c>
      <c r="V463" s="26">
        <f t="shared" si="118"/>
        <v>0</v>
      </c>
      <c r="W463" s="1">
        <f t="shared" si="119"/>
        <v>0</v>
      </c>
      <c r="X463" s="26">
        <f t="shared" si="120"/>
        <v>0</v>
      </c>
      <c r="Y463" s="26">
        <f t="shared" si="121"/>
        <v>1</v>
      </c>
      <c r="Z463" s="1">
        <f t="shared" si="122"/>
        <v>1</v>
      </c>
      <c r="AA463"/>
      <c r="AB463"/>
    </row>
    <row r="464" spans="1:28" x14ac:dyDescent="0.55000000000000004">
      <c r="A464" s="1">
        <f t="shared" si="109"/>
        <v>464</v>
      </c>
      <c r="B464" t="s">
        <v>37</v>
      </c>
      <c r="C464" t="s">
        <v>84</v>
      </c>
      <c r="D464" t="s">
        <v>174</v>
      </c>
      <c r="E464" t="s">
        <v>1186</v>
      </c>
      <c r="F464" t="s">
        <v>315</v>
      </c>
      <c r="G464" t="s">
        <v>324</v>
      </c>
      <c r="H464" t="s">
        <v>664</v>
      </c>
      <c r="I464" t="s">
        <v>318</v>
      </c>
      <c r="J464" t="s">
        <v>1268</v>
      </c>
      <c r="K464" t="s">
        <v>325</v>
      </c>
      <c r="L464" t="s">
        <v>585</v>
      </c>
      <c r="M464" t="s">
        <v>28</v>
      </c>
      <c r="N464" s="1">
        <f t="shared" si="110"/>
        <v>2</v>
      </c>
      <c r="O464" s="1">
        <f t="shared" si="111"/>
        <v>2</v>
      </c>
      <c r="P464" s="1">
        <f t="shared" si="112"/>
        <v>4</v>
      </c>
      <c r="Q464" s="1">
        <f t="shared" si="113"/>
        <v>0</v>
      </c>
      <c r="R464" s="1">
        <f t="shared" si="114"/>
        <v>1</v>
      </c>
      <c r="S464" s="1">
        <f t="shared" si="115"/>
        <v>0</v>
      </c>
      <c r="T464" s="1">
        <f t="shared" si="116"/>
        <v>1</v>
      </c>
      <c r="U464" s="26">
        <f t="shared" si="117"/>
        <v>1</v>
      </c>
      <c r="V464" s="26">
        <f t="shared" si="118"/>
        <v>1</v>
      </c>
      <c r="W464" s="1">
        <f t="shared" si="119"/>
        <v>1</v>
      </c>
      <c r="X464" s="26">
        <f t="shared" si="120"/>
        <v>1</v>
      </c>
      <c r="Y464" s="26">
        <f t="shared" si="121"/>
        <v>1</v>
      </c>
      <c r="Z464" s="1">
        <f t="shared" si="122"/>
        <v>1</v>
      </c>
      <c r="AA464"/>
      <c r="AB464"/>
    </row>
    <row r="465" spans="1:28" x14ac:dyDescent="0.55000000000000004">
      <c r="A465" s="1">
        <f t="shared" si="109"/>
        <v>465</v>
      </c>
      <c r="B465" t="s">
        <v>37</v>
      </c>
      <c r="C465" t="s">
        <v>84</v>
      </c>
      <c r="D465" t="s">
        <v>174</v>
      </c>
      <c r="E465" t="s">
        <v>1186</v>
      </c>
      <c r="F465" t="s">
        <v>315</v>
      </c>
      <c r="G465" t="s">
        <v>321</v>
      </c>
      <c r="H465" t="s">
        <v>568</v>
      </c>
      <c r="I465" t="s">
        <v>312</v>
      </c>
      <c r="J465" t="s">
        <v>1269</v>
      </c>
      <c r="K465" t="s">
        <v>323</v>
      </c>
      <c r="L465" t="s">
        <v>589</v>
      </c>
      <c r="M465" t="s">
        <v>28</v>
      </c>
      <c r="N465" s="1">
        <f t="shared" si="110"/>
        <v>0</v>
      </c>
      <c r="O465" s="1">
        <f t="shared" si="111"/>
        <v>2</v>
      </c>
      <c r="P465" s="1">
        <f t="shared" si="112"/>
        <v>2</v>
      </c>
      <c r="Q465" s="1">
        <f t="shared" si="113"/>
        <v>1</v>
      </c>
      <c r="R465" s="1">
        <f t="shared" si="114"/>
        <v>1</v>
      </c>
      <c r="S465" s="1">
        <f t="shared" si="115"/>
        <v>1</v>
      </c>
      <c r="T465" s="1">
        <f t="shared" si="116"/>
        <v>1</v>
      </c>
      <c r="U465" s="26">
        <f t="shared" si="117"/>
        <v>0</v>
      </c>
      <c r="V465" s="26">
        <f t="shared" si="118"/>
        <v>0</v>
      </c>
      <c r="W465" s="1">
        <f t="shared" si="119"/>
        <v>1</v>
      </c>
      <c r="X465" s="26">
        <f t="shared" si="120"/>
        <v>1</v>
      </c>
      <c r="Y465" s="26">
        <f t="shared" si="121"/>
        <v>1</v>
      </c>
      <c r="Z465" s="1">
        <f t="shared" si="122"/>
        <v>1</v>
      </c>
      <c r="AA465"/>
      <c r="AB465"/>
    </row>
    <row r="466" spans="1:28" x14ac:dyDescent="0.55000000000000004">
      <c r="A466" s="1">
        <f t="shared" si="109"/>
        <v>466</v>
      </c>
      <c r="B466" t="s">
        <v>37</v>
      </c>
      <c r="C466" t="s">
        <v>84</v>
      </c>
      <c r="D466" t="s">
        <v>174</v>
      </c>
      <c r="E466" t="s">
        <v>1186</v>
      </c>
      <c r="F466" t="s">
        <v>311</v>
      </c>
      <c r="G466" t="s">
        <v>319</v>
      </c>
      <c r="H466" t="s">
        <v>573</v>
      </c>
      <c r="I466" t="s">
        <v>326</v>
      </c>
      <c r="J466" t="s">
        <v>1270</v>
      </c>
      <c r="K466" t="s">
        <v>330</v>
      </c>
      <c r="L466" t="s">
        <v>861</v>
      </c>
      <c r="M466" t="s">
        <v>28</v>
      </c>
      <c r="N466" s="1">
        <f t="shared" si="110"/>
        <v>2</v>
      </c>
      <c r="O466" s="1">
        <f t="shared" si="111"/>
        <v>0</v>
      </c>
      <c r="P466" s="1">
        <f t="shared" si="112"/>
        <v>2</v>
      </c>
      <c r="Q466" s="1">
        <f t="shared" si="113"/>
        <v>1</v>
      </c>
      <c r="R466" s="1">
        <f t="shared" si="114"/>
        <v>1</v>
      </c>
      <c r="S466" s="1">
        <f t="shared" si="115"/>
        <v>1</v>
      </c>
      <c r="T466" s="1">
        <f t="shared" si="116"/>
        <v>1</v>
      </c>
      <c r="U466" s="26">
        <f t="shared" si="117"/>
        <v>1</v>
      </c>
      <c r="V466" s="26">
        <f t="shared" si="118"/>
        <v>1</v>
      </c>
      <c r="W466" s="1">
        <f t="shared" si="119"/>
        <v>1</v>
      </c>
      <c r="X466" s="26">
        <f t="shared" si="120"/>
        <v>0</v>
      </c>
      <c r="Y466" s="26">
        <f t="shared" si="121"/>
        <v>0</v>
      </c>
      <c r="Z466" s="1">
        <f t="shared" si="122"/>
        <v>1</v>
      </c>
      <c r="AA466"/>
      <c r="AB466"/>
    </row>
    <row r="467" spans="1:28" x14ac:dyDescent="0.55000000000000004">
      <c r="A467" s="1">
        <f t="shared" si="109"/>
        <v>467</v>
      </c>
      <c r="B467" t="s">
        <v>37</v>
      </c>
      <c r="C467" t="s">
        <v>84</v>
      </c>
      <c r="D467" t="s">
        <v>174</v>
      </c>
      <c r="E467" t="s">
        <v>1186</v>
      </c>
      <c r="F467" t="s">
        <v>311</v>
      </c>
      <c r="G467" t="s">
        <v>322</v>
      </c>
      <c r="H467" t="s">
        <v>608</v>
      </c>
      <c r="I467" t="s">
        <v>313</v>
      </c>
      <c r="J467" t="s">
        <v>1271</v>
      </c>
      <c r="K467" t="s">
        <v>331</v>
      </c>
      <c r="L467" t="s">
        <v>866</v>
      </c>
      <c r="M467" t="s">
        <v>28</v>
      </c>
      <c r="N467" s="1">
        <f t="shared" si="110"/>
        <v>1</v>
      </c>
      <c r="O467" s="1">
        <f t="shared" si="111"/>
        <v>1</v>
      </c>
      <c r="P467" s="1">
        <f t="shared" si="112"/>
        <v>2</v>
      </c>
      <c r="Q467" s="1">
        <f t="shared" si="113"/>
        <v>0</v>
      </c>
      <c r="R467" s="1">
        <f t="shared" si="114"/>
        <v>1</v>
      </c>
      <c r="S467" s="1">
        <f t="shared" si="115"/>
        <v>0</v>
      </c>
      <c r="T467" s="1">
        <f t="shared" si="116"/>
        <v>1</v>
      </c>
      <c r="U467" s="26">
        <f t="shared" si="117"/>
        <v>1</v>
      </c>
      <c r="V467" s="26">
        <f t="shared" si="118"/>
        <v>0</v>
      </c>
      <c r="W467" s="1">
        <f t="shared" si="119"/>
        <v>1</v>
      </c>
      <c r="X467" s="26">
        <f t="shared" si="120"/>
        <v>1</v>
      </c>
      <c r="Y467" s="26">
        <f t="shared" si="121"/>
        <v>0</v>
      </c>
      <c r="Z467" s="1">
        <f t="shared" si="122"/>
        <v>1</v>
      </c>
      <c r="AA467"/>
      <c r="AB467"/>
    </row>
    <row r="468" spans="1:28" x14ac:dyDescent="0.55000000000000004">
      <c r="A468" s="1">
        <f t="shared" si="109"/>
        <v>468</v>
      </c>
      <c r="B468" t="s">
        <v>33</v>
      </c>
      <c r="C468" t="s">
        <v>198</v>
      </c>
      <c r="D468" t="s">
        <v>133</v>
      </c>
      <c r="E468" t="s">
        <v>1751</v>
      </c>
      <c r="F468" t="s">
        <v>409</v>
      </c>
      <c r="G468" t="s">
        <v>362</v>
      </c>
      <c r="H468" t="s">
        <v>722</v>
      </c>
      <c r="I468" t="s">
        <v>299</v>
      </c>
      <c r="J468" t="s">
        <v>1752</v>
      </c>
      <c r="K468" t="s">
        <v>363</v>
      </c>
      <c r="L468" t="s">
        <v>808</v>
      </c>
      <c r="M468" t="s">
        <v>28</v>
      </c>
      <c r="N468" s="1">
        <f t="shared" si="110"/>
        <v>3</v>
      </c>
      <c r="O468" s="1">
        <f t="shared" si="111"/>
        <v>0</v>
      </c>
      <c r="P468" s="1">
        <f t="shared" si="112"/>
        <v>3</v>
      </c>
      <c r="Q468" s="1">
        <f t="shared" si="113"/>
        <v>1</v>
      </c>
      <c r="R468" s="1">
        <f t="shared" si="114"/>
        <v>1</v>
      </c>
      <c r="S468" s="1">
        <f t="shared" si="115"/>
        <v>1</v>
      </c>
      <c r="T468" s="1">
        <f t="shared" si="116"/>
        <v>0</v>
      </c>
      <c r="U468" s="26">
        <f t="shared" si="117"/>
        <v>1</v>
      </c>
      <c r="V468" s="26">
        <f t="shared" si="118"/>
        <v>1</v>
      </c>
      <c r="W468" s="1">
        <f t="shared" si="119"/>
        <v>1</v>
      </c>
      <c r="X468" s="26">
        <f t="shared" si="120"/>
        <v>0</v>
      </c>
      <c r="Y468" s="26">
        <f t="shared" si="121"/>
        <v>0</v>
      </c>
      <c r="Z468" s="1">
        <f t="shared" si="122"/>
        <v>1</v>
      </c>
      <c r="AA468"/>
      <c r="AB468"/>
    </row>
    <row r="469" spans="1:28" x14ac:dyDescent="0.55000000000000004">
      <c r="A469" s="1">
        <f t="shared" si="109"/>
        <v>469</v>
      </c>
      <c r="B469" t="s">
        <v>33</v>
      </c>
      <c r="C469" t="s">
        <v>198</v>
      </c>
      <c r="D469" t="s">
        <v>133</v>
      </c>
      <c r="E469" t="s">
        <v>1751</v>
      </c>
      <c r="F469" t="s">
        <v>409</v>
      </c>
      <c r="G469" t="s">
        <v>281</v>
      </c>
      <c r="H469" t="s">
        <v>608</v>
      </c>
      <c r="I469" t="s">
        <v>360</v>
      </c>
      <c r="J469" t="s">
        <v>1753</v>
      </c>
      <c r="K469" t="s">
        <v>283</v>
      </c>
      <c r="L469" t="s">
        <v>1208</v>
      </c>
      <c r="M469" t="s">
        <v>28</v>
      </c>
      <c r="N469" s="1">
        <f t="shared" si="110"/>
        <v>1</v>
      </c>
      <c r="O469" s="1">
        <f t="shared" si="111"/>
        <v>1</v>
      </c>
      <c r="P469" s="1">
        <f t="shared" si="112"/>
        <v>2</v>
      </c>
      <c r="Q469" s="1">
        <f t="shared" si="113"/>
        <v>0</v>
      </c>
      <c r="R469" s="1">
        <f t="shared" si="114"/>
        <v>1</v>
      </c>
      <c r="S469" s="1">
        <f t="shared" si="115"/>
        <v>0</v>
      </c>
      <c r="T469" s="1">
        <f t="shared" si="116"/>
        <v>1</v>
      </c>
      <c r="U469" s="26">
        <f t="shared" si="117"/>
        <v>1</v>
      </c>
      <c r="V469" s="26">
        <f t="shared" si="118"/>
        <v>0</v>
      </c>
      <c r="W469" s="1">
        <f t="shared" si="119"/>
        <v>1</v>
      </c>
      <c r="X469" s="26">
        <f t="shared" si="120"/>
        <v>1</v>
      </c>
      <c r="Y469" s="26">
        <f t="shared" si="121"/>
        <v>0</v>
      </c>
      <c r="Z469" s="1">
        <f t="shared" si="122"/>
        <v>1</v>
      </c>
      <c r="AA469"/>
      <c r="AB469"/>
    </row>
    <row r="470" spans="1:28" x14ac:dyDescent="0.55000000000000004">
      <c r="A470" s="1">
        <f t="shared" si="109"/>
        <v>470</v>
      </c>
      <c r="B470" t="s">
        <v>33</v>
      </c>
      <c r="C470" t="s">
        <v>198</v>
      </c>
      <c r="D470" t="s">
        <v>133</v>
      </c>
      <c r="E470" t="s">
        <v>1751</v>
      </c>
      <c r="F470" t="s">
        <v>390</v>
      </c>
      <c r="G470" t="s">
        <v>278</v>
      </c>
      <c r="H470" t="s">
        <v>608</v>
      </c>
      <c r="I470" t="s">
        <v>287</v>
      </c>
      <c r="J470" t="s">
        <v>1754</v>
      </c>
      <c r="K470" t="s">
        <v>280</v>
      </c>
      <c r="L470" t="s">
        <v>829</v>
      </c>
      <c r="M470" t="s">
        <v>28</v>
      </c>
      <c r="N470" s="1">
        <f t="shared" si="110"/>
        <v>1</v>
      </c>
      <c r="O470" s="1">
        <f t="shared" si="111"/>
        <v>1</v>
      </c>
      <c r="P470" s="1">
        <f t="shared" si="112"/>
        <v>2</v>
      </c>
      <c r="Q470" s="1">
        <f t="shared" si="113"/>
        <v>0</v>
      </c>
      <c r="R470" s="1">
        <f t="shared" si="114"/>
        <v>1</v>
      </c>
      <c r="S470" s="1">
        <f t="shared" si="115"/>
        <v>0</v>
      </c>
      <c r="T470" s="1">
        <f t="shared" si="116"/>
        <v>1</v>
      </c>
      <c r="U470" s="26">
        <f t="shared" si="117"/>
        <v>1</v>
      </c>
      <c r="V470" s="26">
        <f t="shared" si="118"/>
        <v>0</v>
      </c>
      <c r="W470" s="1">
        <f t="shared" si="119"/>
        <v>1</v>
      </c>
      <c r="X470" s="26">
        <f t="shared" si="120"/>
        <v>1</v>
      </c>
      <c r="Y470" s="26">
        <f t="shared" si="121"/>
        <v>0</v>
      </c>
      <c r="Z470" s="1">
        <f t="shared" si="122"/>
        <v>1</v>
      </c>
      <c r="AA470"/>
      <c r="AB470"/>
    </row>
    <row r="471" spans="1:28" x14ac:dyDescent="0.55000000000000004">
      <c r="A471" s="1">
        <f t="shared" si="109"/>
        <v>471</v>
      </c>
      <c r="B471" t="s">
        <v>33</v>
      </c>
      <c r="C471" t="s">
        <v>198</v>
      </c>
      <c r="D471" t="s">
        <v>133</v>
      </c>
      <c r="E471" t="s">
        <v>1751</v>
      </c>
      <c r="F471" t="s">
        <v>1181</v>
      </c>
      <c r="G471" t="s">
        <v>291</v>
      </c>
      <c r="H471" t="s">
        <v>575</v>
      </c>
      <c r="I471" t="s">
        <v>282</v>
      </c>
      <c r="J471" t="s">
        <v>1755</v>
      </c>
      <c r="K471" t="s">
        <v>293</v>
      </c>
      <c r="L471" t="s">
        <v>812</v>
      </c>
      <c r="M471" t="s">
        <v>28</v>
      </c>
      <c r="N471" s="1">
        <f t="shared" si="110"/>
        <v>1</v>
      </c>
      <c r="O471" s="1">
        <f t="shared" si="111"/>
        <v>0</v>
      </c>
      <c r="P471" s="1">
        <f t="shared" si="112"/>
        <v>1</v>
      </c>
      <c r="Q471" s="1">
        <f t="shared" si="113"/>
        <v>1</v>
      </c>
      <c r="R471" s="1">
        <f t="shared" si="114"/>
        <v>1</v>
      </c>
      <c r="S471" s="1">
        <f t="shared" si="115"/>
        <v>1</v>
      </c>
      <c r="T471" s="1">
        <f t="shared" si="116"/>
        <v>1</v>
      </c>
      <c r="U471" s="26">
        <f t="shared" si="117"/>
        <v>1</v>
      </c>
      <c r="V471" s="26">
        <f t="shared" si="118"/>
        <v>0</v>
      </c>
      <c r="W471" s="1">
        <f t="shared" si="119"/>
        <v>1</v>
      </c>
      <c r="X471" s="26">
        <f t="shared" si="120"/>
        <v>0</v>
      </c>
      <c r="Y471" s="26">
        <f t="shared" si="121"/>
        <v>0</v>
      </c>
      <c r="Z471" s="1">
        <f t="shared" si="122"/>
        <v>0</v>
      </c>
      <c r="AA471"/>
      <c r="AB471"/>
    </row>
    <row r="472" spans="1:28" x14ac:dyDescent="0.55000000000000004">
      <c r="A472" s="1">
        <f t="shared" si="109"/>
        <v>472</v>
      </c>
      <c r="B472" t="s">
        <v>33</v>
      </c>
      <c r="C472" t="s">
        <v>198</v>
      </c>
      <c r="D472" t="s">
        <v>133</v>
      </c>
      <c r="E472" t="s">
        <v>1751</v>
      </c>
      <c r="F472" t="s">
        <v>1181</v>
      </c>
      <c r="G472" t="s">
        <v>292</v>
      </c>
      <c r="H472" t="s">
        <v>881</v>
      </c>
      <c r="I472" t="s">
        <v>367</v>
      </c>
      <c r="J472" t="s">
        <v>1756</v>
      </c>
      <c r="K472" t="s">
        <v>408</v>
      </c>
      <c r="L472" t="s">
        <v>569</v>
      </c>
      <c r="M472" t="s">
        <v>28</v>
      </c>
      <c r="N472" s="1">
        <f t="shared" si="110"/>
        <v>3</v>
      </c>
      <c r="O472" s="1">
        <f t="shared" si="111"/>
        <v>3</v>
      </c>
      <c r="P472" s="1">
        <f t="shared" si="112"/>
        <v>6</v>
      </c>
      <c r="Q472" s="1">
        <f t="shared" si="113"/>
        <v>0</v>
      </c>
      <c r="R472" s="1">
        <f t="shared" si="114"/>
        <v>0</v>
      </c>
      <c r="S472" s="1">
        <f t="shared" si="115"/>
        <v>0</v>
      </c>
      <c r="T472" s="1">
        <f t="shared" si="116"/>
        <v>0</v>
      </c>
      <c r="U472" s="26">
        <f t="shared" si="117"/>
        <v>1</v>
      </c>
      <c r="V472" s="26">
        <f t="shared" si="118"/>
        <v>1</v>
      </c>
      <c r="W472" s="1">
        <f t="shared" si="119"/>
        <v>0</v>
      </c>
      <c r="X472" s="26">
        <f t="shared" si="120"/>
        <v>1</v>
      </c>
      <c r="Y472" s="26">
        <f t="shared" si="121"/>
        <v>1</v>
      </c>
      <c r="Z472" s="1">
        <f t="shared" si="122"/>
        <v>1</v>
      </c>
      <c r="AA472"/>
      <c r="AB472"/>
    </row>
    <row r="473" spans="1:28" x14ac:dyDescent="0.55000000000000004">
      <c r="A473" s="1">
        <f t="shared" si="109"/>
        <v>473</v>
      </c>
      <c r="B473" t="s">
        <v>33</v>
      </c>
      <c r="C473" t="s">
        <v>198</v>
      </c>
      <c r="D473" t="s">
        <v>133</v>
      </c>
      <c r="E473" t="s">
        <v>1751</v>
      </c>
      <c r="F473" t="s">
        <v>1749</v>
      </c>
      <c r="G473" t="s">
        <v>365</v>
      </c>
      <c r="H473" t="s">
        <v>687</v>
      </c>
      <c r="I473" t="s">
        <v>284</v>
      </c>
      <c r="J473" t="s">
        <v>1757</v>
      </c>
      <c r="K473" t="s">
        <v>369</v>
      </c>
      <c r="L473" t="s">
        <v>804</v>
      </c>
      <c r="M473" t="s">
        <v>28</v>
      </c>
      <c r="N473" s="1">
        <f t="shared" si="110"/>
        <v>4</v>
      </c>
      <c r="O473" s="1">
        <f t="shared" si="111"/>
        <v>0</v>
      </c>
      <c r="P473" s="1">
        <f t="shared" si="112"/>
        <v>4</v>
      </c>
      <c r="Q473" s="1">
        <f t="shared" si="113"/>
        <v>1</v>
      </c>
      <c r="R473" s="1">
        <f t="shared" si="114"/>
        <v>1</v>
      </c>
      <c r="S473" s="1">
        <f t="shared" si="115"/>
        <v>1</v>
      </c>
      <c r="T473" s="1">
        <f t="shared" si="116"/>
        <v>0</v>
      </c>
      <c r="U473" s="26">
        <f t="shared" si="117"/>
        <v>0</v>
      </c>
      <c r="V473" s="26">
        <f t="shared" si="118"/>
        <v>1</v>
      </c>
      <c r="W473" s="1">
        <f t="shared" si="119"/>
        <v>1</v>
      </c>
      <c r="X473" s="26">
        <f t="shared" si="120"/>
        <v>0</v>
      </c>
      <c r="Y473" s="26">
        <f t="shared" si="121"/>
        <v>0</v>
      </c>
      <c r="Z473" s="1">
        <f t="shared" si="122"/>
        <v>1</v>
      </c>
      <c r="AA473"/>
      <c r="AB473"/>
    </row>
    <row r="474" spans="1:28" x14ac:dyDescent="0.55000000000000004">
      <c r="A474" s="1">
        <f t="shared" si="109"/>
        <v>474</v>
      </c>
      <c r="B474" t="s">
        <v>35</v>
      </c>
      <c r="C474" t="s">
        <v>197</v>
      </c>
      <c r="D474" t="s">
        <v>133</v>
      </c>
      <c r="E474" t="s">
        <v>1751</v>
      </c>
      <c r="F474" t="s">
        <v>376</v>
      </c>
      <c r="G474" t="s">
        <v>307</v>
      </c>
      <c r="H474" t="s">
        <v>608</v>
      </c>
      <c r="I474" t="s">
        <v>306</v>
      </c>
      <c r="J474" t="s">
        <v>1807</v>
      </c>
      <c r="K474" t="s">
        <v>379</v>
      </c>
      <c r="L474" t="s">
        <v>839</v>
      </c>
      <c r="M474" t="s">
        <v>28</v>
      </c>
      <c r="N474" s="1">
        <f t="shared" si="110"/>
        <v>1</v>
      </c>
      <c r="O474" s="1">
        <f t="shared" si="111"/>
        <v>1</v>
      </c>
      <c r="P474" s="1">
        <f t="shared" si="112"/>
        <v>2</v>
      </c>
      <c r="Q474" s="1">
        <f t="shared" si="113"/>
        <v>0</v>
      </c>
      <c r="R474" s="1">
        <f t="shared" si="114"/>
        <v>1</v>
      </c>
      <c r="S474" s="1">
        <f t="shared" si="115"/>
        <v>0</v>
      </c>
      <c r="T474" s="1">
        <f t="shared" si="116"/>
        <v>1</v>
      </c>
      <c r="U474" s="26">
        <f t="shared" si="117"/>
        <v>1</v>
      </c>
      <c r="V474" s="26">
        <f t="shared" si="118"/>
        <v>0</v>
      </c>
      <c r="W474" s="1">
        <f t="shared" si="119"/>
        <v>1</v>
      </c>
      <c r="X474" s="26">
        <f t="shared" si="120"/>
        <v>1</v>
      </c>
      <c r="Y474" s="26">
        <f t="shared" si="121"/>
        <v>0</v>
      </c>
      <c r="Z474" s="1">
        <f t="shared" si="122"/>
        <v>1</v>
      </c>
      <c r="AA474"/>
      <c r="AB474"/>
    </row>
    <row r="475" spans="1:28" x14ac:dyDescent="0.55000000000000004">
      <c r="A475" s="1">
        <f t="shared" si="109"/>
        <v>475</v>
      </c>
      <c r="B475" t="s">
        <v>35</v>
      </c>
      <c r="C475" t="s">
        <v>197</v>
      </c>
      <c r="D475" t="s">
        <v>133</v>
      </c>
      <c r="E475" t="s">
        <v>1751</v>
      </c>
      <c r="F475" t="s">
        <v>375</v>
      </c>
      <c r="G475" t="s">
        <v>208</v>
      </c>
      <c r="H475" t="s">
        <v>817</v>
      </c>
      <c r="I475" t="s">
        <v>383</v>
      </c>
      <c r="J475" t="s">
        <v>1808</v>
      </c>
      <c r="K475" t="s">
        <v>381</v>
      </c>
      <c r="L475" t="s">
        <v>1069</v>
      </c>
      <c r="M475" t="s">
        <v>28</v>
      </c>
      <c r="N475" s="1">
        <f t="shared" si="110"/>
        <v>4</v>
      </c>
      <c r="O475" s="1">
        <f t="shared" si="111"/>
        <v>1</v>
      </c>
      <c r="P475" s="1">
        <f t="shared" si="112"/>
        <v>5</v>
      </c>
      <c r="Q475" s="1">
        <f t="shared" si="113"/>
        <v>1</v>
      </c>
      <c r="R475" s="1">
        <f t="shared" si="114"/>
        <v>0</v>
      </c>
      <c r="S475" s="1">
        <f t="shared" si="115"/>
        <v>0</v>
      </c>
      <c r="T475" s="1">
        <f t="shared" si="116"/>
        <v>0</v>
      </c>
      <c r="U475" s="26">
        <f t="shared" si="117"/>
        <v>0</v>
      </c>
      <c r="V475" s="26">
        <f t="shared" si="118"/>
        <v>1</v>
      </c>
      <c r="W475" s="1">
        <f t="shared" si="119"/>
        <v>1</v>
      </c>
      <c r="X475" s="26">
        <f t="shared" si="120"/>
        <v>1</v>
      </c>
      <c r="Y475" s="26">
        <f t="shared" si="121"/>
        <v>0</v>
      </c>
      <c r="Z475" s="1">
        <f t="shared" si="122"/>
        <v>1</v>
      </c>
      <c r="AA475"/>
      <c r="AB475"/>
    </row>
    <row r="476" spans="1:28" x14ac:dyDescent="0.55000000000000004">
      <c r="A476" s="1">
        <f t="shared" si="109"/>
        <v>476</v>
      </c>
      <c r="B476" t="s">
        <v>37</v>
      </c>
      <c r="C476" t="s">
        <v>84</v>
      </c>
      <c r="D476" t="s">
        <v>133</v>
      </c>
      <c r="E476" t="s">
        <v>1751</v>
      </c>
      <c r="F476" t="s">
        <v>315</v>
      </c>
      <c r="G476" t="s">
        <v>316</v>
      </c>
      <c r="H476" t="s">
        <v>590</v>
      </c>
      <c r="I476" t="s">
        <v>328</v>
      </c>
      <c r="J476" t="s">
        <v>1833</v>
      </c>
      <c r="K476" t="s">
        <v>341</v>
      </c>
      <c r="L476" t="s">
        <v>593</v>
      </c>
      <c r="M476" t="s">
        <v>28</v>
      </c>
      <c r="N476" s="1">
        <f t="shared" si="110"/>
        <v>0</v>
      </c>
      <c r="O476" s="1">
        <f t="shared" si="111"/>
        <v>1</v>
      </c>
      <c r="P476" s="1">
        <f t="shared" si="112"/>
        <v>1</v>
      </c>
      <c r="Q476" s="1">
        <f t="shared" si="113"/>
        <v>1</v>
      </c>
      <c r="R476" s="1">
        <f t="shared" si="114"/>
        <v>1</v>
      </c>
      <c r="S476" s="1">
        <f t="shared" si="115"/>
        <v>1</v>
      </c>
      <c r="T476" s="1">
        <f t="shared" si="116"/>
        <v>1</v>
      </c>
      <c r="U476" s="26">
        <f t="shared" si="117"/>
        <v>0</v>
      </c>
      <c r="V476" s="26">
        <f t="shared" si="118"/>
        <v>0</v>
      </c>
      <c r="W476" s="1">
        <f t="shared" si="119"/>
        <v>1</v>
      </c>
      <c r="X476" s="26">
        <f t="shared" si="120"/>
        <v>1</v>
      </c>
      <c r="Y476" s="26">
        <f t="shared" si="121"/>
        <v>0</v>
      </c>
      <c r="Z476" s="1">
        <f t="shared" si="122"/>
        <v>0</v>
      </c>
      <c r="AA476"/>
      <c r="AB476"/>
    </row>
    <row r="477" spans="1:28" x14ac:dyDescent="0.55000000000000004">
      <c r="A477" s="1">
        <f t="shared" si="109"/>
        <v>477</v>
      </c>
      <c r="B477" t="s">
        <v>39</v>
      </c>
      <c r="C477" t="s">
        <v>200</v>
      </c>
      <c r="D477" t="s">
        <v>133</v>
      </c>
      <c r="E477" t="s">
        <v>1751</v>
      </c>
      <c r="F477" t="s">
        <v>985</v>
      </c>
      <c r="G477" t="s">
        <v>226</v>
      </c>
      <c r="H477" t="s">
        <v>590</v>
      </c>
      <c r="I477" t="s">
        <v>225</v>
      </c>
      <c r="J477" t="s">
        <v>1847</v>
      </c>
      <c r="K477" t="s">
        <v>241</v>
      </c>
      <c r="L477" t="s">
        <v>1007</v>
      </c>
      <c r="M477" t="s">
        <v>28</v>
      </c>
      <c r="N477" s="1">
        <f t="shared" si="110"/>
        <v>0</v>
      </c>
      <c r="O477" s="1">
        <f t="shared" si="111"/>
        <v>1</v>
      </c>
      <c r="P477" s="1">
        <f t="shared" si="112"/>
        <v>1</v>
      </c>
      <c r="Q477" s="1">
        <f t="shared" si="113"/>
        <v>1</v>
      </c>
      <c r="R477" s="1">
        <f t="shared" si="114"/>
        <v>1</v>
      </c>
      <c r="S477" s="1">
        <f t="shared" si="115"/>
        <v>1</v>
      </c>
      <c r="T477" s="1">
        <f t="shared" si="116"/>
        <v>1</v>
      </c>
      <c r="U477" s="26">
        <f t="shared" si="117"/>
        <v>0</v>
      </c>
      <c r="V477" s="26">
        <f t="shared" si="118"/>
        <v>0</v>
      </c>
      <c r="W477" s="1">
        <f t="shared" si="119"/>
        <v>1</v>
      </c>
      <c r="X477" s="26">
        <f t="shared" si="120"/>
        <v>1</v>
      </c>
      <c r="Y477" s="26">
        <f t="shared" si="121"/>
        <v>0</v>
      </c>
      <c r="Z477" s="1">
        <f t="shared" si="122"/>
        <v>0</v>
      </c>
      <c r="AA477"/>
      <c r="AB477"/>
    </row>
    <row r="478" spans="1:28" x14ac:dyDescent="0.55000000000000004">
      <c r="A478" s="1">
        <f t="shared" si="109"/>
        <v>478</v>
      </c>
      <c r="B478" t="s">
        <v>35</v>
      </c>
      <c r="C478" t="s">
        <v>197</v>
      </c>
      <c r="D478" t="s">
        <v>42</v>
      </c>
      <c r="E478" t="s">
        <v>1470</v>
      </c>
      <c r="F478" t="s">
        <v>411</v>
      </c>
      <c r="G478" t="s">
        <v>210</v>
      </c>
      <c r="H478" t="s">
        <v>568</v>
      </c>
      <c r="I478" t="s">
        <v>214</v>
      </c>
      <c r="J478" t="s">
        <v>1471</v>
      </c>
      <c r="K478" t="s">
        <v>212</v>
      </c>
      <c r="L478" t="s">
        <v>677</v>
      </c>
      <c r="M478" t="s">
        <v>28</v>
      </c>
      <c r="N478" s="1">
        <f t="shared" si="110"/>
        <v>0</v>
      </c>
      <c r="O478" s="1">
        <f t="shared" si="111"/>
        <v>2</v>
      </c>
      <c r="P478" s="1">
        <f t="shared" si="112"/>
        <v>2</v>
      </c>
      <c r="Q478" s="1">
        <f t="shared" si="113"/>
        <v>1</v>
      </c>
      <c r="R478" s="1">
        <f t="shared" si="114"/>
        <v>1</v>
      </c>
      <c r="S478" s="1">
        <f t="shared" si="115"/>
        <v>1</v>
      </c>
      <c r="T478" s="1">
        <f t="shared" si="116"/>
        <v>1</v>
      </c>
      <c r="U478" s="26">
        <f t="shared" si="117"/>
        <v>0</v>
      </c>
      <c r="V478" s="26">
        <f t="shared" si="118"/>
        <v>0</v>
      </c>
      <c r="W478" s="1">
        <f t="shared" si="119"/>
        <v>1</v>
      </c>
      <c r="X478" s="26">
        <f t="shared" si="120"/>
        <v>1</v>
      </c>
      <c r="Y478" s="26">
        <f t="shared" si="121"/>
        <v>1</v>
      </c>
      <c r="Z478" s="1">
        <f t="shared" si="122"/>
        <v>1</v>
      </c>
      <c r="AA478"/>
      <c r="AB478"/>
    </row>
    <row r="479" spans="1:28" x14ac:dyDescent="0.55000000000000004">
      <c r="A479" s="1">
        <f t="shared" si="109"/>
        <v>479</v>
      </c>
      <c r="B479" t="s">
        <v>35</v>
      </c>
      <c r="C479" t="s">
        <v>197</v>
      </c>
      <c r="D479" t="s">
        <v>42</v>
      </c>
      <c r="E479" t="s">
        <v>1470</v>
      </c>
      <c r="F479" t="s">
        <v>357</v>
      </c>
      <c r="G479" t="s">
        <v>384</v>
      </c>
      <c r="H479" t="s">
        <v>581</v>
      </c>
      <c r="I479" t="s">
        <v>386</v>
      </c>
      <c r="J479" t="s">
        <v>1472</v>
      </c>
      <c r="K479" t="s">
        <v>385</v>
      </c>
      <c r="L479" t="s">
        <v>576</v>
      </c>
      <c r="M479" t="s">
        <v>28</v>
      </c>
      <c r="N479" s="1">
        <f t="shared" si="110"/>
        <v>1</v>
      </c>
      <c r="O479" s="1">
        <f t="shared" si="111"/>
        <v>2</v>
      </c>
      <c r="P479" s="1">
        <f t="shared" si="112"/>
        <v>3</v>
      </c>
      <c r="Q479" s="1">
        <f t="shared" si="113"/>
        <v>1</v>
      </c>
      <c r="R479" s="1">
        <f t="shared" si="114"/>
        <v>1</v>
      </c>
      <c r="S479" s="1">
        <f t="shared" si="115"/>
        <v>1</v>
      </c>
      <c r="T479" s="1">
        <f t="shared" si="116"/>
        <v>1</v>
      </c>
      <c r="U479" s="26">
        <f t="shared" si="117"/>
        <v>1</v>
      </c>
      <c r="V479" s="26">
        <f t="shared" si="118"/>
        <v>0</v>
      </c>
      <c r="W479" s="1">
        <f t="shared" si="119"/>
        <v>1</v>
      </c>
      <c r="X479" s="26">
        <f t="shared" si="120"/>
        <v>1</v>
      </c>
      <c r="Y479" s="26">
        <f t="shared" si="121"/>
        <v>1</v>
      </c>
      <c r="Z479" s="1">
        <f t="shared" si="122"/>
        <v>1</v>
      </c>
      <c r="AA479"/>
      <c r="AB479"/>
    </row>
    <row r="480" spans="1:28" x14ac:dyDescent="0.55000000000000004">
      <c r="A480" s="1">
        <f t="shared" si="109"/>
        <v>480</v>
      </c>
      <c r="B480" t="s">
        <v>35</v>
      </c>
      <c r="C480" t="s">
        <v>197</v>
      </c>
      <c r="D480" t="s">
        <v>42</v>
      </c>
      <c r="E480" t="s">
        <v>1470</v>
      </c>
      <c r="F480" t="s">
        <v>357</v>
      </c>
      <c r="G480" t="s">
        <v>303</v>
      </c>
      <c r="H480" t="s">
        <v>568</v>
      </c>
      <c r="I480" t="s">
        <v>213</v>
      </c>
      <c r="J480" t="s">
        <v>1473</v>
      </c>
      <c r="K480" t="s">
        <v>305</v>
      </c>
      <c r="L480" t="s">
        <v>582</v>
      </c>
      <c r="M480" t="s">
        <v>28</v>
      </c>
      <c r="N480" s="1">
        <f t="shared" si="110"/>
        <v>0</v>
      </c>
      <c r="O480" s="1">
        <f t="shared" si="111"/>
        <v>2</v>
      </c>
      <c r="P480" s="1">
        <f t="shared" si="112"/>
        <v>2</v>
      </c>
      <c r="Q480" s="1">
        <f t="shared" si="113"/>
        <v>1</v>
      </c>
      <c r="R480" s="1">
        <f t="shared" si="114"/>
        <v>1</v>
      </c>
      <c r="S480" s="1">
        <f t="shared" si="115"/>
        <v>1</v>
      </c>
      <c r="T480" s="1">
        <f t="shared" si="116"/>
        <v>1</v>
      </c>
      <c r="U480" s="26">
        <f t="shared" si="117"/>
        <v>0</v>
      </c>
      <c r="V480" s="26">
        <f t="shared" si="118"/>
        <v>0</v>
      </c>
      <c r="W480" s="1">
        <f t="shared" si="119"/>
        <v>1</v>
      </c>
      <c r="X480" s="26">
        <f t="shared" si="120"/>
        <v>1</v>
      </c>
      <c r="Y480" s="26">
        <f t="shared" si="121"/>
        <v>1</v>
      </c>
      <c r="Z480" s="1">
        <f t="shared" si="122"/>
        <v>1</v>
      </c>
      <c r="AA480"/>
      <c r="AB480"/>
    </row>
    <row r="481" spans="1:28" x14ac:dyDescent="0.55000000000000004">
      <c r="A481" s="1">
        <f t="shared" si="109"/>
        <v>481</v>
      </c>
      <c r="B481" t="s">
        <v>35</v>
      </c>
      <c r="C481" t="s">
        <v>197</v>
      </c>
      <c r="D481" t="s">
        <v>42</v>
      </c>
      <c r="E481" t="s">
        <v>1470</v>
      </c>
      <c r="F481" t="s">
        <v>357</v>
      </c>
      <c r="G481" t="s">
        <v>211</v>
      </c>
      <c r="H481" t="s">
        <v>570</v>
      </c>
      <c r="I481" t="s">
        <v>304</v>
      </c>
      <c r="J481" t="s">
        <v>1474</v>
      </c>
      <c r="K481" t="s">
        <v>309</v>
      </c>
      <c r="L481" t="s">
        <v>835</v>
      </c>
      <c r="M481" t="s">
        <v>28</v>
      </c>
      <c r="N481" s="1">
        <f t="shared" si="110"/>
        <v>3</v>
      </c>
      <c r="O481" s="1">
        <f t="shared" si="111"/>
        <v>1</v>
      </c>
      <c r="P481" s="1">
        <f t="shared" si="112"/>
        <v>4</v>
      </c>
      <c r="Q481" s="1">
        <f t="shared" si="113"/>
        <v>1</v>
      </c>
      <c r="R481" s="1">
        <f t="shared" si="114"/>
        <v>1</v>
      </c>
      <c r="S481" s="1">
        <f t="shared" si="115"/>
        <v>1</v>
      </c>
      <c r="T481" s="1">
        <f t="shared" si="116"/>
        <v>0</v>
      </c>
      <c r="U481" s="26">
        <f t="shared" si="117"/>
        <v>1</v>
      </c>
      <c r="V481" s="26">
        <f t="shared" si="118"/>
        <v>1</v>
      </c>
      <c r="W481" s="1">
        <f t="shared" si="119"/>
        <v>1</v>
      </c>
      <c r="X481" s="26">
        <f t="shared" si="120"/>
        <v>1</v>
      </c>
      <c r="Y481" s="26">
        <f t="shared" si="121"/>
        <v>0</v>
      </c>
      <c r="Z481" s="1">
        <f t="shared" si="122"/>
        <v>1</v>
      </c>
      <c r="AA481"/>
      <c r="AB481"/>
    </row>
    <row r="482" spans="1:28" x14ac:dyDescent="0.55000000000000004">
      <c r="A482" s="1">
        <f t="shared" si="109"/>
        <v>482</v>
      </c>
      <c r="B482" t="s">
        <v>39</v>
      </c>
      <c r="C482" t="s">
        <v>200</v>
      </c>
      <c r="D482" t="s">
        <v>42</v>
      </c>
      <c r="E482" t="s">
        <v>1470</v>
      </c>
      <c r="F482" t="s">
        <v>985</v>
      </c>
      <c r="G482" t="s">
        <v>228</v>
      </c>
      <c r="H482" t="s">
        <v>847</v>
      </c>
      <c r="I482" t="s">
        <v>231</v>
      </c>
      <c r="J482" t="s">
        <v>1521</v>
      </c>
      <c r="K482" t="s">
        <v>230</v>
      </c>
      <c r="L482" t="s">
        <v>1005</v>
      </c>
      <c r="M482" t="s">
        <v>28</v>
      </c>
      <c r="N482" s="1">
        <f t="shared" si="110"/>
        <v>5</v>
      </c>
      <c r="O482" s="1">
        <f t="shared" si="111"/>
        <v>0</v>
      </c>
      <c r="P482" s="1">
        <f t="shared" si="112"/>
        <v>5</v>
      </c>
      <c r="Q482" s="1">
        <f t="shared" si="113"/>
        <v>1</v>
      </c>
      <c r="R482" s="1">
        <f t="shared" si="114"/>
        <v>0</v>
      </c>
      <c r="S482" s="1">
        <f t="shared" si="115"/>
        <v>0</v>
      </c>
      <c r="T482" s="1">
        <f t="shared" si="116"/>
        <v>0</v>
      </c>
      <c r="U482" s="26">
        <f t="shared" si="117"/>
        <v>0</v>
      </c>
      <c r="V482" s="26">
        <f t="shared" si="118"/>
        <v>1</v>
      </c>
      <c r="W482" s="1">
        <f t="shared" si="119"/>
        <v>1</v>
      </c>
      <c r="X482" s="26">
        <f t="shared" si="120"/>
        <v>0</v>
      </c>
      <c r="Y482" s="26">
        <f t="shared" si="121"/>
        <v>0</v>
      </c>
      <c r="Z482" s="1">
        <f t="shared" si="122"/>
        <v>1</v>
      </c>
      <c r="AA482"/>
      <c r="AB482"/>
    </row>
    <row r="483" spans="1:28" x14ac:dyDescent="0.55000000000000004">
      <c r="A483" s="1">
        <f t="shared" si="109"/>
        <v>483</v>
      </c>
      <c r="B483" t="s">
        <v>39</v>
      </c>
      <c r="C483" t="s">
        <v>200</v>
      </c>
      <c r="D483" t="s">
        <v>42</v>
      </c>
      <c r="E483" t="s">
        <v>1470</v>
      </c>
      <c r="F483" t="s">
        <v>985</v>
      </c>
      <c r="G483" t="s">
        <v>222</v>
      </c>
      <c r="H483" t="s">
        <v>708</v>
      </c>
      <c r="I483" t="s">
        <v>232</v>
      </c>
      <c r="J483" t="s">
        <v>1522</v>
      </c>
      <c r="K483" t="s">
        <v>224</v>
      </c>
      <c r="L483" t="s">
        <v>1012</v>
      </c>
      <c r="M483" t="s">
        <v>28</v>
      </c>
      <c r="N483" s="1">
        <f t="shared" si="110"/>
        <v>0</v>
      </c>
      <c r="O483" s="1">
        <f t="shared" si="111"/>
        <v>0</v>
      </c>
      <c r="P483" s="1">
        <f t="shared" si="112"/>
        <v>0</v>
      </c>
      <c r="Q483" s="1">
        <f t="shared" si="113"/>
        <v>0</v>
      </c>
      <c r="R483" s="1">
        <f t="shared" si="114"/>
        <v>1</v>
      </c>
      <c r="S483" s="1">
        <f t="shared" si="115"/>
        <v>0</v>
      </c>
      <c r="T483" s="1">
        <f t="shared" si="116"/>
        <v>1</v>
      </c>
      <c r="U483" s="26">
        <f t="shared" si="117"/>
        <v>0</v>
      </c>
      <c r="V483" s="26">
        <f t="shared" si="118"/>
        <v>0</v>
      </c>
      <c r="W483" s="1">
        <f t="shared" si="119"/>
        <v>1</v>
      </c>
      <c r="X483" s="26">
        <f t="shared" si="120"/>
        <v>0</v>
      </c>
      <c r="Y483" s="26">
        <f t="shared" si="121"/>
        <v>0</v>
      </c>
      <c r="Z483" s="1">
        <f t="shared" si="122"/>
        <v>0</v>
      </c>
      <c r="AA483"/>
      <c r="AB483"/>
    </row>
    <row r="484" spans="1:28" x14ac:dyDescent="0.55000000000000004">
      <c r="A484" s="1">
        <f t="shared" si="109"/>
        <v>484</v>
      </c>
      <c r="B484" t="s">
        <v>39</v>
      </c>
      <c r="C484" t="s">
        <v>200</v>
      </c>
      <c r="D484" t="s">
        <v>42</v>
      </c>
      <c r="E484" t="s">
        <v>1470</v>
      </c>
      <c r="F484" t="s">
        <v>1513</v>
      </c>
      <c r="G484" t="s">
        <v>220</v>
      </c>
      <c r="H484" t="s">
        <v>608</v>
      </c>
      <c r="I484" t="s">
        <v>219</v>
      </c>
      <c r="J484" t="s">
        <v>1523</v>
      </c>
      <c r="K484" t="s">
        <v>240</v>
      </c>
      <c r="L484" t="s">
        <v>1000</v>
      </c>
      <c r="M484" t="s">
        <v>28</v>
      </c>
      <c r="N484" s="1">
        <f t="shared" si="110"/>
        <v>1</v>
      </c>
      <c r="O484" s="1">
        <f t="shared" si="111"/>
        <v>1</v>
      </c>
      <c r="P484" s="1">
        <f t="shared" si="112"/>
        <v>2</v>
      </c>
      <c r="Q484" s="1">
        <f t="shared" si="113"/>
        <v>0</v>
      </c>
      <c r="R484" s="1">
        <f t="shared" si="114"/>
        <v>1</v>
      </c>
      <c r="S484" s="1">
        <f t="shared" si="115"/>
        <v>0</v>
      </c>
      <c r="T484" s="1">
        <f t="shared" si="116"/>
        <v>1</v>
      </c>
      <c r="U484" s="26">
        <f t="shared" si="117"/>
        <v>1</v>
      </c>
      <c r="V484" s="26">
        <f t="shared" si="118"/>
        <v>0</v>
      </c>
      <c r="W484" s="1">
        <f t="shared" si="119"/>
        <v>1</v>
      </c>
      <c r="X484" s="26">
        <f t="shared" si="120"/>
        <v>1</v>
      </c>
      <c r="Y484" s="26">
        <f t="shared" si="121"/>
        <v>0</v>
      </c>
      <c r="Z484" s="1">
        <f t="shared" si="122"/>
        <v>1</v>
      </c>
      <c r="AA484"/>
      <c r="AB484"/>
    </row>
    <row r="485" spans="1:28" x14ac:dyDescent="0.55000000000000004">
      <c r="A485" s="1">
        <f t="shared" si="109"/>
        <v>485</v>
      </c>
      <c r="B485" t="s">
        <v>39</v>
      </c>
      <c r="C485" t="s">
        <v>200</v>
      </c>
      <c r="D485" t="s">
        <v>42</v>
      </c>
      <c r="E485" t="s">
        <v>1470</v>
      </c>
      <c r="F485" t="s">
        <v>1513</v>
      </c>
      <c r="G485" t="s">
        <v>229</v>
      </c>
      <c r="H485" t="s">
        <v>708</v>
      </c>
      <c r="I485" t="s">
        <v>234</v>
      </c>
      <c r="J485" t="s">
        <v>1524</v>
      </c>
      <c r="K485" t="s">
        <v>246</v>
      </c>
      <c r="L485" t="s">
        <v>1140</v>
      </c>
      <c r="M485" t="s">
        <v>28</v>
      </c>
      <c r="N485" s="1">
        <f t="shared" si="110"/>
        <v>0</v>
      </c>
      <c r="O485" s="1">
        <f t="shared" si="111"/>
        <v>0</v>
      </c>
      <c r="P485" s="1">
        <f t="shared" si="112"/>
        <v>0</v>
      </c>
      <c r="Q485" s="1">
        <f t="shared" si="113"/>
        <v>0</v>
      </c>
      <c r="R485" s="1">
        <f t="shared" si="114"/>
        <v>1</v>
      </c>
      <c r="S485" s="1">
        <f t="shared" si="115"/>
        <v>0</v>
      </c>
      <c r="T485" s="1">
        <f t="shared" si="116"/>
        <v>1</v>
      </c>
      <c r="U485" s="26">
        <f t="shared" si="117"/>
        <v>0</v>
      </c>
      <c r="V485" s="26">
        <f t="shared" si="118"/>
        <v>0</v>
      </c>
      <c r="W485" s="1">
        <f t="shared" si="119"/>
        <v>1</v>
      </c>
      <c r="X485" s="26">
        <f t="shared" si="120"/>
        <v>0</v>
      </c>
      <c r="Y485" s="26">
        <f t="shared" si="121"/>
        <v>0</v>
      </c>
      <c r="Z485" s="1">
        <f t="shared" si="122"/>
        <v>0</v>
      </c>
      <c r="AA485"/>
      <c r="AB485"/>
    </row>
    <row r="486" spans="1:28" x14ac:dyDescent="0.55000000000000004">
      <c r="A486" s="1">
        <f t="shared" si="109"/>
        <v>486</v>
      </c>
      <c r="B486" t="s">
        <v>39</v>
      </c>
      <c r="C486" t="s">
        <v>200</v>
      </c>
      <c r="D486" t="s">
        <v>42</v>
      </c>
      <c r="E486" t="s">
        <v>1470</v>
      </c>
      <c r="F486" t="s">
        <v>1513</v>
      </c>
      <c r="G486" t="s">
        <v>235</v>
      </c>
      <c r="H486" t="s">
        <v>590</v>
      </c>
      <c r="I486" t="s">
        <v>223</v>
      </c>
      <c r="J486" t="s">
        <v>1525</v>
      </c>
      <c r="K486" t="s">
        <v>242</v>
      </c>
      <c r="L486" t="s">
        <v>991</v>
      </c>
      <c r="M486" t="s">
        <v>28</v>
      </c>
      <c r="N486" s="1">
        <f t="shared" si="110"/>
        <v>0</v>
      </c>
      <c r="O486" s="1">
        <f t="shared" si="111"/>
        <v>1</v>
      </c>
      <c r="P486" s="1">
        <f t="shared" si="112"/>
        <v>1</v>
      </c>
      <c r="Q486" s="1">
        <f t="shared" si="113"/>
        <v>1</v>
      </c>
      <c r="R486" s="1">
        <f t="shared" si="114"/>
        <v>1</v>
      </c>
      <c r="S486" s="1">
        <f t="shared" si="115"/>
        <v>1</v>
      </c>
      <c r="T486" s="1">
        <f t="shared" si="116"/>
        <v>1</v>
      </c>
      <c r="U486" s="26">
        <f t="shared" si="117"/>
        <v>0</v>
      </c>
      <c r="V486" s="26">
        <f t="shared" si="118"/>
        <v>0</v>
      </c>
      <c r="W486" s="1">
        <f t="shared" si="119"/>
        <v>1</v>
      </c>
      <c r="X486" s="26">
        <f t="shared" si="120"/>
        <v>1</v>
      </c>
      <c r="Y486" s="26">
        <f t="shared" si="121"/>
        <v>0</v>
      </c>
      <c r="Z486" s="1">
        <f t="shared" si="122"/>
        <v>0</v>
      </c>
      <c r="AA486"/>
      <c r="AB486"/>
    </row>
    <row r="487" spans="1:28" x14ac:dyDescent="0.55000000000000004">
      <c r="A487" s="1">
        <f t="shared" si="109"/>
        <v>487</v>
      </c>
      <c r="B487" t="s">
        <v>39</v>
      </c>
      <c r="C487" t="s">
        <v>197</v>
      </c>
      <c r="D487" t="s">
        <v>133</v>
      </c>
      <c r="E487" t="s">
        <v>1848</v>
      </c>
      <c r="F487" t="s">
        <v>1565</v>
      </c>
      <c r="G487" t="s">
        <v>229</v>
      </c>
      <c r="H487" t="s">
        <v>575</v>
      </c>
      <c r="I487" t="s">
        <v>220</v>
      </c>
      <c r="J487" t="s">
        <v>1849</v>
      </c>
      <c r="K487" t="s">
        <v>246</v>
      </c>
      <c r="L487" t="s">
        <v>993</v>
      </c>
      <c r="M487" t="s">
        <v>28</v>
      </c>
      <c r="N487" s="1">
        <f t="shared" si="110"/>
        <v>1</v>
      </c>
      <c r="O487" s="1">
        <f t="shared" si="111"/>
        <v>0</v>
      </c>
      <c r="P487" s="1">
        <f t="shared" si="112"/>
        <v>1</v>
      </c>
      <c r="Q487" s="1">
        <f t="shared" si="113"/>
        <v>1</v>
      </c>
      <c r="R487" s="1">
        <f t="shared" si="114"/>
        <v>1</v>
      </c>
      <c r="S487" s="1">
        <f t="shared" si="115"/>
        <v>1</v>
      </c>
      <c r="T487" s="1">
        <f t="shared" si="116"/>
        <v>1</v>
      </c>
      <c r="U487" s="26">
        <f t="shared" si="117"/>
        <v>1</v>
      </c>
      <c r="V487" s="26">
        <f t="shared" si="118"/>
        <v>0</v>
      </c>
      <c r="W487" s="1">
        <f t="shared" si="119"/>
        <v>1</v>
      </c>
      <c r="X487" s="26">
        <f t="shared" si="120"/>
        <v>0</v>
      </c>
      <c r="Y487" s="26">
        <f t="shared" si="121"/>
        <v>0</v>
      </c>
      <c r="Z487" s="1">
        <f t="shared" si="122"/>
        <v>0</v>
      </c>
      <c r="AA487"/>
      <c r="AB487"/>
    </row>
    <row r="488" spans="1:28" x14ac:dyDescent="0.55000000000000004">
      <c r="A488" s="1">
        <f t="shared" si="109"/>
        <v>488</v>
      </c>
      <c r="B488" t="s">
        <v>33</v>
      </c>
      <c r="C488" t="s">
        <v>199</v>
      </c>
      <c r="D488" t="s">
        <v>174</v>
      </c>
      <c r="E488" t="s">
        <v>1189</v>
      </c>
      <c r="F488" t="s">
        <v>277</v>
      </c>
      <c r="G488" t="s">
        <v>367</v>
      </c>
      <c r="H488" t="s">
        <v>678</v>
      </c>
      <c r="I488" t="s">
        <v>291</v>
      </c>
      <c r="J488" t="s">
        <v>1190</v>
      </c>
      <c r="K488" t="s">
        <v>368</v>
      </c>
      <c r="L488" t="s">
        <v>1191</v>
      </c>
      <c r="M488" t="s">
        <v>28</v>
      </c>
      <c r="N488" s="1">
        <f t="shared" si="110"/>
        <v>5</v>
      </c>
      <c r="O488" s="1">
        <f t="shared" si="111"/>
        <v>1</v>
      </c>
      <c r="P488" s="1">
        <f t="shared" si="112"/>
        <v>6</v>
      </c>
      <c r="Q488" s="1">
        <f t="shared" si="113"/>
        <v>1</v>
      </c>
      <c r="R488" s="1">
        <f t="shared" si="114"/>
        <v>0</v>
      </c>
      <c r="S488" s="1">
        <f t="shared" si="115"/>
        <v>0</v>
      </c>
      <c r="T488" s="1">
        <f t="shared" si="116"/>
        <v>0</v>
      </c>
      <c r="U488" s="26">
        <f t="shared" si="117"/>
        <v>0</v>
      </c>
      <c r="V488" s="26">
        <f t="shared" si="118"/>
        <v>1</v>
      </c>
      <c r="W488" s="1">
        <f t="shared" si="119"/>
        <v>1</v>
      </c>
      <c r="X488" s="26">
        <f t="shared" si="120"/>
        <v>1</v>
      </c>
      <c r="Y488" s="26">
        <f t="shared" si="121"/>
        <v>0</v>
      </c>
      <c r="Z488" s="1">
        <f t="shared" si="122"/>
        <v>1</v>
      </c>
      <c r="AA488"/>
      <c r="AB488"/>
    </row>
    <row r="489" spans="1:28" x14ac:dyDescent="0.55000000000000004">
      <c r="A489" s="1">
        <f t="shared" si="109"/>
        <v>489</v>
      </c>
      <c r="B489" t="s">
        <v>37</v>
      </c>
      <c r="C489" t="s">
        <v>104</v>
      </c>
      <c r="D489" t="s">
        <v>174</v>
      </c>
      <c r="E489" t="s">
        <v>1189</v>
      </c>
      <c r="F489" t="s">
        <v>315</v>
      </c>
      <c r="G489" t="s">
        <v>312</v>
      </c>
      <c r="H489" t="s">
        <v>817</v>
      </c>
      <c r="I489" t="s">
        <v>316</v>
      </c>
      <c r="J489" t="s">
        <v>1272</v>
      </c>
      <c r="K489" t="s">
        <v>314</v>
      </c>
      <c r="L489" t="s">
        <v>875</v>
      </c>
      <c r="M489" t="s">
        <v>28</v>
      </c>
      <c r="N489" s="1">
        <f t="shared" si="110"/>
        <v>4</v>
      </c>
      <c r="O489" s="1">
        <f t="shared" si="111"/>
        <v>1</v>
      </c>
      <c r="P489" s="1">
        <f t="shared" si="112"/>
        <v>5</v>
      </c>
      <c r="Q489" s="1">
        <f t="shared" si="113"/>
        <v>1</v>
      </c>
      <c r="R489" s="1">
        <f t="shared" si="114"/>
        <v>0</v>
      </c>
      <c r="S489" s="1">
        <f t="shared" si="115"/>
        <v>0</v>
      </c>
      <c r="T489" s="1">
        <f t="shared" si="116"/>
        <v>0</v>
      </c>
      <c r="U489" s="26">
        <f t="shared" si="117"/>
        <v>0</v>
      </c>
      <c r="V489" s="26">
        <f t="shared" si="118"/>
        <v>1</v>
      </c>
      <c r="W489" s="1">
        <f t="shared" si="119"/>
        <v>1</v>
      </c>
      <c r="X489" s="26">
        <f t="shared" si="120"/>
        <v>1</v>
      </c>
      <c r="Y489" s="26">
        <f t="shared" si="121"/>
        <v>0</v>
      </c>
      <c r="Z489" s="1">
        <f t="shared" si="122"/>
        <v>1</v>
      </c>
      <c r="AA489"/>
      <c r="AB489"/>
    </row>
    <row r="490" spans="1:28" x14ac:dyDescent="0.55000000000000004">
      <c r="A490" s="1">
        <f t="shared" si="109"/>
        <v>490</v>
      </c>
      <c r="B490" t="s">
        <v>37</v>
      </c>
      <c r="C490" t="s">
        <v>104</v>
      </c>
      <c r="D490" t="s">
        <v>174</v>
      </c>
      <c r="E490" t="s">
        <v>1189</v>
      </c>
      <c r="F490" t="s">
        <v>315</v>
      </c>
      <c r="G490" t="s">
        <v>321</v>
      </c>
      <c r="H490" t="s">
        <v>608</v>
      </c>
      <c r="I490" t="s">
        <v>319</v>
      </c>
      <c r="J490" t="s">
        <v>1273</v>
      </c>
      <c r="K490" t="s">
        <v>323</v>
      </c>
      <c r="L490" t="s">
        <v>585</v>
      </c>
      <c r="M490" t="s">
        <v>28</v>
      </c>
      <c r="N490" s="1">
        <f t="shared" si="110"/>
        <v>1</v>
      </c>
      <c r="O490" s="1">
        <f t="shared" si="111"/>
        <v>1</v>
      </c>
      <c r="P490" s="1">
        <f t="shared" si="112"/>
        <v>2</v>
      </c>
      <c r="Q490" s="1">
        <f t="shared" si="113"/>
        <v>0</v>
      </c>
      <c r="R490" s="1">
        <f t="shared" si="114"/>
        <v>1</v>
      </c>
      <c r="S490" s="1">
        <f t="shared" si="115"/>
        <v>0</v>
      </c>
      <c r="T490" s="1">
        <f t="shared" si="116"/>
        <v>1</v>
      </c>
      <c r="U490" s="26">
        <f t="shared" si="117"/>
        <v>1</v>
      </c>
      <c r="V490" s="26">
        <f t="shared" si="118"/>
        <v>0</v>
      </c>
      <c r="W490" s="1">
        <f t="shared" si="119"/>
        <v>1</v>
      </c>
      <c r="X490" s="26">
        <f t="shared" si="120"/>
        <v>1</v>
      </c>
      <c r="Y490" s="26">
        <f t="shared" si="121"/>
        <v>0</v>
      </c>
      <c r="Z490" s="1">
        <f t="shared" si="122"/>
        <v>1</v>
      </c>
      <c r="AA490"/>
      <c r="AB490"/>
    </row>
    <row r="491" spans="1:28" x14ac:dyDescent="0.55000000000000004">
      <c r="A491" s="1">
        <f t="shared" si="109"/>
        <v>491</v>
      </c>
      <c r="B491" t="s">
        <v>37</v>
      </c>
      <c r="C491" t="s">
        <v>104</v>
      </c>
      <c r="D491" t="s">
        <v>174</v>
      </c>
      <c r="E491" t="s">
        <v>1189</v>
      </c>
      <c r="F491" t="s">
        <v>315</v>
      </c>
      <c r="G491" t="s">
        <v>318</v>
      </c>
      <c r="H491" t="s">
        <v>708</v>
      </c>
      <c r="I491" t="s">
        <v>322</v>
      </c>
      <c r="J491" t="s">
        <v>1274</v>
      </c>
      <c r="K491" t="s">
        <v>320</v>
      </c>
      <c r="L491" t="s">
        <v>593</v>
      </c>
      <c r="M491" t="s">
        <v>28</v>
      </c>
      <c r="N491" s="1">
        <f t="shared" si="110"/>
        <v>0</v>
      </c>
      <c r="O491" s="1">
        <f t="shared" si="111"/>
        <v>0</v>
      </c>
      <c r="P491" s="1">
        <f t="shared" si="112"/>
        <v>0</v>
      </c>
      <c r="Q491" s="1">
        <f t="shared" si="113"/>
        <v>0</v>
      </c>
      <c r="R491" s="1">
        <f t="shared" si="114"/>
        <v>1</v>
      </c>
      <c r="S491" s="1">
        <f t="shared" si="115"/>
        <v>0</v>
      </c>
      <c r="T491" s="1">
        <f t="shared" si="116"/>
        <v>1</v>
      </c>
      <c r="U491" s="26">
        <f t="shared" si="117"/>
        <v>0</v>
      </c>
      <c r="V491" s="26">
        <f t="shared" si="118"/>
        <v>0</v>
      </c>
      <c r="W491" s="1">
        <f t="shared" si="119"/>
        <v>1</v>
      </c>
      <c r="X491" s="26">
        <f t="shared" si="120"/>
        <v>0</v>
      </c>
      <c r="Y491" s="26">
        <f t="shared" si="121"/>
        <v>0</v>
      </c>
      <c r="Z491" s="1">
        <f t="shared" si="122"/>
        <v>0</v>
      </c>
      <c r="AA491"/>
      <c r="AB491"/>
    </row>
    <row r="492" spans="1:28" x14ac:dyDescent="0.55000000000000004">
      <c r="A492" s="1">
        <f t="shared" si="109"/>
        <v>492</v>
      </c>
      <c r="B492" t="s">
        <v>37</v>
      </c>
      <c r="C492" t="s">
        <v>104</v>
      </c>
      <c r="D492" t="s">
        <v>174</v>
      </c>
      <c r="E492" t="s">
        <v>1189</v>
      </c>
      <c r="F492" t="s">
        <v>315</v>
      </c>
      <c r="G492" t="s">
        <v>328</v>
      </c>
      <c r="H492" t="s">
        <v>565</v>
      </c>
      <c r="I492" t="s">
        <v>313</v>
      </c>
      <c r="J492" t="s">
        <v>1275</v>
      </c>
      <c r="K492" t="s">
        <v>329</v>
      </c>
      <c r="L492" t="s">
        <v>1242</v>
      </c>
      <c r="M492" t="s">
        <v>28</v>
      </c>
      <c r="N492" s="1">
        <f t="shared" si="110"/>
        <v>2</v>
      </c>
      <c r="O492" s="1">
        <f t="shared" si="111"/>
        <v>3</v>
      </c>
      <c r="P492" s="1">
        <f t="shared" si="112"/>
        <v>5</v>
      </c>
      <c r="Q492" s="1">
        <f t="shared" si="113"/>
        <v>1</v>
      </c>
      <c r="R492" s="1">
        <f t="shared" si="114"/>
        <v>0</v>
      </c>
      <c r="S492" s="1">
        <f t="shared" si="115"/>
        <v>0</v>
      </c>
      <c r="T492" s="1">
        <f t="shared" si="116"/>
        <v>1</v>
      </c>
      <c r="U492" s="26">
        <f t="shared" si="117"/>
        <v>1</v>
      </c>
      <c r="V492" s="26">
        <f t="shared" si="118"/>
        <v>1</v>
      </c>
      <c r="W492" s="1">
        <f t="shared" si="119"/>
        <v>0</v>
      </c>
      <c r="X492" s="26">
        <f t="shared" si="120"/>
        <v>1</v>
      </c>
      <c r="Y492" s="26">
        <f t="shared" si="121"/>
        <v>1</v>
      </c>
      <c r="Z492" s="1">
        <f t="shared" si="122"/>
        <v>1</v>
      </c>
      <c r="AA492"/>
      <c r="AB492"/>
    </row>
    <row r="493" spans="1:28" x14ac:dyDescent="0.55000000000000004">
      <c r="A493" s="1">
        <f t="shared" si="109"/>
        <v>493</v>
      </c>
      <c r="B493" t="s">
        <v>37</v>
      </c>
      <c r="C493" t="s">
        <v>104</v>
      </c>
      <c r="D493" t="s">
        <v>174</v>
      </c>
      <c r="E493" t="s">
        <v>1189</v>
      </c>
      <c r="F493" t="s">
        <v>311</v>
      </c>
      <c r="G493" t="s">
        <v>326</v>
      </c>
      <c r="H493" t="s">
        <v>579</v>
      </c>
      <c r="I493" t="s">
        <v>324</v>
      </c>
      <c r="J493" t="s">
        <v>1276</v>
      </c>
      <c r="K493" t="s">
        <v>327</v>
      </c>
      <c r="L493" t="s">
        <v>589</v>
      </c>
      <c r="M493" t="s">
        <v>28</v>
      </c>
      <c r="N493" s="1">
        <f t="shared" si="110"/>
        <v>2</v>
      </c>
      <c r="O493" s="1">
        <f t="shared" si="111"/>
        <v>1</v>
      </c>
      <c r="P493" s="1">
        <f t="shared" si="112"/>
        <v>3</v>
      </c>
      <c r="Q493" s="1">
        <f t="shared" si="113"/>
        <v>1</v>
      </c>
      <c r="R493" s="1">
        <f t="shared" si="114"/>
        <v>1</v>
      </c>
      <c r="S493" s="1">
        <f t="shared" si="115"/>
        <v>1</v>
      </c>
      <c r="T493" s="1">
        <f t="shared" si="116"/>
        <v>1</v>
      </c>
      <c r="U493" s="26">
        <f t="shared" si="117"/>
        <v>1</v>
      </c>
      <c r="V493" s="26">
        <f t="shared" si="118"/>
        <v>1</v>
      </c>
      <c r="W493" s="1">
        <f t="shared" si="119"/>
        <v>1</v>
      </c>
      <c r="X493" s="26">
        <f t="shared" si="120"/>
        <v>1</v>
      </c>
      <c r="Y493" s="26">
        <f t="shared" si="121"/>
        <v>0</v>
      </c>
      <c r="Z493" s="1">
        <f t="shared" si="122"/>
        <v>1</v>
      </c>
      <c r="AA493"/>
      <c r="AB493"/>
    </row>
    <row r="494" spans="1:28" x14ac:dyDescent="0.55000000000000004">
      <c r="A494" s="1">
        <f t="shared" si="109"/>
        <v>494</v>
      </c>
      <c r="B494" t="s">
        <v>30</v>
      </c>
      <c r="C494" t="s">
        <v>196</v>
      </c>
      <c r="D494" t="s">
        <v>133</v>
      </c>
      <c r="E494" t="s">
        <v>1705</v>
      </c>
      <c r="F494" t="s">
        <v>346</v>
      </c>
      <c r="G494" t="s">
        <v>58</v>
      </c>
      <c r="H494" t="s">
        <v>722</v>
      </c>
      <c r="I494" t="s">
        <v>55</v>
      </c>
      <c r="J494" t="s">
        <v>1706</v>
      </c>
      <c r="K494" t="s">
        <v>71</v>
      </c>
      <c r="L494" t="s">
        <v>769</v>
      </c>
      <c r="M494" t="s">
        <v>28</v>
      </c>
      <c r="N494" s="1">
        <f t="shared" si="110"/>
        <v>3</v>
      </c>
      <c r="O494" s="1">
        <f t="shared" si="111"/>
        <v>0</v>
      </c>
      <c r="P494" s="1">
        <f t="shared" si="112"/>
        <v>3</v>
      </c>
      <c r="Q494" s="1">
        <f t="shared" si="113"/>
        <v>1</v>
      </c>
      <c r="R494" s="1">
        <f t="shared" si="114"/>
        <v>1</v>
      </c>
      <c r="S494" s="1">
        <f t="shared" si="115"/>
        <v>1</v>
      </c>
      <c r="T494" s="1">
        <f t="shared" si="116"/>
        <v>0</v>
      </c>
      <c r="U494" s="26">
        <f t="shared" si="117"/>
        <v>1</v>
      </c>
      <c r="V494" s="26">
        <f t="shared" si="118"/>
        <v>1</v>
      </c>
      <c r="W494" s="1">
        <f t="shared" si="119"/>
        <v>1</v>
      </c>
      <c r="X494" s="26">
        <f t="shared" si="120"/>
        <v>0</v>
      </c>
      <c r="Y494" s="26">
        <f t="shared" si="121"/>
        <v>0</v>
      </c>
      <c r="Z494" s="1">
        <f t="shared" si="122"/>
        <v>1</v>
      </c>
      <c r="AA494"/>
      <c r="AB494"/>
    </row>
    <row r="495" spans="1:28" x14ac:dyDescent="0.55000000000000004">
      <c r="A495" s="1">
        <f t="shared" si="109"/>
        <v>495</v>
      </c>
      <c r="B495" t="s">
        <v>33</v>
      </c>
      <c r="C495" t="s">
        <v>199</v>
      </c>
      <c r="D495" t="s">
        <v>133</v>
      </c>
      <c r="E495" t="s">
        <v>1705</v>
      </c>
      <c r="F495" t="s">
        <v>373</v>
      </c>
      <c r="G495" t="s">
        <v>362</v>
      </c>
      <c r="H495" t="s">
        <v>579</v>
      </c>
      <c r="I495" t="s">
        <v>281</v>
      </c>
      <c r="J495" t="s">
        <v>1758</v>
      </c>
      <c r="K495" t="s">
        <v>363</v>
      </c>
      <c r="L495" t="s">
        <v>1465</v>
      </c>
      <c r="M495" t="s">
        <v>28</v>
      </c>
      <c r="N495" s="1">
        <f t="shared" si="110"/>
        <v>2</v>
      </c>
      <c r="O495" s="1">
        <f t="shared" si="111"/>
        <v>1</v>
      </c>
      <c r="P495" s="1">
        <f t="shared" si="112"/>
        <v>3</v>
      </c>
      <c r="Q495" s="1">
        <f t="shared" si="113"/>
        <v>1</v>
      </c>
      <c r="R495" s="1">
        <f t="shared" si="114"/>
        <v>1</v>
      </c>
      <c r="S495" s="1">
        <f t="shared" si="115"/>
        <v>1</v>
      </c>
      <c r="T495" s="1">
        <f t="shared" si="116"/>
        <v>1</v>
      </c>
      <c r="U495" s="26">
        <f t="shared" si="117"/>
        <v>1</v>
      </c>
      <c r="V495" s="26">
        <f t="shared" si="118"/>
        <v>1</v>
      </c>
      <c r="W495" s="1">
        <f t="shared" si="119"/>
        <v>1</v>
      </c>
      <c r="X495" s="26">
        <f t="shared" si="120"/>
        <v>1</v>
      </c>
      <c r="Y495" s="26">
        <f t="shared" si="121"/>
        <v>0</v>
      </c>
      <c r="Z495" s="1">
        <f t="shared" si="122"/>
        <v>1</v>
      </c>
      <c r="AA495"/>
      <c r="AB495"/>
    </row>
    <row r="496" spans="1:28" x14ac:dyDescent="0.55000000000000004">
      <c r="A496" s="1">
        <f t="shared" si="109"/>
        <v>496</v>
      </c>
      <c r="B496" t="s">
        <v>33</v>
      </c>
      <c r="C496" t="s">
        <v>199</v>
      </c>
      <c r="D496" t="s">
        <v>133</v>
      </c>
      <c r="E496" t="s">
        <v>1705</v>
      </c>
      <c r="F496" t="s">
        <v>373</v>
      </c>
      <c r="G496" t="s">
        <v>285</v>
      </c>
      <c r="H496" t="s">
        <v>575</v>
      </c>
      <c r="I496" t="s">
        <v>278</v>
      </c>
      <c r="J496" t="s">
        <v>1759</v>
      </c>
      <c r="K496" t="s">
        <v>359</v>
      </c>
      <c r="L496" t="s">
        <v>822</v>
      </c>
      <c r="M496" t="s">
        <v>28</v>
      </c>
      <c r="N496" s="1">
        <f t="shared" si="110"/>
        <v>1</v>
      </c>
      <c r="O496" s="1">
        <f t="shared" si="111"/>
        <v>0</v>
      </c>
      <c r="P496" s="1">
        <f t="shared" si="112"/>
        <v>1</v>
      </c>
      <c r="Q496" s="1">
        <f t="shared" si="113"/>
        <v>1</v>
      </c>
      <c r="R496" s="1">
        <f t="shared" si="114"/>
        <v>1</v>
      </c>
      <c r="S496" s="1">
        <f t="shared" si="115"/>
        <v>1</v>
      </c>
      <c r="T496" s="1">
        <f t="shared" si="116"/>
        <v>1</v>
      </c>
      <c r="U496" s="26">
        <f t="shared" si="117"/>
        <v>1</v>
      </c>
      <c r="V496" s="26">
        <f t="shared" si="118"/>
        <v>0</v>
      </c>
      <c r="W496" s="1">
        <f t="shared" si="119"/>
        <v>1</v>
      </c>
      <c r="X496" s="26">
        <f t="shared" si="120"/>
        <v>0</v>
      </c>
      <c r="Y496" s="26">
        <f t="shared" si="121"/>
        <v>0</v>
      </c>
      <c r="Z496" s="1">
        <f t="shared" si="122"/>
        <v>0</v>
      </c>
      <c r="AA496"/>
      <c r="AB496"/>
    </row>
    <row r="497" spans="1:28" x14ac:dyDescent="0.55000000000000004">
      <c r="A497" s="1">
        <f t="shared" si="109"/>
        <v>497</v>
      </c>
      <c r="B497" t="s">
        <v>33</v>
      </c>
      <c r="C497" t="s">
        <v>199</v>
      </c>
      <c r="D497" t="s">
        <v>133</v>
      </c>
      <c r="E497" t="s">
        <v>1705</v>
      </c>
      <c r="F497" t="s">
        <v>364</v>
      </c>
      <c r="G497" t="s">
        <v>284</v>
      </c>
      <c r="H497" t="s">
        <v>581</v>
      </c>
      <c r="I497" t="s">
        <v>279</v>
      </c>
      <c r="J497" t="s">
        <v>1760</v>
      </c>
      <c r="K497" t="s">
        <v>286</v>
      </c>
      <c r="L497" t="s">
        <v>1443</v>
      </c>
      <c r="M497" t="s">
        <v>28</v>
      </c>
      <c r="N497" s="1">
        <f t="shared" si="110"/>
        <v>1</v>
      </c>
      <c r="O497" s="1">
        <f t="shared" si="111"/>
        <v>2</v>
      </c>
      <c r="P497" s="1">
        <f t="shared" si="112"/>
        <v>3</v>
      </c>
      <c r="Q497" s="1">
        <f t="shared" si="113"/>
        <v>1</v>
      </c>
      <c r="R497" s="1">
        <f t="shared" si="114"/>
        <v>1</v>
      </c>
      <c r="S497" s="1">
        <f t="shared" si="115"/>
        <v>1</v>
      </c>
      <c r="T497" s="1">
        <f t="shared" si="116"/>
        <v>1</v>
      </c>
      <c r="U497" s="26">
        <f t="shared" si="117"/>
        <v>1</v>
      </c>
      <c r="V497" s="26">
        <f t="shared" si="118"/>
        <v>0</v>
      </c>
      <c r="W497" s="1">
        <f t="shared" si="119"/>
        <v>1</v>
      </c>
      <c r="X497" s="26">
        <f t="shared" si="120"/>
        <v>1</v>
      </c>
      <c r="Y497" s="26">
        <f t="shared" si="121"/>
        <v>1</v>
      </c>
      <c r="Z497" s="1">
        <f t="shared" si="122"/>
        <v>1</v>
      </c>
      <c r="AA497"/>
      <c r="AB497"/>
    </row>
    <row r="498" spans="1:28" x14ac:dyDescent="0.55000000000000004">
      <c r="A498" s="1">
        <f t="shared" si="109"/>
        <v>498</v>
      </c>
      <c r="B498" t="s">
        <v>33</v>
      </c>
      <c r="C498" t="s">
        <v>199</v>
      </c>
      <c r="D498" t="s">
        <v>133</v>
      </c>
      <c r="E498" t="s">
        <v>1705</v>
      </c>
      <c r="F498" t="s">
        <v>277</v>
      </c>
      <c r="G498" t="s">
        <v>288</v>
      </c>
      <c r="H498" t="s">
        <v>579</v>
      </c>
      <c r="I498" t="s">
        <v>365</v>
      </c>
      <c r="J498" t="s">
        <v>1761</v>
      </c>
      <c r="K498" t="s">
        <v>361</v>
      </c>
      <c r="L498" t="s">
        <v>1055</v>
      </c>
      <c r="M498" t="s">
        <v>28</v>
      </c>
      <c r="N498" s="1">
        <f t="shared" si="110"/>
        <v>2</v>
      </c>
      <c r="O498" s="1">
        <f t="shared" si="111"/>
        <v>1</v>
      </c>
      <c r="P498" s="1">
        <f t="shared" si="112"/>
        <v>3</v>
      </c>
      <c r="Q498" s="1">
        <f t="shared" si="113"/>
        <v>1</v>
      </c>
      <c r="R498" s="1">
        <f t="shared" si="114"/>
        <v>1</v>
      </c>
      <c r="S498" s="1">
        <f t="shared" si="115"/>
        <v>1</v>
      </c>
      <c r="T498" s="1">
        <f t="shared" si="116"/>
        <v>1</v>
      </c>
      <c r="U498" s="26">
        <f t="shared" si="117"/>
        <v>1</v>
      </c>
      <c r="V498" s="26">
        <f t="shared" si="118"/>
        <v>1</v>
      </c>
      <c r="W498" s="1">
        <f t="shared" si="119"/>
        <v>1</v>
      </c>
      <c r="X498" s="26">
        <f t="shared" si="120"/>
        <v>1</v>
      </c>
      <c r="Y498" s="26">
        <f t="shared" si="121"/>
        <v>0</v>
      </c>
      <c r="Z498" s="1">
        <f t="shared" si="122"/>
        <v>1</v>
      </c>
      <c r="AA498"/>
      <c r="AB498"/>
    </row>
    <row r="499" spans="1:28" x14ac:dyDescent="0.55000000000000004">
      <c r="A499" s="1">
        <f t="shared" si="109"/>
        <v>499</v>
      </c>
      <c r="B499" t="s">
        <v>39</v>
      </c>
      <c r="C499" t="s">
        <v>132</v>
      </c>
      <c r="D499" t="s">
        <v>133</v>
      </c>
      <c r="E499" t="s">
        <v>1705</v>
      </c>
      <c r="F499" t="s">
        <v>342</v>
      </c>
      <c r="G499" t="s">
        <v>219</v>
      </c>
      <c r="H499" t="s">
        <v>575</v>
      </c>
      <c r="I499" t="s">
        <v>234</v>
      </c>
      <c r="J499" t="s">
        <v>1850</v>
      </c>
      <c r="K499" t="s">
        <v>221</v>
      </c>
      <c r="L499" t="s">
        <v>1005</v>
      </c>
      <c r="M499" t="s">
        <v>28</v>
      </c>
      <c r="N499" s="1">
        <f t="shared" si="110"/>
        <v>1</v>
      </c>
      <c r="O499" s="1">
        <f t="shared" si="111"/>
        <v>0</v>
      </c>
      <c r="P499" s="1">
        <f t="shared" si="112"/>
        <v>1</v>
      </c>
      <c r="Q499" s="1">
        <f t="shared" si="113"/>
        <v>1</v>
      </c>
      <c r="R499" s="1">
        <f t="shared" si="114"/>
        <v>1</v>
      </c>
      <c r="S499" s="1">
        <f t="shared" si="115"/>
        <v>1</v>
      </c>
      <c r="T499" s="1">
        <f t="shared" si="116"/>
        <v>1</v>
      </c>
      <c r="U499" s="26">
        <f t="shared" si="117"/>
        <v>1</v>
      </c>
      <c r="V499" s="26">
        <f t="shared" si="118"/>
        <v>0</v>
      </c>
      <c r="W499" s="1">
        <f t="shared" si="119"/>
        <v>1</v>
      </c>
      <c r="X499" s="26">
        <f t="shared" si="120"/>
        <v>0</v>
      </c>
      <c r="Y499" s="26">
        <f t="shared" si="121"/>
        <v>0</v>
      </c>
      <c r="Z499" s="1">
        <f t="shared" si="122"/>
        <v>0</v>
      </c>
      <c r="AA499"/>
      <c r="AB499"/>
    </row>
    <row r="500" spans="1:28" x14ac:dyDescent="0.55000000000000004">
      <c r="A500" s="1">
        <f t="shared" si="109"/>
        <v>500</v>
      </c>
      <c r="B500" t="s">
        <v>39</v>
      </c>
      <c r="C500" t="s">
        <v>132</v>
      </c>
      <c r="D500" t="s">
        <v>133</v>
      </c>
      <c r="E500" t="s">
        <v>1705</v>
      </c>
      <c r="F500" t="s">
        <v>342</v>
      </c>
      <c r="G500" t="s">
        <v>225</v>
      </c>
      <c r="H500" t="s">
        <v>573</v>
      </c>
      <c r="I500" t="s">
        <v>222</v>
      </c>
      <c r="J500" t="s">
        <v>1851</v>
      </c>
      <c r="K500" t="s">
        <v>227</v>
      </c>
      <c r="L500" t="s">
        <v>993</v>
      </c>
      <c r="M500" t="s">
        <v>28</v>
      </c>
      <c r="N500" s="1">
        <f t="shared" si="110"/>
        <v>2</v>
      </c>
      <c r="O500" s="1">
        <f t="shared" si="111"/>
        <v>0</v>
      </c>
      <c r="P500" s="1">
        <f t="shared" si="112"/>
        <v>2</v>
      </c>
      <c r="Q500" s="1">
        <f t="shared" si="113"/>
        <v>1</v>
      </c>
      <c r="R500" s="1">
        <f t="shared" si="114"/>
        <v>1</v>
      </c>
      <c r="S500" s="1">
        <f t="shared" si="115"/>
        <v>1</v>
      </c>
      <c r="T500" s="1">
        <f t="shared" si="116"/>
        <v>1</v>
      </c>
      <c r="U500" s="26">
        <f t="shared" si="117"/>
        <v>1</v>
      </c>
      <c r="V500" s="26">
        <f t="shared" si="118"/>
        <v>1</v>
      </c>
      <c r="W500" s="1">
        <f t="shared" si="119"/>
        <v>1</v>
      </c>
      <c r="X500" s="26">
        <f t="shared" si="120"/>
        <v>0</v>
      </c>
      <c r="Y500" s="26">
        <f t="shared" si="121"/>
        <v>0</v>
      </c>
      <c r="Z500" s="1">
        <f t="shared" si="122"/>
        <v>1</v>
      </c>
      <c r="AA500"/>
      <c r="AB500"/>
    </row>
    <row r="501" spans="1:28" x14ac:dyDescent="0.55000000000000004">
      <c r="A501" s="1">
        <f t="shared" si="109"/>
        <v>501</v>
      </c>
      <c r="B501" t="s">
        <v>39</v>
      </c>
      <c r="C501" t="s">
        <v>132</v>
      </c>
      <c r="D501" t="s">
        <v>133</v>
      </c>
      <c r="E501" t="s">
        <v>1705</v>
      </c>
      <c r="F501" t="s">
        <v>343</v>
      </c>
      <c r="G501" t="s">
        <v>229</v>
      </c>
      <c r="H501" t="s">
        <v>575</v>
      </c>
      <c r="I501" t="s">
        <v>226</v>
      </c>
      <c r="J501" t="s">
        <v>1852</v>
      </c>
      <c r="K501" t="s">
        <v>246</v>
      </c>
      <c r="L501" t="s">
        <v>1012</v>
      </c>
      <c r="M501" t="s">
        <v>28</v>
      </c>
      <c r="N501" s="1">
        <f t="shared" si="110"/>
        <v>1</v>
      </c>
      <c r="O501" s="1">
        <f t="shared" si="111"/>
        <v>0</v>
      </c>
      <c r="P501" s="1">
        <f t="shared" si="112"/>
        <v>1</v>
      </c>
      <c r="Q501" s="1">
        <f t="shared" si="113"/>
        <v>1</v>
      </c>
      <c r="R501" s="1">
        <f t="shared" si="114"/>
        <v>1</v>
      </c>
      <c r="S501" s="1">
        <f t="shared" si="115"/>
        <v>1</v>
      </c>
      <c r="T501" s="1">
        <f t="shared" si="116"/>
        <v>1</v>
      </c>
      <c r="U501" s="26">
        <f t="shared" si="117"/>
        <v>1</v>
      </c>
      <c r="V501" s="26">
        <f t="shared" si="118"/>
        <v>0</v>
      </c>
      <c r="W501" s="1">
        <f t="shared" si="119"/>
        <v>1</v>
      </c>
      <c r="X501" s="26">
        <f t="shared" si="120"/>
        <v>0</v>
      </c>
      <c r="Y501" s="26">
        <f t="shared" si="121"/>
        <v>0</v>
      </c>
      <c r="Z501" s="1">
        <f t="shared" si="122"/>
        <v>0</v>
      </c>
      <c r="AA501"/>
      <c r="AB501"/>
    </row>
    <row r="502" spans="1:28" x14ac:dyDescent="0.55000000000000004">
      <c r="A502" s="1">
        <f t="shared" si="109"/>
        <v>502</v>
      </c>
      <c r="B502" t="s">
        <v>39</v>
      </c>
      <c r="C502" t="s">
        <v>132</v>
      </c>
      <c r="D502" t="s">
        <v>133</v>
      </c>
      <c r="E502" t="s">
        <v>1705</v>
      </c>
      <c r="F502" t="s">
        <v>343</v>
      </c>
      <c r="G502" t="s">
        <v>220</v>
      </c>
      <c r="H502" t="s">
        <v>722</v>
      </c>
      <c r="I502" t="s">
        <v>231</v>
      </c>
      <c r="J502" t="s">
        <v>1853</v>
      </c>
      <c r="K502" t="s">
        <v>240</v>
      </c>
      <c r="L502" t="s">
        <v>987</v>
      </c>
      <c r="M502" t="s">
        <v>28</v>
      </c>
      <c r="N502" s="1">
        <f t="shared" si="110"/>
        <v>3</v>
      </c>
      <c r="O502" s="1">
        <f t="shared" si="111"/>
        <v>0</v>
      </c>
      <c r="P502" s="1">
        <f t="shared" si="112"/>
        <v>3</v>
      </c>
      <c r="Q502" s="1">
        <f t="shared" si="113"/>
        <v>1</v>
      </c>
      <c r="R502" s="1">
        <f t="shared" si="114"/>
        <v>1</v>
      </c>
      <c r="S502" s="1">
        <f t="shared" si="115"/>
        <v>1</v>
      </c>
      <c r="T502" s="1">
        <f t="shared" si="116"/>
        <v>0</v>
      </c>
      <c r="U502" s="26">
        <f t="shared" si="117"/>
        <v>1</v>
      </c>
      <c r="V502" s="26">
        <f t="shared" si="118"/>
        <v>1</v>
      </c>
      <c r="W502" s="1">
        <f t="shared" si="119"/>
        <v>1</v>
      </c>
      <c r="X502" s="26">
        <f t="shared" si="120"/>
        <v>0</v>
      </c>
      <c r="Y502" s="26">
        <f t="shared" si="121"/>
        <v>0</v>
      </c>
      <c r="Z502" s="1">
        <f t="shared" si="122"/>
        <v>1</v>
      </c>
      <c r="AA502"/>
      <c r="AB502"/>
    </row>
    <row r="503" spans="1:28" x14ac:dyDescent="0.55000000000000004">
      <c r="A503" s="1">
        <f t="shared" si="109"/>
        <v>503</v>
      </c>
      <c r="B503" t="s">
        <v>40</v>
      </c>
      <c r="C503" t="s">
        <v>196</v>
      </c>
      <c r="D503" t="s">
        <v>133</v>
      </c>
      <c r="E503" t="s">
        <v>1705</v>
      </c>
      <c r="F503" t="s">
        <v>1886</v>
      </c>
      <c r="G503" t="s">
        <v>260</v>
      </c>
      <c r="H503" t="s">
        <v>708</v>
      </c>
      <c r="I503" t="s">
        <v>263</v>
      </c>
      <c r="J503" t="s">
        <v>1887</v>
      </c>
      <c r="K503" t="s">
        <v>250</v>
      </c>
      <c r="L503" t="s">
        <v>596</v>
      </c>
      <c r="M503" t="s">
        <v>28</v>
      </c>
      <c r="N503" s="1">
        <f t="shared" si="110"/>
        <v>0</v>
      </c>
      <c r="O503" s="1">
        <f t="shared" si="111"/>
        <v>0</v>
      </c>
      <c r="P503" s="1">
        <f t="shared" si="112"/>
        <v>0</v>
      </c>
      <c r="Q503" s="1">
        <f t="shared" si="113"/>
        <v>0</v>
      </c>
      <c r="R503" s="1">
        <f t="shared" si="114"/>
        <v>1</v>
      </c>
      <c r="S503" s="1">
        <f t="shared" si="115"/>
        <v>0</v>
      </c>
      <c r="T503" s="1">
        <f t="shared" si="116"/>
        <v>1</v>
      </c>
      <c r="U503" s="26">
        <f t="shared" si="117"/>
        <v>0</v>
      </c>
      <c r="V503" s="26">
        <f t="shared" si="118"/>
        <v>0</v>
      </c>
      <c r="W503" s="1">
        <f t="shared" si="119"/>
        <v>1</v>
      </c>
      <c r="X503" s="26">
        <f t="shared" si="120"/>
        <v>0</v>
      </c>
      <c r="Y503" s="26">
        <f t="shared" si="121"/>
        <v>0</v>
      </c>
      <c r="Z503" s="1">
        <f t="shared" si="122"/>
        <v>0</v>
      </c>
      <c r="AA503"/>
      <c r="AB503"/>
    </row>
    <row r="504" spans="1:28" x14ac:dyDescent="0.55000000000000004">
      <c r="A504" s="1">
        <f t="shared" si="109"/>
        <v>504</v>
      </c>
      <c r="B504" t="s">
        <v>40</v>
      </c>
      <c r="C504" t="s">
        <v>196</v>
      </c>
      <c r="D504" t="s">
        <v>133</v>
      </c>
      <c r="E504" t="s">
        <v>1705</v>
      </c>
      <c r="F504" t="s">
        <v>394</v>
      </c>
      <c r="G504" t="s">
        <v>256</v>
      </c>
      <c r="H504" t="s">
        <v>722</v>
      </c>
      <c r="I504" t="s">
        <v>255</v>
      </c>
      <c r="J504" t="s">
        <v>1300</v>
      </c>
      <c r="K504" t="s">
        <v>416</v>
      </c>
      <c r="L504" t="s">
        <v>1030</v>
      </c>
      <c r="M504" t="s">
        <v>28</v>
      </c>
      <c r="N504" s="1">
        <f t="shared" si="110"/>
        <v>3</v>
      </c>
      <c r="O504" s="1">
        <f t="shared" si="111"/>
        <v>0</v>
      </c>
      <c r="P504" s="1">
        <f t="shared" si="112"/>
        <v>3</v>
      </c>
      <c r="Q504" s="1">
        <f t="shared" si="113"/>
        <v>1</v>
      </c>
      <c r="R504" s="1">
        <f t="shared" si="114"/>
        <v>1</v>
      </c>
      <c r="S504" s="1">
        <f t="shared" si="115"/>
        <v>1</v>
      </c>
      <c r="T504" s="1">
        <f t="shared" si="116"/>
        <v>0</v>
      </c>
      <c r="U504" s="26">
        <f t="shared" si="117"/>
        <v>1</v>
      </c>
      <c r="V504" s="26">
        <f t="shared" si="118"/>
        <v>1</v>
      </c>
      <c r="W504" s="1">
        <f t="shared" si="119"/>
        <v>1</v>
      </c>
      <c r="X504" s="26">
        <f t="shared" si="120"/>
        <v>0</v>
      </c>
      <c r="Y504" s="26">
        <f t="shared" si="121"/>
        <v>0</v>
      </c>
      <c r="Z504" s="1">
        <f t="shared" si="122"/>
        <v>1</v>
      </c>
      <c r="AA504"/>
      <c r="AB504"/>
    </row>
    <row r="505" spans="1:28" x14ac:dyDescent="0.55000000000000004">
      <c r="A505" s="1">
        <f t="shared" si="109"/>
        <v>505</v>
      </c>
      <c r="B505" t="s">
        <v>40</v>
      </c>
      <c r="C505" t="s">
        <v>196</v>
      </c>
      <c r="D505" t="s">
        <v>133</v>
      </c>
      <c r="E505" t="s">
        <v>1705</v>
      </c>
      <c r="F505" t="s">
        <v>392</v>
      </c>
      <c r="G505" t="s">
        <v>249</v>
      </c>
      <c r="H505" t="s">
        <v>577</v>
      </c>
      <c r="I505" t="s">
        <v>261</v>
      </c>
      <c r="J505" t="s">
        <v>1888</v>
      </c>
      <c r="K505" t="s">
        <v>262</v>
      </c>
      <c r="L505" t="s">
        <v>1025</v>
      </c>
      <c r="M505" t="s">
        <v>28</v>
      </c>
      <c r="N505" s="1">
        <f t="shared" si="110"/>
        <v>1</v>
      </c>
      <c r="O505" s="1">
        <f t="shared" si="111"/>
        <v>3</v>
      </c>
      <c r="P505" s="1">
        <f t="shared" si="112"/>
        <v>4</v>
      </c>
      <c r="Q505" s="1">
        <f t="shared" si="113"/>
        <v>1</v>
      </c>
      <c r="R505" s="1">
        <f t="shared" si="114"/>
        <v>1</v>
      </c>
      <c r="S505" s="1">
        <f t="shared" si="115"/>
        <v>1</v>
      </c>
      <c r="T505" s="1">
        <f t="shared" si="116"/>
        <v>1</v>
      </c>
      <c r="U505" s="26">
        <f t="shared" si="117"/>
        <v>1</v>
      </c>
      <c r="V505" s="26">
        <f t="shared" si="118"/>
        <v>0</v>
      </c>
      <c r="W505" s="1">
        <f t="shared" si="119"/>
        <v>0</v>
      </c>
      <c r="X505" s="26">
        <f t="shared" si="120"/>
        <v>1</v>
      </c>
      <c r="Y505" s="26">
        <f t="shared" si="121"/>
        <v>1</v>
      </c>
      <c r="Z505" s="1">
        <f t="shared" si="122"/>
        <v>1</v>
      </c>
      <c r="AA505"/>
      <c r="AB505"/>
    </row>
    <row r="506" spans="1:28" x14ac:dyDescent="0.55000000000000004">
      <c r="A506" s="1">
        <f t="shared" si="109"/>
        <v>506</v>
      </c>
      <c r="B506" t="s">
        <v>40</v>
      </c>
      <c r="C506" t="s">
        <v>196</v>
      </c>
      <c r="D506" t="s">
        <v>133</v>
      </c>
      <c r="E506" t="s">
        <v>1705</v>
      </c>
      <c r="F506" t="s">
        <v>392</v>
      </c>
      <c r="G506" t="s">
        <v>265</v>
      </c>
      <c r="H506" t="s">
        <v>590</v>
      </c>
      <c r="I506" t="s">
        <v>253</v>
      </c>
      <c r="J506" t="s">
        <v>1889</v>
      </c>
      <c r="K506" t="s">
        <v>344</v>
      </c>
      <c r="L506" t="s">
        <v>1027</v>
      </c>
      <c r="M506" t="s">
        <v>28</v>
      </c>
      <c r="N506" s="1">
        <f t="shared" si="110"/>
        <v>0</v>
      </c>
      <c r="O506" s="1">
        <f t="shared" si="111"/>
        <v>1</v>
      </c>
      <c r="P506" s="1">
        <f t="shared" si="112"/>
        <v>1</v>
      </c>
      <c r="Q506" s="1">
        <f t="shared" si="113"/>
        <v>1</v>
      </c>
      <c r="R506" s="1">
        <f t="shared" si="114"/>
        <v>1</v>
      </c>
      <c r="S506" s="1">
        <f t="shared" si="115"/>
        <v>1</v>
      </c>
      <c r="T506" s="1">
        <f t="shared" si="116"/>
        <v>1</v>
      </c>
      <c r="U506" s="26">
        <f t="shared" si="117"/>
        <v>0</v>
      </c>
      <c r="V506" s="26">
        <f t="shared" si="118"/>
        <v>0</v>
      </c>
      <c r="W506" s="1">
        <f t="shared" si="119"/>
        <v>1</v>
      </c>
      <c r="X506" s="26">
        <f t="shared" si="120"/>
        <v>1</v>
      </c>
      <c r="Y506" s="26">
        <f t="shared" si="121"/>
        <v>0</v>
      </c>
      <c r="Z506" s="1">
        <f t="shared" si="122"/>
        <v>0</v>
      </c>
      <c r="AA506"/>
      <c r="AB506"/>
    </row>
    <row r="507" spans="1:28" x14ac:dyDescent="0.55000000000000004">
      <c r="A507" s="1">
        <f t="shared" si="109"/>
        <v>507</v>
      </c>
      <c r="B507" t="s">
        <v>40</v>
      </c>
      <c r="C507" t="s">
        <v>196</v>
      </c>
      <c r="D507" t="s">
        <v>133</v>
      </c>
      <c r="E507" t="s">
        <v>1705</v>
      </c>
      <c r="F507" t="s">
        <v>392</v>
      </c>
      <c r="G507" t="s">
        <v>252</v>
      </c>
      <c r="H507" t="s">
        <v>608</v>
      </c>
      <c r="I507" t="s">
        <v>248</v>
      </c>
      <c r="J507" t="s">
        <v>1890</v>
      </c>
      <c r="K507" t="s">
        <v>254</v>
      </c>
      <c r="L507" t="s">
        <v>594</v>
      </c>
      <c r="M507" t="s">
        <v>28</v>
      </c>
      <c r="N507" s="1">
        <f t="shared" si="110"/>
        <v>1</v>
      </c>
      <c r="O507" s="1">
        <f t="shared" si="111"/>
        <v>1</v>
      </c>
      <c r="P507" s="1">
        <f t="shared" si="112"/>
        <v>2</v>
      </c>
      <c r="Q507" s="1">
        <f t="shared" si="113"/>
        <v>0</v>
      </c>
      <c r="R507" s="1">
        <f t="shared" si="114"/>
        <v>1</v>
      </c>
      <c r="S507" s="1">
        <f t="shared" si="115"/>
        <v>0</v>
      </c>
      <c r="T507" s="1">
        <f t="shared" si="116"/>
        <v>1</v>
      </c>
      <c r="U507" s="26">
        <f t="shared" si="117"/>
        <v>1</v>
      </c>
      <c r="V507" s="26">
        <f t="shared" si="118"/>
        <v>0</v>
      </c>
      <c r="W507" s="1">
        <f t="shared" si="119"/>
        <v>1</v>
      </c>
      <c r="X507" s="26">
        <f t="shared" si="120"/>
        <v>1</v>
      </c>
      <c r="Y507" s="26">
        <f t="shared" si="121"/>
        <v>0</v>
      </c>
      <c r="Z507" s="1">
        <f t="shared" si="122"/>
        <v>1</v>
      </c>
      <c r="AA507"/>
      <c r="AB507"/>
    </row>
    <row r="508" spans="1:28" x14ac:dyDescent="0.55000000000000004">
      <c r="A508" s="1">
        <f t="shared" si="109"/>
        <v>508</v>
      </c>
      <c r="B508" t="s">
        <v>40</v>
      </c>
      <c r="C508" t="s">
        <v>196</v>
      </c>
      <c r="D508" t="s">
        <v>133</v>
      </c>
      <c r="E508" t="s">
        <v>1705</v>
      </c>
      <c r="F508" t="s">
        <v>251</v>
      </c>
      <c r="G508" t="s">
        <v>258</v>
      </c>
      <c r="H508" t="s">
        <v>837</v>
      </c>
      <c r="I508" t="s">
        <v>266</v>
      </c>
      <c r="J508" t="s">
        <v>1891</v>
      </c>
      <c r="K508" t="s">
        <v>259</v>
      </c>
      <c r="L508" t="s">
        <v>1014</v>
      </c>
      <c r="M508" t="s">
        <v>28</v>
      </c>
      <c r="N508" s="1">
        <f t="shared" si="110"/>
        <v>1</v>
      </c>
      <c r="O508" s="1">
        <f t="shared" si="111"/>
        <v>5</v>
      </c>
      <c r="P508" s="1">
        <f t="shared" si="112"/>
        <v>6</v>
      </c>
      <c r="Q508" s="1">
        <f t="shared" si="113"/>
        <v>1</v>
      </c>
      <c r="R508" s="1">
        <f t="shared" si="114"/>
        <v>0</v>
      </c>
      <c r="S508" s="1">
        <f t="shared" si="115"/>
        <v>0</v>
      </c>
      <c r="T508" s="1">
        <f t="shared" si="116"/>
        <v>1</v>
      </c>
      <c r="U508" s="26">
        <f t="shared" si="117"/>
        <v>1</v>
      </c>
      <c r="V508" s="26">
        <f t="shared" si="118"/>
        <v>0</v>
      </c>
      <c r="W508" s="1">
        <f t="shared" si="119"/>
        <v>0</v>
      </c>
      <c r="X508" s="26">
        <f t="shared" si="120"/>
        <v>0</v>
      </c>
      <c r="Y508" s="26">
        <f t="shared" si="121"/>
        <v>1</v>
      </c>
      <c r="Z508" s="1">
        <f t="shared" si="122"/>
        <v>1</v>
      </c>
      <c r="AA508"/>
      <c r="AB508"/>
    </row>
    <row r="509" spans="1:28" x14ac:dyDescent="0.55000000000000004">
      <c r="A509" s="1">
        <f t="shared" si="109"/>
        <v>509</v>
      </c>
      <c r="B509" t="s">
        <v>30</v>
      </c>
      <c r="C509" t="s">
        <v>196</v>
      </c>
      <c r="D509" t="s">
        <v>42</v>
      </c>
      <c r="E509" t="s">
        <v>1376</v>
      </c>
      <c r="F509" t="s">
        <v>380</v>
      </c>
      <c r="G509" t="s">
        <v>45</v>
      </c>
      <c r="H509" t="s">
        <v>590</v>
      </c>
      <c r="I509" t="s">
        <v>54</v>
      </c>
      <c r="J509" t="s">
        <v>1377</v>
      </c>
      <c r="K509" t="s">
        <v>74</v>
      </c>
      <c r="L509" t="s">
        <v>777</v>
      </c>
      <c r="M509" t="s">
        <v>28</v>
      </c>
      <c r="N509" s="1">
        <f t="shared" si="110"/>
        <v>0</v>
      </c>
      <c r="O509" s="1">
        <f t="shared" si="111"/>
        <v>1</v>
      </c>
      <c r="P509" s="1">
        <f t="shared" si="112"/>
        <v>1</v>
      </c>
      <c r="Q509" s="1">
        <f t="shared" si="113"/>
        <v>1</v>
      </c>
      <c r="R509" s="1">
        <f t="shared" si="114"/>
        <v>1</v>
      </c>
      <c r="S509" s="1">
        <f t="shared" si="115"/>
        <v>1</v>
      </c>
      <c r="T509" s="1">
        <f t="shared" si="116"/>
        <v>1</v>
      </c>
      <c r="U509" s="26">
        <f t="shared" si="117"/>
        <v>0</v>
      </c>
      <c r="V509" s="26">
        <f t="shared" si="118"/>
        <v>0</v>
      </c>
      <c r="W509" s="1">
        <f t="shared" si="119"/>
        <v>1</v>
      </c>
      <c r="X509" s="26">
        <f t="shared" si="120"/>
        <v>1</v>
      </c>
      <c r="Y509" s="26">
        <f t="shared" si="121"/>
        <v>0</v>
      </c>
      <c r="Z509" s="1">
        <f t="shared" si="122"/>
        <v>0</v>
      </c>
      <c r="AA509"/>
      <c r="AB509"/>
    </row>
    <row r="510" spans="1:28" x14ac:dyDescent="0.55000000000000004">
      <c r="A510" s="1">
        <f t="shared" si="109"/>
        <v>510</v>
      </c>
      <c r="B510" t="s">
        <v>30</v>
      </c>
      <c r="C510" t="s">
        <v>196</v>
      </c>
      <c r="D510" t="s">
        <v>42</v>
      </c>
      <c r="E510" t="s">
        <v>1376</v>
      </c>
      <c r="F510" t="s">
        <v>380</v>
      </c>
      <c r="G510" t="s">
        <v>63</v>
      </c>
      <c r="H510" t="s">
        <v>579</v>
      </c>
      <c r="I510" t="s">
        <v>57</v>
      </c>
      <c r="J510" t="s">
        <v>1378</v>
      </c>
      <c r="K510" t="s">
        <v>65</v>
      </c>
      <c r="L510" t="s">
        <v>767</v>
      </c>
      <c r="M510" t="s">
        <v>28</v>
      </c>
      <c r="N510" s="1">
        <f t="shared" si="110"/>
        <v>2</v>
      </c>
      <c r="O510" s="1">
        <f t="shared" si="111"/>
        <v>1</v>
      </c>
      <c r="P510" s="1">
        <f t="shared" si="112"/>
        <v>3</v>
      </c>
      <c r="Q510" s="1">
        <f t="shared" si="113"/>
        <v>1</v>
      </c>
      <c r="R510" s="1">
        <f t="shared" si="114"/>
        <v>1</v>
      </c>
      <c r="S510" s="1">
        <f t="shared" si="115"/>
        <v>1</v>
      </c>
      <c r="T510" s="1">
        <f t="shared" si="116"/>
        <v>1</v>
      </c>
      <c r="U510" s="26">
        <f t="shared" si="117"/>
        <v>1</v>
      </c>
      <c r="V510" s="26">
        <f t="shared" si="118"/>
        <v>1</v>
      </c>
      <c r="W510" s="1">
        <f t="shared" si="119"/>
        <v>1</v>
      </c>
      <c r="X510" s="26">
        <f t="shared" si="120"/>
        <v>1</v>
      </c>
      <c r="Y510" s="26">
        <f t="shared" si="121"/>
        <v>0</v>
      </c>
      <c r="Z510" s="1">
        <f t="shared" si="122"/>
        <v>1</v>
      </c>
      <c r="AA510"/>
      <c r="AB510"/>
    </row>
    <row r="511" spans="1:28" x14ac:dyDescent="0.55000000000000004">
      <c r="A511" s="1">
        <f t="shared" si="109"/>
        <v>511</v>
      </c>
      <c r="B511" t="s">
        <v>30</v>
      </c>
      <c r="C511" t="s">
        <v>196</v>
      </c>
      <c r="D511" t="s">
        <v>42</v>
      </c>
      <c r="E511" t="s">
        <v>1376</v>
      </c>
      <c r="F511" t="s">
        <v>400</v>
      </c>
      <c r="G511" t="s">
        <v>60</v>
      </c>
      <c r="H511" t="s">
        <v>608</v>
      </c>
      <c r="I511" t="s">
        <v>66</v>
      </c>
      <c r="J511" t="s">
        <v>1379</v>
      </c>
      <c r="K511" t="s">
        <v>62</v>
      </c>
      <c r="L511" t="s">
        <v>1380</v>
      </c>
      <c r="M511" t="s">
        <v>28</v>
      </c>
      <c r="N511" s="1">
        <f t="shared" si="110"/>
        <v>1</v>
      </c>
      <c r="O511" s="1">
        <f t="shared" si="111"/>
        <v>1</v>
      </c>
      <c r="P511" s="1">
        <f t="shared" si="112"/>
        <v>2</v>
      </c>
      <c r="Q511" s="1">
        <f t="shared" si="113"/>
        <v>0</v>
      </c>
      <c r="R511" s="1">
        <f t="shared" si="114"/>
        <v>1</v>
      </c>
      <c r="S511" s="1">
        <f t="shared" si="115"/>
        <v>0</v>
      </c>
      <c r="T511" s="1">
        <f t="shared" si="116"/>
        <v>1</v>
      </c>
      <c r="U511" s="26">
        <f t="shared" si="117"/>
        <v>1</v>
      </c>
      <c r="V511" s="26">
        <f t="shared" si="118"/>
        <v>0</v>
      </c>
      <c r="W511" s="1">
        <f t="shared" si="119"/>
        <v>1</v>
      </c>
      <c r="X511" s="26">
        <f t="shared" si="120"/>
        <v>1</v>
      </c>
      <c r="Y511" s="26">
        <f t="shared" si="121"/>
        <v>0</v>
      </c>
      <c r="Z511" s="1">
        <f t="shared" si="122"/>
        <v>1</v>
      </c>
      <c r="AA511"/>
      <c r="AB511"/>
    </row>
    <row r="512" spans="1:28" x14ac:dyDescent="0.55000000000000004">
      <c r="A512" s="1">
        <f t="shared" si="109"/>
        <v>512</v>
      </c>
      <c r="B512" t="s">
        <v>33</v>
      </c>
      <c r="C512" t="s">
        <v>199</v>
      </c>
      <c r="D512" t="s">
        <v>42</v>
      </c>
      <c r="E512" t="s">
        <v>1376</v>
      </c>
      <c r="F512" t="s">
        <v>373</v>
      </c>
      <c r="G512" t="s">
        <v>296</v>
      </c>
      <c r="H512" t="s">
        <v>590</v>
      </c>
      <c r="I512" t="s">
        <v>292</v>
      </c>
      <c r="J512" t="s">
        <v>1429</v>
      </c>
      <c r="K512" t="s">
        <v>297</v>
      </c>
      <c r="L512" t="s">
        <v>1430</v>
      </c>
      <c r="M512" t="s">
        <v>28</v>
      </c>
      <c r="N512" s="1">
        <f t="shared" si="110"/>
        <v>0</v>
      </c>
      <c r="O512" s="1">
        <f t="shared" si="111"/>
        <v>1</v>
      </c>
      <c r="P512" s="1">
        <f t="shared" si="112"/>
        <v>1</v>
      </c>
      <c r="Q512" s="1">
        <f t="shared" si="113"/>
        <v>1</v>
      </c>
      <c r="R512" s="1">
        <f t="shared" si="114"/>
        <v>1</v>
      </c>
      <c r="S512" s="1">
        <f t="shared" si="115"/>
        <v>1</v>
      </c>
      <c r="T512" s="1">
        <f t="shared" si="116"/>
        <v>1</v>
      </c>
      <c r="U512" s="26">
        <f t="shared" si="117"/>
        <v>0</v>
      </c>
      <c r="V512" s="26">
        <f t="shared" si="118"/>
        <v>0</v>
      </c>
      <c r="W512" s="1">
        <f t="shared" si="119"/>
        <v>1</v>
      </c>
      <c r="X512" s="26">
        <f t="shared" si="120"/>
        <v>1</v>
      </c>
      <c r="Y512" s="26">
        <f t="shared" si="121"/>
        <v>0</v>
      </c>
      <c r="Z512" s="1">
        <f t="shared" si="122"/>
        <v>0</v>
      </c>
      <c r="AA512"/>
      <c r="AB512"/>
    </row>
    <row r="513" spans="1:28" x14ac:dyDescent="0.55000000000000004">
      <c r="A513" s="1">
        <f t="shared" si="109"/>
        <v>513</v>
      </c>
      <c r="B513" t="s">
        <v>33</v>
      </c>
      <c r="C513" t="s">
        <v>199</v>
      </c>
      <c r="D513" t="s">
        <v>42</v>
      </c>
      <c r="E513" t="s">
        <v>1376</v>
      </c>
      <c r="F513" t="s">
        <v>364</v>
      </c>
      <c r="G513" t="s">
        <v>282</v>
      </c>
      <c r="H513" t="s">
        <v>1431</v>
      </c>
      <c r="I513" t="s">
        <v>287</v>
      </c>
      <c r="J513" t="s">
        <v>1432</v>
      </c>
      <c r="K513" t="s">
        <v>295</v>
      </c>
      <c r="L513" t="s">
        <v>826</v>
      </c>
      <c r="M513" t="s">
        <v>28</v>
      </c>
      <c r="N513" s="1">
        <f t="shared" si="110"/>
        <v>5</v>
      </c>
      <c r="O513" s="1">
        <f t="shared" si="111"/>
        <v>2</v>
      </c>
      <c r="P513" s="1">
        <f t="shared" si="112"/>
        <v>7</v>
      </c>
      <c r="Q513" s="1">
        <f t="shared" si="113"/>
        <v>1</v>
      </c>
      <c r="R513" s="1">
        <f t="shared" si="114"/>
        <v>0</v>
      </c>
      <c r="S513" s="1">
        <f t="shared" si="115"/>
        <v>0</v>
      </c>
      <c r="T513" s="1">
        <f t="shared" si="116"/>
        <v>0</v>
      </c>
      <c r="U513" s="26">
        <f t="shared" si="117"/>
        <v>0</v>
      </c>
      <c r="V513" s="26">
        <f t="shared" si="118"/>
        <v>1</v>
      </c>
      <c r="W513" s="1">
        <f t="shared" si="119"/>
        <v>1</v>
      </c>
      <c r="X513" s="26">
        <f t="shared" si="120"/>
        <v>1</v>
      </c>
      <c r="Y513" s="26">
        <f t="shared" si="121"/>
        <v>1</v>
      </c>
      <c r="Z513" s="1">
        <f t="shared" si="122"/>
        <v>1</v>
      </c>
      <c r="AA513"/>
      <c r="AB513"/>
    </row>
    <row r="514" spans="1:28" x14ac:dyDescent="0.55000000000000004">
      <c r="A514" s="1">
        <f t="shared" si="109"/>
        <v>514</v>
      </c>
      <c r="B514" t="s">
        <v>33</v>
      </c>
      <c r="C514" t="s">
        <v>199</v>
      </c>
      <c r="D514" t="s">
        <v>42</v>
      </c>
      <c r="E514" t="s">
        <v>1376</v>
      </c>
      <c r="F514" t="s">
        <v>277</v>
      </c>
      <c r="G514" t="s">
        <v>299</v>
      </c>
      <c r="H514" t="s">
        <v>565</v>
      </c>
      <c r="I514" t="s">
        <v>360</v>
      </c>
      <c r="J514" t="s">
        <v>1433</v>
      </c>
      <c r="K514" t="s">
        <v>366</v>
      </c>
      <c r="L514" t="s">
        <v>1434</v>
      </c>
      <c r="M514" t="s">
        <v>28</v>
      </c>
      <c r="N514" s="1">
        <f t="shared" si="110"/>
        <v>2</v>
      </c>
      <c r="O514" s="1">
        <f t="shared" si="111"/>
        <v>3</v>
      </c>
      <c r="P514" s="1">
        <f t="shared" si="112"/>
        <v>5</v>
      </c>
      <c r="Q514" s="1">
        <f t="shared" si="113"/>
        <v>1</v>
      </c>
      <c r="R514" s="1">
        <f t="shared" si="114"/>
        <v>0</v>
      </c>
      <c r="S514" s="1">
        <f t="shared" si="115"/>
        <v>0</v>
      </c>
      <c r="T514" s="1">
        <f t="shared" si="116"/>
        <v>1</v>
      </c>
      <c r="U514" s="26">
        <f t="shared" si="117"/>
        <v>1</v>
      </c>
      <c r="V514" s="26">
        <f t="shared" si="118"/>
        <v>1</v>
      </c>
      <c r="W514" s="1">
        <f t="shared" si="119"/>
        <v>0</v>
      </c>
      <c r="X514" s="26">
        <f t="shared" si="120"/>
        <v>1</v>
      </c>
      <c r="Y514" s="26">
        <f t="shared" si="121"/>
        <v>1</v>
      </c>
      <c r="Z514" s="1">
        <f t="shared" si="122"/>
        <v>1</v>
      </c>
      <c r="AA514"/>
      <c r="AB514"/>
    </row>
    <row r="515" spans="1:28" x14ac:dyDescent="0.55000000000000004">
      <c r="A515" s="1">
        <f t="shared" ref="A515:A578" si="123">A514+1</f>
        <v>515</v>
      </c>
      <c r="B515" t="s">
        <v>39</v>
      </c>
      <c r="C515" t="s">
        <v>132</v>
      </c>
      <c r="D515" t="s">
        <v>42</v>
      </c>
      <c r="E515" t="s">
        <v>1376</v>
      </c>
      <c r="F515" t="s">
        <v>342</v>
      </c>
      <c r="G515" t="s">
        <v>235</v>
      </c>
      <c r="H515" t="s">
        <v>608</v>
      </c>
      <c r="I515" t="s">
        <v>228</v>
      </c>
      <c r="J515" t="s">
        <v>1526</v>
      </c>
      <c r="K515" t="s">
        <v>242</v>
      </c>
      <c r="L515" t="s">
        <v>995</v>
      </c>
      <c r="M515" t="s">
        <v>28</v>
      </c>
      <c r="N515" s="1">
        <f t="shared" ref="N515:N578" si="124">VALUE(LEFT(H515,1))</f>
        <v>1</v>
      </c>
      <c r="O515" s="1">
        <f t="shared" ref="O515:O578" si="125">VALUE(RIGHT(H515,1))</f>
        <v>1</v>
      </c>
      <c r="P515" s="1">
        <f t="shared" ref="P515:P578" si="126">SUM(N515,O515)</f>
        <v>2</v>
      </c>
      <c r="Q515" s="1">
        <f t="shared" ref="Q515:Q578" si="127">IF(N515&lt;&gt;O515, 1, 0)</f>
        <v>0</v>
      </c>
      <c r="R515" s="1">
        <f t="shared" ref="R515:R578" si="128">IF(P515&lt;=4,1,0)</f>
        <v>1</v>
      </c>
      <c r="S515" s="1">
        <f t="shared" ref="S515:S578" si="129">IF(AND(Q515=1,R515=1),1,0)</f>
        <v>0</v>
      </c>
      <c r="T515" s="1">
        <f t="shared" ref="T515:T578" si="130">IF(N515&lt;=2,1,0)</f>
        <v>1</v>
      </c>
      <c r="U515" s="26">
        <f t="shared" ref="U515:U578" si="131">IF(AND(N515&gt;=1,N515&lt;=3),1,0)</f>
        <v>1</v>
      </c>
      <c r="V515" s="26">
        <f t="shared" ref="V515:V578" si="132">IF(AND(N515&gt;=2,N515&lt;=5),1,0)</f>
        <v>0</v>
      </c>
      <c r="W515" s="1">
        <f t="shared" ref="W515:W578" si="133">IF(O515&lt;=2,1,0)</f>
        <v>1</v>
      </c>
      <c r="X515" s="26">
        <f t="shared" ref="X515:X578" si="134">IF(AND(O515&gt;=1,O515&lt;=3),1,0)</f>
        <v>1</v>
      </c>
      <c r="Y515" s="26">
        <f t="shared" ref="Y515:Y578" si="135">IF(AND(O515&gt;=2,O515&lt;=5),1,0)</f>
        <v>0</v>
      </c>
      <c r="Z515" s="1">
        <f t="shared" ref="Z515:Z578" si="136">IF(P515&gt;=2,1,0)</f>
        <v>1</v>
      </c>
      <c r="AA515"/>
      <c r="AB515"/>
    </row>
    <row r="516" spans="1:28" x14ac:dyDescent="0.55000000000000004">
      <c r="A516" s="1">
        <f t="shared" si="123"/>
        <v>516</v>
      </c>
      <c r="B516" t="s">
        <v>39</v>
      </c>
      <c r="C516" t="s">
        <v>132</v>
      </c>
      <c r="D516" t="s">
        <v>42</v>
      </c>
      <c r="E516" t="s">
        <v>1376</v>
      </c>
      <c r="F516" t="s">
        <v>343</v>
      </c>
      <c r="G516" t="s">
        <v>223</v>
      </c>
      <c r="H516" t="s">
        <v>579</v>
      </c>
      <c r="I516" t="s">
        <v>232</v>
      </c>
      <c r="J516" t="s">
        <v>1527</v>
      </c>
      <c r="K516" t="s">
        <v>244</v>
      </c>
      <c r="L516" t="s">
        <v>1142</v>
      </c>
      <c r="M516" t="s">
        <v>28</v>
      </c>
      <c r="N516" s="1">
        <f t="shared" si="124"/>
        <v>2</v>
      </c>
      <c r="O516" s="1">
        <f t="shared" si="125"/>
        <v>1</v>
      </c>
      <c r="P516" s="1">
        <f t="shared" si="126"/>
        <v>3</v>
      </c>
      <c r="Q516" s="1">
        <f t="shared" si="127"/>
        <v>1</v>
      </c>
      <c r="R516" s="1">
        <f t="shared" si="128"/>
        <v>1</v>
      </c>
      <c r="S516" s="1">
        <f t="shared" si="129"/>
        <v>1</v>
      </c>
      <c r="T516" s="1">
        <f t="shared" si="130"/>
        <v>1</v>
      </c>
      <c r="U516" s="26">
        <f t="shared" si="131"/>
        <v>1</v>
      </c>
      <c r="V516" s="26">
        <f t="shared" si="132"/>
        <v>1</v>
      </c>
      <c r="W516" s="1">
        <f t="shared" si="133"/>
        <v>1</v>
      </c>
      <c r="X516" s="26">
        <f t="shared" si="134"/>
        <v>1</v>
      </c>
      <c r="Y516" s="26">
        <f t="shared" si="135"/>
        <v>0</v>
      </c>
      <c r="Z516" s="1">
        <f t="shared" si="136"/>
        <v>1</v>
      </c>
      <c r="AA516"/>
      <c r="AB516"/>
    </row>
    <row r="517" spans="1:28" x14ac:dyDescent="0.55000000000000004">
      <c r="A517" s="1">
        <f t="shared" si="123"/>
        <v>517</v>
      </c>
      <c r="B517" t="s">
        <v>30</v>
      </c>
      <c r="C517" t="s">
        <v>196</v>
      </c>
      <c r="D517" t="s">
        <v>179</v>
      </c>
      <c r="E517" t="s">
        <v>755</v>
      </c>
      <c r="F517" t="s">
        <v>380</v>
      </c>
      <c r="G517" t="s">
        <v>49</v>
      </c>
      <c r="H517" t="s">
        <v>573</v>
      </c>
      <c r="I517" t="s">
        <v>64</v>
      </c>
      <c r="J517" t="s">
        <v>756</v>
      </c>
      <c r="K517" t="s">
        <v>72</v>
      </c>
      <c r="L517" t="s">
        <v>757</v>
      </c>
      <c r="M517" t="s">
        <v>28</v>
      </c>
      <c r="N517" s="1">
        <f t="shared" si="124"/>
        <v>2</v>
      </c>
      <c r="O517" s="1">
        <f t="shared" si="125"/>
        <v>0</v>
      </c>
      <c r="P517" s="1">
        <f t="shared" si="126"/>
        <v>2</v>
      </c>
      <c r="Q517" s="1">
        <f t="shared" si="127"/>
        <v>1</v>
      </c>
      <c r="R517" s="1">
        <f t="shared" si="128"/>
        <v>1</v>
      </c>
      <c r="S517" s="1">
        <f t="shared" si="129"/>
        <v>1</v>
      </c>
      <c r="T517" s="1">
        <f t="shared" si="130"/>
        <v>1</v>
      </c>
      <c r="U517" s="26">
        <f t="shared" si="131"/>
        <v>1</v>
      </c>
      <c r="V517" s="26">
        <f t="shared" si="132"/>
        <v>1</v>
      </c>
      <c r="W517" s="1">
        <f t="shared" si="133"/>
        <v>1</v>
      </c>
      <c r="X517" s="26">
        <f t="shared" si="134"/>
        <v>0</v>
      </c>
      <c r="Y517" s="26">
        <f t="shared" si="135"/>
        <v>0</v>
      </c>
      <c r="Z517" s="1">
        <f t="shared" si="136"/>
        <v>1</v>
      </c>
      <c r="AA517"/>
      <c r="AB517"/>
    </row>
    <row r="518" spans="1:28" x14ac:dyDescent="0.55000000000000004">
      <c r="A518" s="1">
        <f t="shared" si="123"/>
        <v>518</v>
      </c>
      <c r="B518" t="s">
        <v>30</v>
      </c>
      <c r="C518" t="s">
        <v>196</v>
      </c>
      <c r="D518" t="s">
        <v>179</v>
      </c>
      <c r="E518" t="s">
        <v>755</v>
      </c>
      <c r="F518" t="s">
        <v>380</v>
      </c>
      <c r="G518" t="s">
        <v>67</v>
      </c>
      <c r="H518" t="s">
        <v>664</v>
      </c>
      <c r="I518" t="s">
        <v>51</v>
      </c>
      <c r="J518" t="s">
        <v>758</v>
      </c>
      <c r="K518" t="s">
        <v>73</v>
      </c>
      <c r="L518" t="s">
        <v>759</v>
      </c>
      <c r="M518" t="s">
        <v>28</v>
      </c>
      <c r="N518" s="1">
        <f t="shared" si="124"/>
        <v>2</v>
      </c>
      <c r="O518" s="1">
        <f t="shared" si="125"/>
        <v>2</v>
      </c>
      <c r="P518" s="1">
        <f t="shared" si="126"/>
        <v>4</v>
      </c>
      <c r="Q518" s="1">
        <f t="shared" si="127"/>
        <v>0</v>
      </c>
      <c r="R518" s="1">
        <f t="shared" si="128"/>
        <v>1</v>
      </c>
      <c r="S518" s="1">
        <f t="shared" si="129"/>
        <v>0</v>
      </c>
      <c r="T518" s="1">
        <f t="shared" si="130"/>
        <v>1</v>
      </c>
      <c r="U518" s="26">
        <f t="shared" si="131"/>
        <v>1</v>
      </c>
      <c r="V518" s="26">
        <f t="shared" si="132"/>
        <v>1</v>
      </c>
      <c r="W518" s="1">
        <f t="shared" si="133"/>
        <v>1</v>
      </c>
      <c r="X518" s="26">
        <f t="shared" si="134"/>
        <v>1</v>
      </c>
      <c r="Y518" s="26">
        <f t="shared" si="135"/>
        <v>1</v>
      </c>
      <c r="Z518" s="1">
        <f t="shared" si="136"/>
        <v>1</v>
      </c>
      <c r="AA518"/>
      <c r="AB518"/>
    </row>
    <row r="519" spans="1:28" x14ac:dyDescent="0.55000000000000004">
      <c r="A519" s="1">
        <f t="shared" si="123"/>
        <v>519</v>
      </c>
      <c r="B519" t="s">
        <v>30</v>
      </c>
      <c r="C519" t="s">
        <v>196</v>
      </c>
      <c r="D519" t="s">
        <v>179</v>
      </c>
      <c r="E519" t="s">
        <v>755</v>
      </c>
      <c r="F519" t="s">
        <v>400</v>
      </c>
      <c r="G519" t="s">
        <v>61</v>
      </c>
      <c r="H519" t="s">
        <v>590</v>
      </c>
      <c r="I519" t="s">
        <v>52</v>
      </c>
      <c r="J519" t="s">
        <v>760</v>
      </c>
      <c r="K519" t="s">
        <v>62</v>
      </c>
      <c r="L519" t="s">
        <v>761</v>
      </c>
      <c r="M519" t="s">
        <v>28</v>
      </c>
      <c r="N519" s="1">
        <f t="shared" si="124"/>
        <v>0</v>
      </c>
      <c r="O519" s="1">
        <f t="shared" si="125"/>
        <v>1</v>
      </c>
      <c r="P519" s="1">
        <f t="shared" si="126"/>
        <v>1</v>
      </c>
      <c r="Q519" s="1">
        <f t="shared" si="127"/>
        <v>1</v>
      </c>
      <c r="R519" s="1">
        <f t="shared" si="128"/>
        <v>1</v>
      </c>
      <c r="S519" s="1">
        <f t="shared" si="129"/>
        <v>1</v>
      </c>
      <c r="T519" s="1">
        <f t="shared" si="130"/>
        <v>1</v>
      </c>
      <c r="U519" s="26">
        <f t="shared" si="131"/>
        <v>0</v>
      </c>
      <c r="V519" s="26">
        <f t="shared" si="132"/>
        <v>0</v>
      </c>
      <c r="W519" s="1">
        <f t="shared" si="133"/>
        <v>1</v>
      </c>
      <c r="X519" s="26">
        <f t="shared" si="134"/>
        <v>1</v>
      </c>
      <c r="Y519" s="26">
        <f t="shared" si="135"/>
        <v>0</v>
      </c>
      <c r="Z519" s="1">
        <f t="shared" si="136"/>
        <v>0</v>
      </c>
      <c r="AA519"/>
      <c r="AB519"/>
    </row>
    <row r="520" spans="1:28" x14ac:dyDescent="0.55000000000000004">
      <c r="A520" s="1">
        <f t="shared" si="123"/>
        <v>520</v>
      </c>
      <c r="B520" t="s">
        <v>35</v>
      </c>
      <c r="C520" t="s">
        <v>198</v>
      </c>
      <c r="D520" t="s">
        <v>179</v>
      </c>
      <c r="E520" t="s">
        <v>755</v>
      </c>
      <c r="F520" t="s">
        <v>411</v>
      </c>
      <c r="G520" t="s">
        <v>214</v>
      </c>
      <c r="H520" t="s">
        <v>590</v>
      </c>
      <c r="I520" t="s">
        <v>208</v>
      </c>
      <c r="J520" t="s">
        <v>830</v>
      </c>
      <c r="K520" t="s">
        <v>301</v>
      </c>
      <c r="L520" t="s">
        <v>831</v>
      </c>
      <c r="M520" t="s">
        <v>28</v>
      </c>
      <c r="N520" s="1">
        <f t="shared" si="124"/>
        <v>0</v>
      </c>
      <c r="O520" s="1">
        <f t="shared" si="125"/>
        <v>1</v>
      </c>
      <c r="P520" s="1">
        <f t="shared" si="126"/>
        <v>1</v>
      </c>
      <c r="Q520" s="1">
        <f t="shared" si="127"/>
        <v>1</v>
      </c>
      <c r="R520" s="1">
        <f t="shared" si="128"/>
        <v>1</v>
      </c>
      <c r="S520" s="1">
        <f t="shared" si="129"/>
        <v>1</v>
      </c>
      <c r="T520" s="1">
        <f t="shared" si="130"/>
        <v>1</v>
      </c>
      <c r="U520" s="26">
        <f t="shared" si="131"/>
        <v>0</v>
      </c>
      <c r="V520" s="26">
        <f t="shared" si="132"/>
        <v>0</v>
      </c>
      <c r="W520" s="1">
        <f t="shared" si="133"/>
        <v>1</v>
      </c>
      <c r="X520" s="26">
        <f t="shared" si="134"/>
        <v>1</v>
      </c>
      <c r="Y520" s="26">
        <f t="shared" si="135"/>
        <v>0</v>
      </c>
      <c r="Z520" s="1">
        <f t="shared" si="136"/>
        <v>0</v>
      </c>
      <c r="AA520"/>
      <c r="AB520"/>
    </row>
    <row r="521" spans="1:28" x14ac:dyDescent="0.55000000000000004">
      <c r="A521" s="1">
        <f t="shared" si="123"/>
        <v>521</v>
      </c>
      <c r="B521" t="s">
        <v>35</v>
      </c>
      <c r="C521" t="s">
        <v>198</v>
      </c>
      <c r="D521" t="s">
        <v>179</v>
      </c>
      <c r="E521" t="s">
        <v>755</v>
      </c>
      <c r="F521" t="s">
        <v>357</v>
      </c>
      <c r="G521" t="s">
        <v>213</v>
      </c>
      <c r="H521" t="s">
        <v>608</v>
      </c>
      <c r="I521" t="s">
        <v>307</v>
      </c>
      <c r="J521" t="s">
        <v>832</v>
      </c>
      <c r="K521" t="s">
        <v>215</v>
      </c>
      <c r="L521" t="s">
        <v>833</v>
      </c>
      <c r="M521" t="s">
        <v>28</v>
      </c>
      <c r="N521" s="1">
        <f t="shared" si="124"/>
        <v>1</v>
      </c>
      <c r="O521" s="1">
        <f t="shared" si="125"/>
        <v>1</v>
      </c>
      <c r="P521" s="1">
        <f t="shared" si="126"/>
        <v>2</v>
      </c>
      <c r="Q521" s="1">
        <f t="shared" si="127"/>
        <v>0</v>
      </c>
      <c r="R521" s="1">
        <f t="shared" si="128"/>
        <v>1</v>
      </c>
      <c r="S521" s="1">
        <f t="shared" si="129"/>
        <v>0</v>
      </c>
      <c r="T521" s="1">
        <f t="shared" si="130"/>
        <v>1</v>
      </c>
      <c r="U521" s="26">
        <f t="shared" si="131"/>
        <v>1</v>
      </c>
      <c r="V521" s="26">
        <f t="shared" si="132"/>
        <v>0</v>
      </c>
      <c r="W521" s="1">
        <f t="shared" si="133"/>
        <v>1</v>
      </c>
      <c r="X521" s="26">
        <f t="shared" si="134"/>
        <v>1</v>
      </c>
      <c r="Y521" s="26">
        <f t="shared" si="135"/>
        <v>0</v>
      </c>
      <c r="Z521" s="1">
        <f t="shared" si="136"/>
        <v>1</v>
      </c>
      <c r="AA521"/>
      <c r="AB521"/>
    </row>
    <row r="522" spans="1:28" x14ac:dyDescent="0.55000000000000004">
      <c r="A522" s="1">
        <f t="shared" si="123"/>
        <v>522</v>
      </c>
      <c r="B522" t="s">
        <v>35</v>
      </c>
      <c r="C522" t="s">
        <v>198</v>
      </c>
      <c r="D522" t="s">
        <v>179</v>
      </c>
      <c r="E522" t="s">
        <v>755</v>
      </c>
      <c r="F522" t="s">
        <v>357</v>
      </c>
      <c r="G522" t="s">
        <v>383</v>
      </c>
      <c r="H522" t="s">
        <v>590</v>
      </c>
      <c r="I522" t="s">
        <v>207</v>
      </c>
      <c r="J522" t="s">
        <v>834</v>
      </c>
      <c r="K522" t="s">
        <v>387</v>
      </c>
      <c r="L522" t="s">
        <v>835</v>
      </c>
      <c r="M522" t="s">
        <v>28</v>
      </c>
      <c r="N522" s="1">
        <f t="shared" si="124"/>
        <v>0</v>
      </c>
      <c r="O522" s="1">
        <f t="shared" si="125"/>
        <v>1</v>
      </c>
      <c r="P522" s="1">
        <f t="shared" si="126"/>
        <v>1</v>
      </c>
      <c r="Q522" s="1">
        <f t="shared" si="127"/>
        <v>1</v>
      </c>
      <c r="R522" s="1">
        <f t="shared" si="128"/>
        <v>1</v>
      </c>
      <c r="S522" s="1">
        <f t="shared" si="129"/>
        <v>1</v>
      </c>
      <c r="T522" s="1">
        <f t="shared" si="130"/>
        <v>1</v>
      </c>
      <c r="U522" s="26">
        <f t="shared" si="131"/>
        <v>0</v>
      </c>
      <c r="V522" s="26">
        <f t="shared" si="132"/>
        <v>0</v>
      </c>
      <c r="W522" s="1">
        <f t="shared" si="133"/>
        <v>1</v>
      </c>
      <c r="X522" s="26">
        <f t="shared" si="134"/>
        <v>1</v>
      </c>
      <c r="Y522" s="26">
        <f t="shared" si="135"/>
        <v>0</v>
      </c>
      <c r="Z522" s="1">
        <f t="shared" si="136"/>
        <v>0</v>
      </c>
      <c r="AA522"/>
      <c r="AB522"/>
    </row>
    <row r="523" spans="1:28" x14ac:dyDescent="0.55000000000000004">
      <c r="A523" s="1">
        <f t="shared" si="123"/>
        <v>523</v>
      </c>
      <c r="B523" t="s">
        <v>35</v>
      </c>
      <c r="C523" t="s">
        <v>198</v>
      </c>
      <c r="D523" t="s">
        <v>179</v>
      </c>
      <c r="E523" t="s">
        <v>755</v>
      </c>
      <c r="F523" t="s">
        <v>357</v>
      </c>
      <c r="G523" t="s">
        <v>377</v>
      </c>
      <c r="H523" t="s">
        <v>739</v>
      </c>
      <c r="I523" t="s">
        <v>204</v>
      </c>
      <c r="J523" t="s">
        <v>836</v>
      </c>
      <c r="K523" t="s">
        <v>378</v>
      </c>
      <c r="L523" t="s">
        <v>582</v>
      </c>
      <c r="M523" t="s">
        <v>28</v>
      </c>
      <c r="N523" s="1">
        <f t="shared" si="124"/>
        <v>0</v>
      </c>
      <c r="O523" s="1">
        <f t="shared" si="125"/>
        <v>3</v>
      </c>
      <c r="P523" s="1">
        <f t="shared" si="126"/>
        <v>3</v>
      </c>
      <c r="Q523" s="1">
        <f t="shared" si="127"/>
        <v>1</v>
      </c>
      <c r="R523" s="1">
        <f t="shared" si="128"/>
        <v>1</v>
      </c>
      <c r="S523" s="1">
        <f t="shared" si="129"/>
        <v>1</v>
      </c>
      <c r="T523" s="1">
        <f t="shared" si="130"/>
        <v>1</v>
      </c>
      <c r="U523" s="26">
        <f t="shared" si="131"/>
        <v>0</v>
      </c>
      <c r="V523" s="26">
        <f t="shared" si="132"/>
        <v>0</v>
      </c>
      <c r="W523" s="1">
        <f t="shared" si="133"/>
        <v>0</v>
      </c>
      <c r="X523" s="26">
        <f t="shared" si="134"/>
        <v>1</v>
      </c>
      <c r="Y523" s="26">
        <f t="shared" si="135"/>
        <v>1</v>
      </c>
      <c r="Z523" s="1">
        <f t="shared" si="136"/>
        <v>1</v>
      </c>
      <c r="AA523"/>
      <c r="AB523"/>
    </row>
    <row r="524" spans="1:28" x14ac:dyDescent="0.55000000000000004">
      <c r="A524" s="1">
        <f t="shared" si="123"/>
        <v>524</v>
      </c>
      <c r="B524" t="s">
        <v>35</v>
      </c>
      <c r="C524" t="s">
        <v>198</v>
      </c>
      <c r="D524" t="s">
        <v>179</v>
      </c>
      <c r="E524" t="s">
        <v>755</v>
      </c>
      <c r="F524" t="s">
        <v>357</v>
      </c>
      <c r="G524" t="s">
        <v>205</v>
      </c>
      <c r="H524" t="s">
        <v>837</v>
      </c>
      <c r="I524" t="s">
        <v>384</v>
      </c>
      <c r="J524" t="s">
        <v>838</v>
      </c>
      <c r="K524" t="s">
        <v>417</v>
      </c>
      <c r="L524" t="s">
        <v>839</v>
      </c>
      <c r="M524" t="s">
        <v>28</v>
      </c>
      <c r="N524" s="1">
        <f t="shared" si="124"/>
        <v>1</v>
      </c>
      <c r="O524" s="1">
        <f t="shared" si="125"/>
        <v>5</v>
      </c>
      <c r="P524" s="1">
        <f t="shared" si="126"/>
        <v>6</v>
      </c>
      <c r="Q524" s="1">
        <f t="shared" si="127"/>
        <v>1</v>
      </c>
      <c r="R524" s="1">
        <f t="shared" si="128"/>
        <v>0</v>
      </c>
      <c r="S524" s="1">
        <f t="shared" si="129"/>
        <v>0</v>
      </c>
      <c r="T524" s="1">
        <f t="shared" si="130"/>
        <v>1</v>
      </c>
      <c r="U524" s="26">
        <f t="shared" si="131"/>
        <v>1</v>
      </c>
      <c r="V524" s="26">
        <f t="shared" si="132"/>
        <v>0</v>
      </c>
      <c r="W524" s="1">
        <f t="shared" si="133"/>
        <v>0</v>
      </c>
      <c r="X524" s="26">
        <f t="shared" si="134"/>
        <v>0</v>
      </c>
      <c r="Y524" s="26">
        <f t="shared" si="135"/>
        <v>1</v>
      </c>
      <c r="Z524" s="1">
        <f t="shared" si="136"/>
        <v>1</v>
      </c>
      <c r="AA524"/>
      <c r="AB524"/>
    </row>
    <row r="525" spans="1:28" x14ac:dyDescent="0.55000000000000004">
      <c r="A525" s="1">
        <f t="shared" si="123"/>
        <v>525</v>
      </c>
      <c r="B525" t="s">
        <v>35</v>
      </c>
      <c r="C525" t="s">
        <v>198</v>
      </c>
      <c r="D525" t="s">
        <v>179</v>
      </c>
      <c r="E525" t="s">
        <v>755</v>
      </c>
      <c r="F525" t="s">
        <v>412</v>
      </c>
      <c r="G525" t="s">
        <v>386</v>
      </c>
      <c r="H525" t="s">
        <v>573</v>
      </c>
      <c r="I525" t="s">
        <v>210</v>
      </c>
      <c r="J525" t="s">
        <v>840</v>
      </c>
      <c r="K525" t="s">
        <v>418</v>
      </c>
      <c r="L525" t="s">
        <v>580</v>
      </c>
      <c r="M525" t="s">
        <v>28</v>
      </c>
      <c r="N525" s="1">
        <f t="shared" si="124"/>
        <v>2</v>
      </c>
      <c r="O525" s="1">
        <f t="shared" si="125"/>
        <v>0</v>
      </c>
      <c r="P525" s="1">
        <f t="shared" si="126"/>
        <v>2</v>
      </c>
      <c r="Q525" s="1">
        <f t="shared" si="127"/>
        <v>1</v>
      </c>
      <c r="R525" s="1">
        <f t="shared" si="128"/>
        <v>1</v>
      </c>
      <c r="S525" s="1">
        <f t="shared" si="129"/>
        <v>1</v>
      </c>
      <c r="T525" s="1">
        <f t="shared" si="130"/>
        <v>1</v>
      </c>
      <c r="U525" s="26">
        <f t="shared" si="131"/>
        <v>1</v>
      </c>
      <c r="V525" s="26">
        <f t="shared" si="132"/>
        <v>1</v>
      </c>
      <c r="W525" s="1">
        <f t="shared" si="133"/>
        <v>1</v>
      </c>
      <c r="X525" s="26">
        <f t="shared" si="134"/>
        <v>0</v>
      </c>
      <c r="Y525" s="26">
        <f t="shared" si="135"/>
        <v>0</v>
      </c>
      <c r="Z525" s="1">
        <f t="shared" si="136"/>
        <v>1</v>
      </c>
      <c r="AA525"/>
      <c r="AB525"/>
    </row>
    <row r="526" spans="1:28" x14ac:dyDescent="0.55000000000000004">
      <c r="A526" s="1">
        <f t="shared" si="123"/>
        <v>526</v>
      </c>
      <c r="B526" t="s">
        <v>37</v>
      </c>
      <c r="C526" t="s">
        <v>111</v>
      </c>
      <c r="D526" t="s">
        <v>179</v>
      </c>
      <c r="E526" t="s">
        <v>755</v>
      </c>
      <c r="F526" t="s">
        <v>388</v>
      </c>
      <c r="G526" t="s">
        <v>313</v>
      </c>
      <c r="H526" t="s">
        <v>573</v>
      </c>
      <c r="I526" t="s">
        <v>312</v>
      </c>
      <c r="J526" t="s">
        <v>876</v>
      </c>
      <c r="K526" t="s">
        <v>317</v>
      </c>
      <c r="L526" t="s">
        <v>861</v>
      </c>
      <c r="M526" t="s">
        <v>28</v>
      </c>
      <c r="N526" s="1">
        <f t="shared" si="124"/>
        <v>2</v>
      </c>
      <c r="O526" s="1">
        <f t="shared" si="125"/>
        <v>0</v>
      </c>
      <c r="P526" s="1">
        <f t="shared" si="126"/>
        <v>2</v>
      </c>
      <c r="Q526" s="1">
        <f t="shared" si="127"/>
        <v>1</v>
      </c>
      <c r="R526" s="1">
        <f t="shared" si="128"/>
        <v>1</v>
      </c>
      <c r="S526" s="1">
        <f t="shared" si="129"/>
        <v>1</v>
      </c>
      <c r="T526" s="1">
        <f t="shared" si="130"/>
        <v>1</v>
      </c>
      <c r="U526" s="26">
        <f t="shared" si="131"/>
        <v>1</v>
      </c>
      <c r="V526" s="26">
        <f t="shared" si="132"/>
        <v>1</v>
      </c>
      <c r="W526" s="1">
        <f t="shared" si="133"/>
        <v>1</v>
      </c>
      <c r="X526" s="26">
        <f t="shared" si="134"/>
        <v>0</v>
      </c>
      <c r="Y526" s="26">
        <f t="shared" si="135"/>
        <v>0</v>
      </c>
      <c r="Z526" s="1">
        <f t="shared" si="136"/>
        <v>1</v>
      </c>
      <c r="AA526"/>
      <c r="AB526"/>
    </row>
    <row r="527" spans="1:28" x14ac:dyDescent="0.55000000000000004">
      <c r="A527" s="1">
        <f t="shared" si="123"/>
        <v>527</v>
      </c>
      <c r="B527" t="s">
        <v>37</v>
      </c>
      <c r="C527" t="s">
        <v>111</v>
      </c>
      <c r="D527" t="s">
        <v>179</v>
      </c>
      <c r="E527" t="s">
        <v>755</v>
      </c>
      <c r="F527" t="s">
        <v>388</v>
      </c>
      <c r="G527" t="s">
        <v>322</v>
      </c>
      <c r="H527" t="s">
        <v>608</v>
      </c>
      <c r="I527" t="s">
        <v>321</v>
      </c>
      <c r="J527" t="s">
        <v>877</v>
      </c>
      <c r="K527" t="s">
        <v>331</v>
      </c>
      <c r="L527" t="s">
        <v>870</v>
      </c>
      <c r="M527" t="s">
        <v>28</v>
      </c>
      <c r="N527" s="1">
        <f t="shared" si="124"/>
        <v>1</v>
      </c>
      <c r="O527" s="1">
        <f t="shared" si="125"/>
        <v>1</v>
      </c>
      <c r="P527" s="1">
        <f t="shared" si="126"/>
        <v>2</v>
      </c>
      <c r="Q527" s="1">
        <f t="shared" si="127"/>
        <v>0</v>
      </c>
      <c r="R527" s="1">
        <f t="shared" si="128"/>
        <v>1</v>
      </c>
      <c r="S527" s="1">
        <f t="shared" si="129"/>
        <v>0</v>
      </c>
      <c r="T527" s="1">
        <f t="shared" si="130"/>
        <v>1</v>
      </c>
      <c r="U527" s="26">
        <f t="shared" si="131"/>
        <v>1</v>
      </c>
      <c r="V527" s="26">
        <f t="shared" si="132"/>
        <v>0</v>
      </c>
      <c r="W527" s="1">
        <f t="shared" si="133"/>
        <v>1</v>
      </c>
      <c r="X527" s="26">
        <f t="shared" si="134"/>
        <v>1</v>
      </c>
      <c r="Y527" s="26">
        <f t="shared" si="135"/>
        <v>0</v>
      </c>
      <c r="Z527" s="1">
        <f t="shared" si="136"/>
        <v>1</v>
      </c>
      <c r="AA527"/>
      <c r="AB527"/>
    </row>
    <row r="528" spans="1:28" x14ac:dyDescent="0.55000000000000004">
      <c r="A528" s="1">
        <f t="shared" si="123"/>
        <v>528</v>
      </c>
      <c r="B528" t="s">
        <v>37</v>
      </c>
      <c r="C528" t="s">
        <v>111</v>
      </c>
      <c r="D528" t="s">
        <v>179</v>
      </c>
      <c r="E528" t="s">
        <v>755</v>
      </c>
      <c r="F528" t="s">
        <v>388</v>
      </c>
      <c r="G528" t="s">
        <v>318</v>
      </c>
      <c r="H528" t="s">
        <v>565</v>
      </c>
      <c r="I528" t="s">
        <v>326</v>
      </c>
      <c r="J528" t="s">
        <v>878</v>
      </c>
      <c r="K528" t="s">
        <v>320</v>
      </c>
      <c r="L528" t="s">
        <v>587</v>
      </c>
      <c r="M528" t="s">
        <v>28</v>
      </c>
      <c r="N528" s="1">
        <f t="shared" si="124"/>
        <v>2</v>
      </c>
      <c r="O528" s="1">
        <f t="shared" si="125"/>
        <v>3</v>
      </c>
      <c r="P528" s="1">
        <f t="shared" si="126"/>
        <v>5</v>
      </c>
      <c r="Q528" s="1">
        <f t="shared" si="127"/>
        <v>1</v>
      </c>
      <c r="R528" s="1">
        <f t="shared" si="128"/>
        <v>0</v>
      </c>
      <c r="S528" s="1">
        <f t="shared" si="129"/>
        <v>0</v>
      </c>
      <c r="T528" s="1">
        <f t="shared" si="130"/>
        <v>1</v>
      </c>
      <c r="U528" s="26">
        <f t="shared" si="131"/>
        <v>1</v>
      </c>
      <c r="V528" s="26">
        <f t="shared" si="132"/>
        <v>1</v>
      </c>
      <c r="W528" s="1">
        <f t="shared" si="133"/>
        <v>0</v>
      </c>
      <c r="X528" s="26">
        <f t="shared" si="134"/>
        <v>1</v>
      </c>
      <c r="Y528" s="26">
        <f t="shared" si="135"/>
        <v>1</v>
      </c>
      <c r="Z528" s="1">
        <f t="shared" si="136"/>
        <v>1</v>
      </c>
      <c r="AA528"/>
      <c r="AB528"/>
    </row>
    <row r="529" spans="1:28" x14ac:dyDescent="0.55000000000000004">
      <c r="A529" s="1">
        <f t="shared" si="123"/>
        <v>529</v>
      </c>
      <c r="B529" t="s">
        <v>37</v>
      </c>
      <c r="C529" t="s">
        <v>111</v>
      </c>
      <c r="D529" t="s">
        <v>179</v>
      </c>
      <c r="E529" t="s">
        <v>755</v>
      </c>
      <c r="F529" t="s">
        <v>388</v>
      </c>
      <c r="G529" t="s">
        <v>319</v>
      </c>
      <c r="H529" t="s">
        <v>683</v>
      </c>
      <c r="I529" t="s">
        <v>328</v>
      </c>
      <c r="J529" t="s">
        <v>879</v>
      </c>
      <c r="K529" t="s">
        <v>330</v>
      </c>
      <c r="L529" t="s">
        <v>875</v>
      </c>
      <c r="M529" t="s">
        <v>28</v>
      </c>
      <c r="N529" s="1">
        <f t="shared" si="124"/>
        <v>3</v>
      </c>
      <c r="O529" s="1">
        <f t="shared" si="125"/>
        <v>2</v>
      </c>
      <c r="P529" s="1">
        <f t="shared" si="126"/>
        <v>5</v>
      </c>
      <c r="Q529" s="1">
        <f t="shared" si="127"/>
        <v>1</v>
      </c>
      <c r="R529" s="1">
        <f t="shared" si="128"/>
        <v>0</v>
      </c>
      <c r="S529" s="1">
        <f t="shared" si="129"/>
        <v>0</v>
      </c>
      <c r="T529" s="1">
        <f t="shared" si="130"/>
        <v>0</v>
      </c>
      <c r="U529" s="26">
        <f t="shared" si="131"/>
        <v>1</v>
      </c>
      <c r="V529" s="26">
        <f t="shared" si="132"/>
        <v>1</v>
      </c>
      <c r="W529" s="1">
        <f t="shared" si="133"/>
        <v>1</v>
      </c>
      <c r="X529" s="26">
        <f t="shared" si="134"/>
        <v>1</v>
      </c>
      <c r="Y529" s="26">
        <f t="shared" si="135"/>
        <v>1</v>
      </c>
      <c r="Z529" s="1">
        <f t="shared" si="136"/>
        <v>1</v>
      </c>
      <c r="AA529"/>
      <c r="AB529"/>
    </row>
    <row r="530" spans="1:28" x14ac:dyDescent="0.55000000000000004">
      <c r="A530" s="1">
        <f t="shared" si="123"/>
        <v>530</v>
      </c>
      <c r="B530" t="s">
        <v>37</v>
      </c>
      <c r="C530" t="s">
        <v>111</v>
      </c>
      <c r="D530" t="s">
        <v>179</v>
      </c>
      <c r="E530" t="s">
        <v>755</v>
      </c>
      <c r="F530" t="s">
        <v>388</v>
      </c>
      <c r="G530" t="s">
        <v>316</v>
      </c>
      <c r="H530" t="s">
        <v>708</v>
      </c>
      <c r="I530" t="s">
        <v>324</v>
      </c>
      <c r="J530" t="s">
        <v>880</v>
      </c>
      <c r="K530" t="s">
        <v>341</v>
      </c>
      <c r="L530" t="s">
        <v>866</v>
      </c>
      <c r="M530" t="s">
        <v>28</v>
      </c>
      <c r="N530" s="1">
        <f t="shared" si="124"/>
        <v>0</v>
      </c>
      <c r="O530" s="1">
        <f t="shared" si="125"/>
        <v>0</v>
      </c>
      <c r="P530" s="1">
        <f t="shared" si="126"/>
        <v>0</v>
      </c>
      <c r="Q530" s="1">
        <f t="shared" si="127"/>
        <v>0</v>
      </c>
      <c r="R530" s="1">
        <f t="shared" si="128"/>
        <v>1</v>
      </c>
      <c r="S530" s="1">
        <f t="shared" si="129"/>
        <v>0</v>
      </c>
      <c r="T530" s="1">
        <f t="shared" si="130"/>
        <v>1</v>
      </c>
      <c r="U530" s="26">
        <f t="shared" si="131"/>
        <v>0</v>
      </c>
      <c r="V530" s="26">
        <f t="shared" si="132"/>
        <v>0</v>
      </c>
      <c r="W530" s="1">
        <f t="shared" si="133"/>
        <v>1</v>
      </c>
      <c r="X530" s="26">
        <f t="shared" si="134"/>
        <v>0</v>
      </c>
      <c r="Y530" s="26">
        <f t="shared" si="135"/>
        <v>0</v>
      </c>
      <c r="Z530" s="1">
        <f t="shared" si="136"/>
        <v>0</v>
      </c>
      <c r="AA530"/>
      <c r="AB530"/>
    </row>
    <row r="531" spans="1:28" x14ac:dyDescent="0.55000000000000004">
      <c r="A531" s="1">
        <f t="shared" si="123"/>
        <v>531</v>
      </c>
      <c r="B531" t="s">
        <v>35</v>
      </c>
      <c r="C531" t="s">
        <v>198</v>
      </c>
      <c r="D531" t="s">
        <v>216</v>
      </c>
      <c r="E531" t="s">
        <v>841</v>
      </c>
      <c r="F531" t="s">
        <v>181</v>
      </c>
      <c r="G531" t="s">
        <v>304</v>
      </c>
      <c r="H531" t="s">
        <v>581</v>
      </c>
      <c r="I531" t="s">
        <v>303</v>
      </c>
      <c r="J531" t="s">
        <v>842</v>
      </c>
      <c r="K531" t="s">
        <v>382</v>
      </c>
      <c r="L531" t="s">
        <v>843</v>
      </c>
      <c r="M531" t="s">
        <v>28</v>
      </c>
      <c r="N531" s="1">
        <f t="shared" si="124"/>
        <v>1</v>
      </c>
      <c r="O531" s="1">
        <f t="shared" si="125"/>
        <v>2</v>
      </c>
      <c r="P531" s="1">
        <f t="shared" si="126"/>
        <v>3</v>
      </c>
      <c r="Q531" s="1">
        <f t="shared" si="127"/>
        <v>1</v>
      </c>
      <c r="R531" s="1">
        <f t="shared" si="128"/>
        <v>1</v>
      </c>
      <c r="S531" s="1">
        <f t="shared" si="129"/>
        <v>1</v>
      </c>
      <c r="T531" s="1">
        <f t="shared" si="130"/>
        <v>1</v>
      </c>
      <c r="U531" s="26">
        <f t="shared" si="131"/>
        <v>1</v>
      </c>
      <c r="V531" s="26">
        <f t="shared" si="132"/>
        <v>0</v>
      </c>
      <c r="W531" s="1">
        <f t="shared" si="133"/>
        <v>1</v>
      </c>
      <c r="X531" s="26">
        <f t="shared" si="134"/>
        <v>1</v>
      </c>
      <c r="Y531" s="26">
        <f t="shared" si="135"/>
        <v>1</v>
      </c>
      <c r="Z531" s="1">
        <f t="shared" si="136"/>
        <v>1</v>
      </c>
      <c r="AA531"/>
      <c r="AB531"/>
    </row>
    <row r="532" spans="1:28" x14ac:dyDescent="0.55000000000000004">
      <c r="A532" s="1">
        <f t="shared" si="123"/>
        <v>532</v>
      </c>
      <c r="B532" t="s">
        <v>35</v>
      </c>
      <c r="C532" t="s">
        <v>198</v>
      </c>
      <c r="D532" t="s">
        <v>216</v>
      </c>
      <c r="E532" t="s">
        <v>841</v>
      </c>
      <c r="F532" t="s">
        <v>181</v>
      </c>
      <c r="G532" t="s">
        <v>306</v>
      </c>
      <c r="H532" t="s">
        <v>565</v>
      </c>
      <c r="I532" t="s">
        <v>211</v>
      </c>
      <c r="J532" t="s">
        <v>844</v>
      </c>
      <c r="K532" t="s">
        <v>308</v>
      </c>
      <c r="L532" t="s">
        <v>845</v>
      </c>
      <c r="M532" t="s">
        <v>28</v>
      </c>
      <c r="N532" s="1">
        <f t="shared" si="124"/>
        <v>2</v>
      </c>
      <c r="O532" s="1">
        <f t="shared" si="125"/>
        <v>3</v>
      </c>
      <c r="P532" s="1">
        <f t="shared" si="126"/>
        <v>5</v>
      </c>
      <c r="Q532" s="1">
        <f t="shared" si="127"/>
        <v>1</v>
      </c>
      <c r="R532" s="1">
        <f t="shared" si="128"/>
        <v>0</v>
      </c>
      <c r="S532" s="1">
        <f t="shared" si="129"/>
        <v>0</v>
      </c>
      <c r="T532" s="1">
        <f t="shared" si="130"/>
        <v>1</v>
      </c>
      <c r="U532" s="26">
        <f t="shared" si="131"/>
        <v>1</v>
      </c>
      <c r="V532" s="26">
        <f t="shared" si="132"/>
        <v>1</v>
      </c>
      <c r="W532" s="1">
        <f t="shared" si="133"/>
        <v>0</v>
      </c>
      <c r="X532" s="26">
        <f t="shared" si="134"/>
        <v>1</v>
      </c>
      <c r="Y532" s="26">
        <f t="shared" si="135"/>
        <v>1</v>
      </c>
      <c r="Z532" s="1">
        <f t="shared" si="136"/>
        <v>1</v>
      </c>
      <c r="AA532"/>
      <c r="AB532"/>
    </row>
    <row r="533" spans="1:28" x14ac:dyDescent="0.55000000000000004">
      <c r="A533" s="1">
        <f t="shared" si="123"/>
        <v>533</v>
      </c>
      <c r="B533" t="s">
        <v>37</v>
      </c>
      <c r="C533" t="s">
        <v>114</v>
      </c>
      <c r="D533" t="s">
        <v>174</v>
      </c>
      <c r="E533" t="s">
        <v>588</v>
      </c>
      <c r="F533" t="s">
        <v>315</v>
      </c>
      <c r="G533" t="s">
        <v>322</v>
      </c>
      <c r="H533" t="s">
        <v>581</v>
      </c>
      <c r="I533" t="s">
        <v>316</v>
      </c>
      <c r="K533" t="s">
        <v>331</v>
      </c>
      <c r="L533" t="s">
        <v>589</v>
      </c>
      <c r="M533" t="s">
        <v>28</v>
      </c>
      <c r="N533" s="1">
        <f t="shared" si="124"/>
        <v>1</v>
      </c>
      <c r="O533" s="1">
        <f t="shared" si="125"/>
        <v>2</v>
      </c>
      <c r="P533" s="1">
        <f t="shared" si="126"/>
        <v>3</v>
      </c>
      <c r="Q533" s="1">
        <f t="shared" si="127"/>
        <v>1</v>
      </c>
      <c r="R533" s="1">
        <f t="shared" si="128"/>
        <v>1</v>
      </c>
      <c r="S533" s="1">
        <f t="shared" si="129"/>
        <v>1</v>
      </c>
      <c r="T533" s="1">
        <f t="shared" si="130"/>
        <v>1</v>
      </c>
      <c r="U533" s="26">
        <f t="shared" si="131"/>
        <v>1</v>
      </c>
      <c r="V533" s="26">
        <f t="shared" si="132"/>
        <v>0</v>
      </c>
      <c r="W533" s="1">
        <f t="shared" si="133"/>
        <v>1</v>
      </c>
      <c r="X533" s="26">
        <f t="shared" si="134"/>
        <v>1</v>
      </c>
      <c r="Y533" s="26">
        <f t="shared" si="135"/>
        <v>1</v>
      </c>
      <c r="Z533" s="1">
        <f t="shared" si="136"/>
        <v>1</v>
      </c>
      <c r="AA533"/>
      <c r="AB533"/>
    </row>
    <row r="534" spans="1:28" x14ac:dyDescent="0.55000000000000004">
      <c r="A534" s="1">
        <f t="shared" si="123"/>
        <v>534</v>
      </c>
      <c r="B534" t="s">
        <v>37</v>
      </c>
      <c r="C534" t="s">
        <v>114</v>
      </c>
      <c r="D534" t="s">
        <v>174</v>
      </c>
      <c r="E534" t="s">
        <v>588</v>
      </c>
      <c r="F534" t="s">
        <v>311</v>
      </c>
      <c r="G534" t="s">
        <v>312</v>
      </c>
      <c r="H534" t="s">
        <v>590</v>
      </c>
      <c r="I534" t="s">
        <v>319</v>
      </c>
      <c r="K534" t="s">
        <v>314</v>
      </c>
      <c r="L534" t="s">
        <v>591</v>
      </c>
      <c r="M534" t="s">
        <v>28</v>
      </c>
      <c r="N534" s="1">
        <f t="shared" si="124"/>
        <v>0</v>
      </c>
      <c r="O534" s="1">
        <f t="shared" si="125"/>
        <v>1</v>
      </c>
      <c r="P534" s="1">
        <f t="shared" si="126"/>
        <v>1</v>
      </c>
      <c r="Q534" s="1">
        <f t="shared" si="127"/>
        <v>1</v>
      </c>
      <c r="R534" s="1">
        <f t="shared" si="128"/>
        <v>1</v>
      </c>
      <c r="S534" s="1">
        <f t="shared" si="129"/>
        <v>1</v>
      </c>
      <c r="T534" s="1">
        <f t="shared" si="130"/>
        <v>1</v>
      </c>
      <c r="U534" s="26">
        <f t="shared" si="131"/>
        <v>0</v>
      </c>
      <c r="V534" s="26">
        <f t="shared" si="132"/>
        <v>0</v>
      </c>
      <c r="W534" s="1">
        <f t="shared" si="133"/>
        <v>1</v>
      </c>
      <c r="X534" s="26">
        <f t="shared" si="134"/>
        <v>1</v>
      </c>
      <c r="Y534" s="26">
        <f t="shared" si="135"/>
        <v>0</v>
      </c>
      <c r="Z534" s="1">
        <f t="shared" si="136"/>
        <v>0</v>
      </c>
      <c r="AA534"/>
      <c r="AB534"/>
    </row>
    <row r="535" spans="1:28" x14ac:dyDescent="0.55000000000000004">
      <c r="A535" s="1">
        <f t="shared" si="123"/>
        <v>535</v>
      </c>
      <c r="B535" t="s">
        <v>33</v>
      </c>
      <c r="C535" t="s">
        <v>200</v>
      </c>
      <c r="D535" t="s">
        <v>174</v>
      </c>
      <c r="E535" t="s">
        <v>588</v>
      </c>
      <c r="F535" t="s">
        <v>277</v>
      </c>
      <c r="G535" t="s">
        <v>279</v>
      </c>
      <c r="H535" t="s">
        <v>722</v>
      </c>
      <c r="I535" t="s">
        <v>296</v>
      </c>
      <c r="J535" t="s">
        <v>1192</v>
      </c>
      <c r="K535" t="s">
        <v>294</v>
      </c>
      <c r="L535" t="s">
        <v>1053</v>
      </c>
      <c r="M535" t="s">
        <v>28</v>
      </c>
      <c r="N535" s="1">
        <f t="shared" si="124"/>
        <v>3</v>
      </c>
      <c r="O535" s="1">
        <f t="shared" si="125"/>
        <v>0</v>
      </c>
      <c r="P535" s="1">
        <f t="shared" si="126"/>
        <v>3</v>
      </c>
      <c r="Q535" s="1">
        <f t="shared" si="127"/>
        <v>1</v>
      </c>
      <c r="R535" s="1">
        <f t="shared" si="128"/>
        <v>1</v>
      </c>
      <c r="S535" s="1">
        <f t="shared" si="129"/>
        <v>1</v>
      </c>
      <c r="T535" s="1">
        <f t="shared" si="130"/>
        <v>0</v>
      </c>
      <c r="U535" s="26">
        <f t="shared" si="131"/>
        <v>1</v>
      </c>
      <c r="V535" s="26">
        <f t="shared" si="132"/>
        <v>1</v>
      </c>
      <c r="W535" s="1">
        <f t="shared" si="133"/>
        <v>1</v>
      </c>
      <c r="X535" s="26">
        <f t="shared" si="134"/>
        <v>0</v>
      </c>
      <c r="Y535" s="26">
        <f t="shared" si="135"/>
        <v>0</v>
      </c>
      <c r="Z535" s="1">
        <f t="shared" si="136"/>
        <v>1</v>
      </c>
      <c r="AA535"/>
      <c r="AB535"/>
    </row>
    <row r="536" spans="1:28" x14ac:dyDescent="0.55000000000000004">
      <c r="A536" s="1">
        <f t="shared" si="123"/>
        <v>536</v>
      </c>
      <c r="B536" t="s">
        <v>37</v>
      </c>
      <c r="C536" t="s">
        <v>114</v>
      </c>
      <c r="D536" t="s">
        <v>174</v>
      </c>
      <c r="E536" t="s">
        <v>588</v>
      </c>
      <c r="F536" t="s">
        <v>315</v>
      </c>
      <c r="G536" t="s">
        <v>313</v>
      </c>
      <c r="H536" t="s">
        <v>664</v>
      </c>
      <c r="I536" t="s">
        <v>324</v>
      </c>
      <c r="J536" t="s">
        <v>1277</v>
      </c>
      <c r="K536" t="s">
        <v>317</v>
      </c>
      <c r="L536" t="s">
        <v>593</v>
      </c>
      <c r="M536" t="s">
        <v>28</v>
      </c>
      <c r="N536" s="1">
        <f t="shared" si="124"/>
        <v>2</v>
      </c>
      <c r="O536" s="1">
        <f t="shared" si="125"/>
        <v>2</v>
      </c>
      <c r="P536" s="1">
        <f t="shared" si="126"/>
        <v>4</v>
      </c>
      <c r="Q536" s="1">
        <f t="shared" si="127"/>
        <v>0</v>
      </c>
      <c r="R536" s="1">
        <f t="shared" si="128"/>
        <v>1</v>
      </c>
      <c r="S536" s="1">
        <f t="shared" si="129"/>
        <v>0</v>
      </c>
      <c r="T536" s="1">
        <f t="shared" si="130"/>
        <v>1</v>
      </c>
      <c r="U536" s="26">
        <f t="shared" si="131"/>
        <v>1</v>
      </c>
      <c r="V536" s="26">
        <f t="shared" si="132"/>
        <v>1</v>
      </c>
      <c r="W536" s="1">
        <f t="shared" si="133"/>
        <v>1</v>
      </c>
      <c r="X536" s="26">
        <f t="shared" si="134"/>
        <v>1</v>
      </c>
      <c r="Y536" s="26">
        <f t="shared" si="135"/>
        <v>1</v>
      </c>
      <c r="Z536" s="1">
        <f t="shared" si="136"/>
        <v>1</v>
      </c>
      <c r="AA536"/>
      <c r="AB536"/>
    </row>
    <row r="537" spans="1:28" x14ac:dyDescent="0.55000000000000004">
      <c r="A537" s="1">
        <f t="shared" si="123"/>
        <v>537</v>
      </c>
      <c r="B537" t="s">
        <v>40</v>
      </c>
      <c r="C537" t="s">
        <v>197</v>
      </c>
      <c r="D537" t="s">
        <v>174</v>
      </c>
      <c r="E537" t="s">
        <v>588</v>
      </c>
      <c r="F537" t="s">
        <v>247</v>
      </c>
      <c r="G537" t="s">
        <v>248</v>
      </c>
      <c r="H537" t="s">
        <v>579</v>
      </c>
      <c r="I537" t="s">
        <v>253</v>
      </c>
      <c r="J537" t="s">
        <v>1366</v>
      </c>
      <c r="K537" t="s">
        <v>250</v>
      </c>
      <c r="L537" t="s">
        <v>1016</v>
      </c>
      <c r="M537" t="s">
        <v>28</v>
      </c>
      <c r="N537" s="1">
        <f t="shared" si="124"/>
        <v>2</v>
      </c>
      <c r="O537" s="1">
        <f t="shared" si="125"/>
        <v>1</v>
      </c>
      <c r="P537" s="1">
        <f t="shared" si="126"/>
        <v>3</v>
      </c>
      <c r="Q537" s="1">
        <f t="shared" si="127"/>
        <v>1</v>
      </c>
      <c r="R537" s="1">
        <f t="shared" si="128"/>
        <v>1</v>
      </c>
      <c r="S537" s="1">
        <f t="shared" si="129"/>
        <v>1</v>
      </c>
      <c r="T537" s="1">
        <f t="shared" si="130"/>
        <v>1</v>
      </c>
      <c r="U537" s="26">
        <f t="shared" si="131"/>
        <v>1</v>
      </c>
      <c r="V537" s="26">
        <f t="shared" si="132"/>
        <v>1</v>
      </c>
      <c r="W537" s="1">
        <f t="shared" si="133"/>
        <v>1</v>
      </c>
      <c r="X537" s="26">
        <f t="shared" si="134"/>
        <v>1</v>
      </c>
      <c r="Y537" s="26">
        <f t="shared" si="135"/>
        <v>0</v>
      </c>
      <c r="Z537" s="1">
        <f t="shared" si="136"/>
        <v>1</v>
      </c>
      <c r="AA537"/>
      <c r="AB537"/>
    </row>
    <row r="538" spans="1:28" x14ac:dyDescent="0.55000000000000004">
      <c r="A538" s="1">
        <f t="shared" si="123"/>
        <v>538</v>
      </c>
      <c r="B538" t="s">
        <v>40</v>
      </c>
      <c r="C538" t="s">
        <v>197</v>
      </c>
      <c r="D538" t="s">
        <v>174</v>
      </c>
      <c r="E538" t="s">
        <v>588</v>
      </c>
      <c r="F538" t="s">
        <v>251</v>
      </c>
      <c r="G538" t="s">
        <v>255</v>
      </c>
      <c r="H538" t="s">
        <v>722</v>
      </c>
      <c r="I538" t="s">
        <v>252</v>
      </c>
      <c r="J538" t="s">
        <v>1367</v>
      </c>
      <c r="K538" t="s">
        <v>257</v>
      </c>
      <c r="L538" t="s">
        <v>595</v>
      </c>
      <c r="M538" t="s">
        <v>28</v>
      </c>
      <c r="N538" s="1">
        <f t="shared" si="124"/>
        <v>3</v>
      </c>
      <c r="O538" s="1">
        <f t="shared" si="125"/>
        <v>0</v>
      </c>
      <c r="P538" s="1">
        <f t="shared" si="126"/>
        <v>3</v>
      </c>
      <c r="Q538" s="1">
        <f t="shared" si="127"/>
        <v>1</v>
      </c>
      <c r="R538" s="1">
        <f t="shared" si="128"/>
        <v>1</v>
      </c>
      <c r="S538" s="1">
        <f t="shared" si="129"/>
        <v>1</v>
      </c>
      <c r="T538" s="1">
        <f t="shared" si="130"/>
        <v>0</v>
      </c>
      <c r="U538" s="26">
        <f t="shared" si="131"/>
        <v>1</v>
      </c>
      <c r="V538" s="26">
        <f t="shared" si="132"/>
        <v>1</v>
      </c>
      <c r="W538" s="1">
        <f t="shared" si="133"/>
        <v>1</v>
      </c>
      <c r="X538" s="26">
        <f t="shared" si="134"/>
        <v>0</v>
      </c>
      <c r="Y538" s="26">
        <f t="shared" si="135"/>
        <v>0</v>
      </c>
      <c r="Z538" s="1">
        <f t="shared" si="136"/>
        <v>1</v>
      </c>
      <c r="AA538"/>
      <c r="AB538"/>
    </row>
    <row r="539" spans="1:28" x14ac:dyDescent="0.55000000000000004">
      <c r="A539" s="1">
        <f t="shared" si="123"/>
        <v>539</v>
      </c>
      <c r="B539" t="s">
        <v>40</v>
      </c>
      <c r="C539" t="s">
        <v>197</v>
      </c>
      <c r="D539" t="s">
        <v>174</v>
      </c>
      <c r="E539" t="s">
        <v>588</v>
      </c>
      <c r="F539" t="s">
        <v>182</v>
      </c>
      <c r="G539" t="s">
        <v>263</v>
      </c>
      <c r="H539" t="s">
        <v>708</v>
      </c>
      <c r="I539" t="s">
        <v>265</v>
      </c>
      <c r="J539" t="s">
        <v>1368</v>
      </c>
      <c r="K539" t="s">
        <v>264</v>
      </c>
      <c r="L539" t="s">
        <v>1025</v>
      </c>
      <c r="M539" t="s">
        <v>28</v>
      </c>
      <c r="N539" s="1">
        <f t="shared" si="124"/>
        <v>0</v>
      </c>
      <c r="O539" s="1">
        <f t="shared" si="125"/>
        <v>0</v>
      </c>
      <c r="P539" s="1">
        <f t="shared" si="126"/>
        <v>0</v>
      </c>
      <c r="Q539" s="1">
        <f t="shared" si="127"/>
        <v>0</v>
      </c>
      <c r="R539" s="1">
        <f t="shared" si="128"/>
        <v>1</v>
      </c>
      <c r="S539" s="1">
        <f t="shared" si="129"/>
        <v>0</v>
      </c>
      <c r="T539" s="1">
        <f t="shared" si="130"/>
        <v>1</v>
      </c>
      <c r="U539" s="26">
        <f t="shared" si="131"/>
        <v>0</v>
      </c>
      <c r="V539" s="26">
        <f t="shared" si="132"/>
        <v>0</v>
      </c>
      <c r="W539" s="1">
        <f t="shared" si="133"/>
        <v>1</v>
      </c>
      <c r="X539" s="26">
        <f t="shared" si="134"/>
        <v>0</v>
      </c>
      <c r="Y539" s="26">
        <f t="shared" si="135"/>
        <v>0</v>
      </c>
      <c r="Z539" s="1">
        <f t="shared" si="136"/>
        <v>0</v>
      </c>
      <c r="AA539"/>
      <c r="AB539"/>
    </row>
    <row r="540" spans="1:28" x14ac:dyDescent="0.55000000000000004">
      <c r="A540" s="1">
        <f t="shared" si="123"/>
        <v>540</v>
      </c>
      <c r="B540" t="s">
        <v>30</v>
      </c>
      <c r="C540" t="s">
        <v>197</v>
      </c>
      <c r="D540" t="s">
        <v>133</v>
      </c>
      <c r="E540" t="s">
        <v>1707</v>
      </c>
      <c r="F540" t="s">
        <v>346</v>
      </c>
      <c r="G540" t="s">
        <v>54</v>
      </c>
      <c r="H540" t="s">
        <v>664</v>
      </c>
      <c r="I540" t="s">
        <v>49</v>
      </c>
      <c r="J540" t="s">
        <v>1708</v>
      </c>
      <c r="K540" t="s">
        <v>56</v>
      </c>
      <c r="L540" t="s">
        <v>1038</v>
      </c>
      <c r="M540" t="s">
        <v>28</v>
      </c>
      <c r="N540" s="1">
        <f t="shared" si="124"/>
        <v>2</v>
      </c>
      <c r="O540" s="1">
        <f t="shared" si="125"/>
        <v>2</v>
      </c>
      <c r="P540" s="1">
        <f t="shared" si="126"/>
        <v>4</v>
      </c>
      <c r="Q540" s="1">
        <f t="shared" si="127"/>
        <v>0</v>
      </c>
      <c r="R540" s="1">
        <f t="shared" si="128"/>
        <v>1</v>
      </c>
      <c r="S540" s="1">
        <f t="shared" si="129"/>
        <v>0</v>
      </c>
      <c r="T540" s="1">
        <f t="shared" si="130"/>
        <v>1</v>
      </c>
      <c r="U540" s="26">
        <f t="shared" si="131"/>
        <v>1</v>
      </c>
      <c r="V540" s="26">
        <f t="shared" si="132"/>
        <v>1</v>
      </c>
      <c r="W540" s="1">
        <f t="shared" si="133"/>
        <v>1</v>
      </c>
      <c r="X540" s="26">
        <f t="shared" si="134"/>
        <v>1</v>
      </c>
      <c r="Y540" s="26">
        <f t="shared" si="135"/>
        <v>1</v>
      </c>
      <c r="Z540" s="1">
        <f t="shared" si="136"/>
        <v>1</v>
      </c>
      <c r="AA540"/>
      <c r="AB540"/>
    </row>
    <row r="541" spans="1:28" x14ac:dyDescent="0.55000000000000004">
      <c r="A541" s="1">
        <f t="shared" si="123"/>
        <v>541</v>
      </c>
      <c r="B541" t="s">
        <v>30</v>
      </c>
      <c r="C541" t="s">
        <v>197</v>
      </c>
      <c r="D541" t="s">
        <v>133</v>
      </c>
      <c r="E541" t="s">
        <v>1707</v>
      </c>
      <c r="F541" t="s">
        <v>346</v>
      </c>
      <c r="G541" t="s">
        <v>55</v>
      </c>
      <c r="H541" t="s">
        <v>568</v>
      </c>
      <c r="I541" t="s">
        <v>60</v>
      </c>
      <c r="J541" t="s">
        <v>1709</v>
      </c>
      <c r="K541" t="s">
        <v>75</v>
      </c>
      <c r="L541" t="s">
        <v>781</v>
      </c>
      <c r="M541" t="s">
        <v>28</v>
      </c>
      <c r="N541" s="1">
        <f t="shared" si="124"/>
        <v>0</v>
      </c>
      <c r="O541" s="1">
        <f t="shared" si="125"/>
        <v>2</v>
      </c>
      <c r="P541" s="1">
        <f t="shared" si="126"/>
        <v>2</v>
      </c>
      <c r="Q541" s="1">
        <f t="shared" si="127"/>
        <v>1</v>
      </c>
      <c r="R541" s="1">
        <f t="shared" si="128"/>
        <v>1</v>
      </c>
      <c r="S541" s="1">
        <f t="shared" si="129"/>
        <v>1</v>
      </c>
      <c r="T541" s="1">
        <f t="shared" si="130"/>
        <v>1</v>
      </c>
      <c r="U541" s="26">
        <f t="shared" si="131"/>
        <v>0</v>
      </c>
      <c r="V541" s="26">
        <f t="shared" si="132"/>
        <v>0</v>
      </c>
      <c r="W541" s="1">
        <f t="shared" si="133"/>
        <v>1</v>
      </c>
      <c r="X541" s="26">
        <f t="shared" si="134"/>
        <v>1</v>
      </c>
      <c r="Y541" s="26">
        <f t="shared" si="135"/>
        <v>1</v>
      </c>
      <c r="Z541" s="1">
        <f t="shared" si="136"/>
        <v>1</v>
      </c>
      <c r="AA541"/>
      <c r="AB541"/>
    </row>
    <row r="542" spans="1:28" x14ac:dyDescent="0.55000000000000004">
      <c r="A542" s="1">
        <f t="shared" si="123"/>
        <v>542</v>
      </c>
      <c r="B542" t="s">
        <v>30</v>
      </c>
      <c r="C542" t="s">
        <v>197</v>
      </c>
      <c r="D542" t="s">
        <v>133</v>
      </c>
      <c r="E542" t="s">
        <v>1707</v>
      </c>
      <c r="F542" t="s">
        <v>350</v>
      </c>
      <c r="G542" t="s">
        <v>64</v>
      </c>
      <c r="H542" t="s">
        <v>568</v>
      </c>
      <c r="I542" t="s">
        <v>67</v>
      </c>
      <c r="J542" t="s">
        <v>1710</v>
      </c>
      <c r="K542" t="s">
        <v>62</v>
      </c>
      <c r="L542" t="s">
        <v>1380</v>
      </c>
      <c r="M542" t="s">
        <v>28</v>
      </c>
      <c r="N542" s="1">
        <f t="shared" si="124"/>
        <v>0</v>
      </c>
      <c r="O542" s="1">
        <f t="shared" si="125"/>
        <v>2</v>
      </c>
      <c r="P542" s="1">
        <f t="shared" si="126"/>
        <v>2</v>
      </c>
      <c r="Q542" s="1">
        <f t="shared" si="127"/>
        <v>1</v>
      </c>
      <c r="R542" s="1">
        <f t="shared" si="128"/>
        <v>1</v>
      </c>
      <c r="S542" s="1">
        <f t="shared" si="129"/>
        <v>1</v>
      </c>
      <c r="T542" s="1">
        <f t="shared" si="130"/>
        <v>1</v>
      </c>
      <c r="U542" s="26">
        <f t="shared" si="131"/>
        <v>0</v>
      </c>
      <c r="V542" s="26">
        <f t="shared" si="132"/>
        <v>0</v>
      </c>
      <c r="W542" s="1">
        <f t="shared" si="133"/>
        <v>1</v>
      </c>
      <c r="X542" s="26">
        <f t="shared" si="134"/>
        <v>1</v>
      </c>
      <c r="Y542" s="26">
        <f t="shared" si="135"/>
        <v>1</v>
      </c>
      <c r="Z542" s="1">
        <f t="shared" si="136"/>
        <v>1</v>
      </c>
      <c r="AA542"/>
      <c r="AB542"/>
    </row>
    <row r="543" spans="1:28" x14ac:dyDescent="0.55000000000000004">
      <c r="A543" s="1">
        <f t="shared" si="123"/>
        <v>543</v>
      </c>
      <c r="B543" t="s">
        <v>33</v>
      </c>
      <c r="C543" t="s">
        <v>200</v>
      </c>
      <c r="D543" t="s">
        <v>133</v>
      </c>
      <c r="E543" t="s">
        <v>1707</v>
      </c>
      <c r="F543" t="s">
        <v>364</v>
      </c>
      <c r="G543" t="s">
        <v>291</v>
      </c>
      <c r="H543" t="s">
        <v>608</v>
      </c>
      <c r="I543" t="s">
        <v>362</v>
      </c>
      <c r="J543" t="s">
        <v>1762</v>
      </c>
      <c r="K543" t="s">
        <v>293</v>
      </c>
      <c r="L543" t="s">
        <v>571</v>
      </c>
      <c r="M543" t="s">
        <v>28</v>
      </c>
      <c r="N543" s="1">
        <f t="shared" si="124"/>
        <v>1</v>
      </c>
      <c r="O543" s="1">
        <f t="shared" si="125"/>
        <v>1</v>
      </c>
      <c r="P543" s="1">
        <f t="shared" si="126"/>
        <v>2</v>
      </c>
      <c r="Q543" s="1">
        <f t="shared" si="127"/>
        <v>0</v>
      </c>
      <c r="R543" s="1">
        <f t="shared" si="128"/>
        <v>1</v>
      </c>
      <c r="S543" s="1">
        <f t="shared" si="129"/>
        <v>0</v>
      </c>
      <c r="T543" s="1">
        <f t="shared" si="130"/>
        <v>1</v>
      </c>
      <c r="U543" s="26">
        <f t="shared" si="131"/>
        <v>1</v>
      </c>
      <c r="V543" s="26">
        <f t="shared" si="132"/>
        <v>0</v>
      </c>
      <c r="W543" s="1">
        <f t="shared" si="133"/>
        <v>1</v>
      </c>
      <c r="X543" s="26">
        <f t="shared" si="134"/>
        <v>1</v>
      </c>
      <c r="Y543" s="26">
        <f t="shared" si="135"/>
        <v>0</v>
      </c>
      <c r="Z543" s="1">
        <f t="shared" si="136"/>
        <v>1</v>
      </c>
      <c r="AA543"/>
      <c r="AB543"/>
    </row>
    <row r="544" spans="1:28" x14ac:dyDescent="0.55000000000000004">
      <c r="A544" s="1">
        <f t="shared" si="123"/>
        <v>544</v>
      </c>
      <c r="B544" t="s">
        <v>33</v>
      </c>
      <c r="C544" t="s">
        <v>200</v>
      </c>
      <c r="D544" t="s">
        <v>133</v>
      </c>
      <c r="E544" t="s">
        <v>1707</v>
      </c>
      <c r="F544" t="s">
        <v>364</v>
      </c>
      <c r="G544" t="s">
        <v>292</v>
      </c>
      <c r="H544" t="s">
        <v>579</v>
      </c>
      <c r="I544" t="s">
        <v>287</v>
      </c>
      <c r="J544" t="s">
        <v>1763</v>
      </c>
      <c r="K544" t="s">
        <v>374</v>
      </c>
      <c r="L544" t="s">
        <v>1194</v>
      </c>
      <c r="M544" t="s">
        <v>28</v>
      </c>
      <c r="N544" s="1">
        <f t="shared" si="124"/>
        <v>2</v>
      </c>
      <c r="O544" s="1">
        <f t="shared" si="125"/>
        <v>1</v>
      </c>
      <c r="P544" s="1">
        <f t="shared" si="126"/>
        <v>3</v>
      </c>
      <c r="Q544" s="1">
        <f t="shared" si="127"/>
        <v>1</v>
      </c>
      <c r="R544" s="1">
        <f t="shared" si="128"/>
        <v>1</v>
      </c>
      <c r="S544" s="1">
        <f t="shared" si="129"/>
        <v>1</v>
      </c>
      <c r="T544" s="1">
        <f t="shared" si="130"/>
        <v>1</v>
      </c>
      <c r="U544" s="26">
        <f t="shared" si="131"/>
        <v>1</v>
      </c>
      <c r="V544" s="26">
        <f t="shared" si="132"/>
        <v>1</v>
      </c>
      <c r="W544" s="1">
        <f t="shared" si="133"/>
        <v>1</v>
      </c>
      <c r="X544" s="26">
        <f t="shared" si="134"/>
        <v>1</v>
      </c>
      <c r="Y544" s="26">
        <f t="shared" si="135"/>
        <v>0</v>
      </c>
      <c r="Z544" s="1">
        <f t="shared" si="136"/>
        <v>1</v>
      </c>
      <c r="AA544"/>
      <c r="AB544"/>
    </row>
    <row r="545" spans="1:28" x14ac:dyDescent="0.55000000000000004">
      <c r="A545" s="1">
        <f t="shared" si="123"/>
        <v>545</v>
      </c>
      <c r="B545" t="s">
        <v>33</v>
      </c>
      <c r="C545" t="s">
        <v>200</v>
      </c>
      <c r="D545" t="s">
        <v>133</v>
      </c>
      <c r="E545" t="s">
        <v>1707</v>
      </c>
      <c r="F545" t="s">
        <v>277</v>
      </c>
      <c r="G545" t="s">
        <v>278</v>
      </c>
      <c r="H545" t="s">
        <v>590</v>
      </c>
      <c r="I545" t="s">
        <v>284</v>
      </c>
      <c r="J545" t="s">
        <v>1764</v>
      </c>
      <c r="K545" t="s">
        <v>280</v>
      </c>
      <c r="L545" t="s">
        <v>812</v>
      </c>
      <c r="M545" t="s">
        <v>28</v>
      </c>
      <c r="N545" s="1">
        <f t="shared" si="124"/>
        <v>0</v>
      </c>
      <c r="O545" s="1">
        <f t="shared" si="125"/>
        <v>1</v>
      </c>
      <c r="P545" s="1">
        <f t="shared" si="126"/>
        <v>1</v>
      </c>
      <c r="Q545" s="1">
        <f t="shared" si="127"/>
        <v>1</v>
      </c>
      <c r="R545" s="1">
        <f t="shared" si="128"/>
        <v>1</v>
      </c>
      <c r="S545" s="1">
        <f t="shared" si="129"/>
        <v>1</v>
      </c>
      <c r="T545" s="1">
        <f t="shared" si="130"/>
        <v>1</v>
      </c>
      <c r="U545" s="26">
        <f t="shared" si="131"/>
        <v>0</v>
      </c>
      <c r="V545" s="26">
        <f t="shared" si="132"/>
        <v>0</v>
      </c>
      <c r="W545" s="1">
        <f t="shared" si="133"/>
        <v>1</v>
      </c>
      <c r="X545" s="26">
        <f t="shared" si="134"/>
        <v>1</v>
      </c>
      <c r="Y545" s="26">
        <f t="shared" si="135"/>
        <v>0</v>
      </c>
      <c r="Z545" s="1">
        <f t="shared" si="136"/>
        <v>0</v>
      </c>
      <c r="AA545"/>
      <c r="AB545"/>
    </row>
    <row r="546" spans="1:28" x14ac:dyDescent="0.55000000000000004">
      <c r="A546" s="1">
        <f t="shared" si="123"/>
        <v>546</v>
      </c>
      <c r="B546" t="s">
        <v>33</v>
      </c>
      <c r="C546" t="s">
        <v>200</v>
      </c>
      <c r="D546" t="s">
        <v>133</v>
      </c>
      <c r="E546" t="s">
        <v>1707</v>
      </c>
      <c r="F546" t="s">
        <v>277</v>
      </c>
      <c r="G546" t="s">
        <v>360</v>
      </c>
      <c r="H546" t="s">
        <v>575</v>
      </c>
      <c r="I546" t="s">
        <v>288</v>
      </c>
      <c r="J546" t="s">
        <v>1765</v>
      </c>
      <c r="K546" t="s">
        <v>371</v>
      </c>
      <c r="L546" t="s">
        <v>569</v>
      </c>
      <c r="M546" t="s">
        <v>28</v>
      </c>
      <c r="N546" s="1">
        <f t="shared" si="124"/>
        <v>1</v>
      </c>
      <c r="O546" s="1">
        <f t="shared" si="125"/>
        <v>0</v>
      </c>
      <c r="P546" s="1">
        <f t="shared" si="126"/>
        <v>1</v>
      </c>
      <c r="Q546" s="1">
        <f t="shared" si="127"/>
        <v>1</v>
      </c>
      <c r="R546" s="1">
        <f t="shared" si="128"/>
        <v>1</v>
      </c>
      <c r="S546" s="1">
        <f t="shared" si="129"/>
        <v>1</v>
      </c>
      <c r="T546" s="1">
        <f t="shared" si="130"/>
        <v>1</v>
      </c>
      <c r="U546" s="26">
        <f t="shared" si="131"/>
        <v>1</v>
      </c>
      <c r="V546" s="26">
        <f t="shared" si="132"/>
        <v>0</v>
      </c>
      <c r="W546" s="1">
        <f t="shared" si="133"/>
        <v>1</v>
      </c>
      <c r="X546" s="26">
        <f t="shared" si="134"/>
        <v>0</v>
      </c>
      <c r="Y546" s="26">
        <f t="shared" si="135"/>
        <v>0</v>
      </c>
      <c r="Z546" s="1">
        <f t="shared" si="136"/>
        <v>0</v>
      </c>
      <c r="AA546"/>
      <c r="AB546"/>
    </row>
    <row r="547" spans="1:28" x14ac:dyDescent="0.55000000000000004">
      <c r="A547" s="1">
        <f t="shared" si="123"/>
        <v>547</v>
      </c>
      <c r="B547" t="s">
        <v>35</v>
      </c>
      <c r="C547" t="s">
        <v>199</v>
      </c>
      <c r="D547" t="s">
        <v>133</v>
      </c>
      <c r="E547" t="s">
        <v>1707</v>
      </c>
      <c r="F547" t="s">
        <v>380</v>
      </c>
      <c r="G547" t="s">
        <v>207</v>
      </c>
      <c r="H547" t="s">
        <v>570</v>
      </c>
      <c r="I547" t="s">
        <v>307</v>
      </c>
      <c r="J547" t="s">
        <v>1809</v>
      </c>
      <c r="K547" t="s">
        <v>209</v>
      </c>
      <c r="L547" t="s">
        <v>576</v>
      </c>
      <c r="M547" t="s">
        <v>28</v>
      </c>
      <c r="N547" s="1">
        <f t="shared" si="124"/>
        <v>3</v>
      </c>
      <c r="O547" s="1">
        <f t="shared" si="125"/>
        <v>1</v>
      </c>
      <c r="P547" s="1">
        <f t="shared" si="126"/>
        <v>4</v>
      </c>
      <c r="Q547" s="1">
        <f t="shared" si="127"/>
        <v>1</v>
      </c>
      <c r="R547" s="1">
        <f t="shared" si="128"/>
        <v>1</v>
      </c>
      <c r="S547" s="1">
        <f t="shared" si="129"/>
        <v>1</v>
      </c>
      <c r="T547" s="1">
        <f t="shared" si="130"/>
        <v>0</v>
      </c>
      <c r="U547" s="26">
        <f t="shared" si="131"/>
        <v>1</v>
      </c>
      <c r="V547" s="26">
        <f t="shared" si="132"/>
        <v>1</v>
      </c>
      <c r="W547" s="1">
        <f t="shared" si="133"/>
        <v>1</v>
      </c>
      <c r="X547" s="26">
        <f t="shared" si="134"/>
        <v>1</v>
      </c>
      <c r="Y547" s="26">
        <f t="shared" si="135"/>
        <v>0</v>
      </c>
      <c r="Z547" s="1">
        <f t="shared" si="136"/>
        <v>1</v>
      </c>
      <c r="AA547"/>
      <c r="AB547"/>
    </row>
    <row r="548" spans="1:28" x14ac:dyDescent="0.55000000000000004">
      <c r="A548" s="1">
        <f t="shared" si="123"/>
        <v>548</v>
      </c>
      <c r="B548" t="s">
        <v>35</v>
      </c>
      <c r="C548" t="s">
        <v>199</v>
      </c>
      <c r="D548" t="s">
        <v>133</v>
      </c>
      <c r="E548" t="s">
        <v>1707</v>
      </c>
      <c r="F548" t="s">
        <v>376</v>
      </c>
      <c r="G548" t="s">
        <v>386</v>
      </c>
      <c r="H548" t="s">
        <v>573</v>
      </c>
      <c r="I548" t="s">
        <v>377</v>
      </c>
      <c r="J548" t="s">
        <v>1810</v>
      </c>
      <c r="K548" t="s">
        <v>418</v>
      </c>
      <c r="L548" t="s">
        <v>839</v>
      </c>
      <c r="M548" t="s">
        <v>28</v>
      </c>
      <c r="N548" s="1">
        <f t="shared" si="124"/>
        <v>2</v>
      </c>
      <c r="O548" s="1">
        <f t="shared" si="125"/>
        <v>0</v>
      </c>
      <c r="P548" s="1">
        <f t="shared" si="126"/>
        <v>2</v>
      </c>
      <c r="Q548" s="1">
        <f t="shared" si="127"/>
        <v>1</v>
      </c>
      <c r="R548" s="1">
        <f t="shared" si="128"/>
        <v>1</v>
      </c>
      <c r="S548" s="1">
        <f t="shared" si="129"/>
        <v>1</v>
      </c>
      <c r="T548" s="1">
        <f t="shared" si="130"/>
        <v>1</v>
      </c>
      <c r="U548" s="26">
        <f t="shared" si="131"/>
        <v>1</v>
      </c>
      <c r="V548" s="26">
        <f t="shared" si="132"/>
        <v>1</v>
      </c>
      <c r="W548" s="1">
        <f t="shared" si="133"/>
        <v>1</v>
      </c>
      <c r="X548" s="26">
        <f t="shared" si="134"/>
        <v>0</v>
      </c>
      <c r="Y548" s="26">
        <f t="shared" si="135"/>
        <v>0</v>
      </c>
      <c r="Z548" s="1">
        <f t="shared" si="136"/>
        <v>1</v>
      </c>
      <c r="AA548"/>
      <c r="AB548"/>
    </row>
    <row r="549" spans="1:28" x14ac:dyDescent="0.55000000000000004">
      <c r="A549" s="1">
        <f t="shared" si="123"/>
        <v>549</v>
      </c>
      <c r="B549" t="s">
        <v>35</v>
      </c>
      <c r="C549" t="s">
        <v>199</v>
      </c>
      <c r="D549" t="s">
        <v>133</v>
      </c>
      <c r="E549" t="s">
        <v>1707</v>
      </c>
      <c r="F549" t="s">
        <v>375</v>
      </c>
      <c r="G549" t="s">
        <v>208</v>
      </c>
      <c r="H549" t="s">
        <v>847</v>
      </c>
      <c r="I549" t="s">
        <v>204</v>
      </c>
      <c r="J549" t="s">
        <v>1229</v>
      </c>
      <c r="K549" t="s">
        <v>381</v>
      </c>
      <c r="L549" t="s">
        <v>578</v>
      </c>
      <c r="M549" t="s">
        <v>28</v>
      </c>
      <c r="N549" s="1">
        <f t="shared" si="124"/>
        <v>5</v>
      </c>
      <c r="O549" s="1">
        <f t="shared" si="125"/>
        <v>0</v>
      </c>
      <c r="P549" s="1">
        <f t="shared" si="126"/>
        <v>5</v>
      </c>
      <c r="Q549" s="1">
        <f t="shared" si="127"/>
        <v>1</v>
      </c>
      <c r="R549" s="1">
        <f t="shared" si="128"/>
        <v>0</v>
      </c>
      <c r="S549" s="1">
        <f t="shared" si="129"/>
        <v>0</v>
      </c>
      <c r="T549" s="1">
        <f t="shared" si="130"/>
        <v>0</v>
      </c>
      <c r="U549" s="26">
        <f t="shared" si="131"/>
        <v>0</v>
      </c>
      <c r="V549" s="26">
        <f t="shared" si="132"/>
        <v>1</v>
      </c>
      <c r="W549" s="1">
        <f t="shared" si="133"/>
        <v>1</v>
      </c>
      <c r="X549" s="26">
        <f t="shared" si="134"/>
        <v>0</v>
      </c>
      <c r="Y549" s="26">
        <f t="shared" si="135"/>
        <v>0</v>
      </c>
      <c r="Z549" s="1">
        <f t="shared" si="136"/>
        <v>1</v>
      </c>
      <c r="AA549"/>
      <c r="AB549"/>
    </row>
    <row r="550" spans="1:28" x14ac:dyDescent="0.55000000000000004">
      <c r="A550" s="1">
        <f t="shared" si="123"/>
        <v>550</v>
      </c>
      <c r="B550" t="s">
        <v>39</v>
      </c>
      <c r="C550" t="s">
        <v>153</v>
      </c>
      <c r="D550" t="s">
        <v>133</v>
      </c>
      <c r="E550" t="s">
        <v>1707</v>
      </c>
      <c r="F550" t="s">
        <v>342</v>
      </c>
      <c r="G550" t="s">
        <v>228</v>
      </c>
      <c r="H550" t="s">
        <v>575</v>
      </c>
      <c r="I550" t="s">
        <v>225</v>
      </c>
      <c r="J550" t="s">
        <v>1854</v>
      </c>
      <c r="K550" t="s">
        <v>230</v>
      </c>
      <c r="L550" t="s">
        <v>1012</v>
      </c>
      <c r="M550" t="s">
        <v>28</v>
      </c>
      <c r="N550" s="1">
        <f t="shared" si="124"/>
        <v>1</v>
      </c>
      <c r="O550" s="1">
        <f t="shared" si="125"/>
        <v>0</v>
      </c>
      <c r="P550" s="1">
        <f t="shared" si="126"/>
        <v>1</v>
      </c>
      <c r="Q550" s="1">
        <f t="shared" si="127"/>
        <v>1</v>
      </c>
      <c r="R550" s="1">
        <f t="shared" si="128"/>
        <v>1</v>
      </c>
      <c r="S550" s="1">
        <f t="shared" si="129"/>
        <v>1</v>
      </c>
      <c r="T550" s="1">
        <f t="shared" si="130"/>
        <v>1</v>
      </c>
      <c r="U550" s="26">
        <f t="shared" si="131"/>
        <v>1</v>
      </c>
      <c r="V550" s="26">
        <f t="shared" si="132"/>
        <v>0</v>
      </c>
      <c r="W550" s="1">
        <f t="shared" si="133"/>
        <v>1</v>
      </c>
      <c r="X550" s="26">
        <f t="shared" si="134"/>
        <v>0</v>
      </c>
      <c r="Y550" s="26">
        <f t="shared" si="135"/>
        <v>0</v>
      </c>
      <c r="Z550" s="1">
        <f t="shared" si="136"/>
        <v>0</v>
      </c>
      <c r="AA550"/>
      <c r="AB550"/>
    </row>
    <row r="551" spans="1:28" x14ac:dyDescent="0.55000000000000004">
      <c r="A551" s="1">
        <f t="shared" si="123"/>
        <v>551</v>
      </c>
      <c r="B551" t="s">
        <v>39</v>
      </c>
      <c r="C551" t="s">
        <v>153</v>
      </c>
      <c r="D551" t="s">
        <v>133</v>
      </c>
      <c r="E551" t="s">
        <v>1707</v>
      </c>
      <c r="F551" t="s">
        <v>342</v>
      </c>
      <c r="G551" t="s">
        <v>229</v>
      </c>
      <c r="H551" t="s">
        <v>568</v>
      </c>
      <c r="I551" t="s">
        <v>219</v>
      </c>
      <c r="J551" t="s">
        <v>1855</v>
      </c>
      <c r="K551" t="s">
        <v>246</v>
      </c>
      <c r="L551" t="s">
        <v>987</v>
      </c>
      <c r="M551" t="s">
        <v>28</v>
      </c>
      <c r="N551" s="1">
        <f t="shared" si="124"/>
        <v>0</v>
      </c>
      <c r="O551" s="1">
        <f t="shared" si="125"/>
        <v>2</v>
      </c>
      <c r="P551" s="1">
        <f t="shared" si="126"/>
        <v>2</v>
      </c>
      <c r="Q551" s="1">
        <f t="shared" si="127"/>
        <v>1</v>
      </c>
      <c r="R551" s="1">
        <f t="shared" si="128"/>
        <v>1</v>
      </c>
      <c r="S551" s="1">
        <f t="shared" si="129"/>
        <v>1</v>
      </c>
      <c r="T551" s="1">
        <f t="shared" si="130"/>
        <v>1</v>
      </c>
      <c r="U551" s="26">
        <f t="shared" si="131"/>
        <v>0</v>
      </c>
      <c r="V551" s="26">
        <f t="shared" si="132"/>
        <v>0</v>
      </c>
      <c r="W551" s="1">
        <f t="shared" si="133"/>
        <v>1</v>
      </c>
      <c r="X551" s="26">
        <f t="shared" si="134"/>
        <v>1</v>
      </c>
      <c r="Y551" s="26">
        <f t="shared" si="135"/>
        <v>1</v>
      </c>
      <c r="Z551" s="1">
        <f t="shared" si="136"/>
        <v>1</v>
      </c>
      <c r="AA551"/>
      <c r="AB551"/>
    </row>
    <row r="552" spans="1:28" x14ac:dyDescent="0.55000000000000004">
      <c r="A552" s="1">
        <f t="shared" si="123"/>
        <v>552</v>
      </c>
      <c r="B552" t="s">
        <v>39</v>
      </c>
      <c r="C552" t="s">
        <v>153</v>
      </c>
      <c r="D552" t="s">
        <v>133</v>
      </c>
      <c r="E552" t="s">
        <v>1707</v>
      </c>
      <c r="F552" t="s">
        <v>343</v>
      </c>
      <c r="G552" t="s">
        <v>223</v>
      </c>
      <c r="H552" t="s">
        <v>581</v>
      </c>
      <c r="I552" t="s">
        <v>222</v>
      </c>
      <c r="J552" t="s">
        <v>1856</v>
      </c>
      <c r="K552" t="s">
        <v>244</v>
      </c>
      <c r="L552" t="s">
        <v>995</v>
      </c>
      <c r="M552" t="s">
        <v>28</v>
      </c>
      <c r="N552" s="1">
        <f t="shared" si="124"/>
        <v>1</v>
      </c>
      <c r="O552" s="1">
        <f t="shared" si="125"/>
        <v>2</v>
      </c>
      <c r="P552" s="1">
        <f t="shared" si="126"/>
        <v>3</v>
      </c>
      <c r="Q552" s="1">
        <f t="shared" si="127"/>
        <v>1</v>
      </c>
      <c r="R552" s="1">
        <f t="shared" si="128"/>
        <v>1</v>
      </c>
      <c r="S552" s="1">
        <f t="shared" si="129"/>
        <v>1</v>
      </c>
      <c r="T552" s="1">
        <f t="shared" si="130"/>
        <v>1</v>
      </c>
      <c r="U552" s="26">
        <f t="shared" si="131"/>
        <v>1</v>
      </c>
      <c r="V552" s="26">
        <f t="shared" si="132"/>
        <v>0</v>
      </c>
      <c r="W552" s="1">
        <f t="shared" si="133"/>
        <v>1</v>
      </c>
      <c r="X552" s="26">
        <f t="shared" si="134"/>
        <v>1</v>
      </c>
      <c r="Y552" s="26">
        <f t="shared" si="135"/>
        <v>1</v>
      </c>
      <c r="Z552" s="1">
        <f t="shared" si="136"/>
        <v>1</v>
      </c>
      <c r="AA552"/>
      <c r="AB552"/>
    </row>
    <row r="553" spans="1:28" x14ac:dyDescent="0.55000000000000004">
      <c r="A553" s="1">
        <f t="shared" si="123"/>
        <v>553</v>
      </c>
      <c r="B553" t="s">
        <v>39</v>
      </c>
      <c r="C553" t="s">
        <v>153</v>
      </c>
      <c r="D553" t="s">
        <v>133</v>
      </c>
      <c r="E553" t="s">
        <v>1707</v>
      </c>
      <c r="F553" t="s">
        <v>343</v>
      </c>
      <c r="G553" t="s">
        <v>231</v>
      </c>
      <c r="H553" t="s">
        <v>590</v>
      </c>
      <c r="I553" t="s">
        <v>234</v>
      </c>
      <c r="J553" t="s">
        <v>1857</v>
      </c>
      <c r="K553" t="s">
        <v>233</v>
      </c>
      <c r="L553" t="s">
        <v>993</v>
      </c>
      <c r="M553" t="s">
        <v>28</v>
      </c>
      <c r="N553" s="1">
        <f t="shared" si="124"/>
        <v>0</v>
      </c>
      <c r="O553" s="1">
        <f t="shared" si="125"/>
        <v>1</v>
      </c>
      <c r="P553" s="1">
        <f t="shared" si="126"/>
        <v>1</v>
      </c>
      <c r="Q553" s="1">
        <f t="shared" si="127"/>
        <v>1</v>
      </c>
      <c r="R553" s="1">
        <f t="shared" si="128"/>
        <v>1</v>
      </c>
      <c r="S553" s="1">
        <f t="shared" si="129"/>
        <v>1</v>
      </c>
      <c r="T553" s="1">
        <f t="shared" si="130"/>
        <v>1</v>
      </c>
      <c r="U553" s="26">
        <f t="shared" si="131"/>
        <v>0</v>
      </c>
      <c r="V553" s="26">
        <f t="shared" si="132"/>
        <v>0</v>
      </c>
      <c r="W553" s="1">
        <f t="shared" si="133"/>
        <v>1</v>
      </c>
      <c r="X553" s="26">
        <f t="shared" si="134"/>
        <v>1</v>
      </c>
      <c r="Y553" s="26">
        <f t="shared" si="135"/>
        <v>0</v>
      </c>
      <c r="Z553" s="1">
        <f t="shared" si="136"/>
        <v>0</v>
      </c>
      <c r="AA553"/>
      <c r="AB553"/>
    </row>
    <row r="554" spans="1:28" x14ac:dyDescent="0.55000000000000004">
      <c r="A554" s="1">
        <f t="shared" si="123"/>
        <v>554</v>
      </c>
      <c r="B554" t="s">
        <v>40</v>
      </c>
      <c r="C554" t="s">
        <v>197</v>
      </c>
      <c r="D554" t="s">
        <v>133</v>
      </c>
      <c r="E554" t="s">
        <v>1707</v>
      </c>
      <c r="F554" t="s">
        <v>396</v>
      </c>
      <c r="G554" t="s">
        <v>261</v>
      </c>
      <c r="H554" t="s">
        <v>575</v>
      </c>
      <c r="I554" t="s">
        <v>258</v>
      </c>
      <c r="J554" t="s">
        <v>1892</v>
      </c>
      <c r="K554" t="s">
        <v>393</v>
      </c>
      <c r="L554" t="s">
        <v>1018</v>
      </c>
      <c r="M554" t="s">
        <v>28</v>
      </c>
      <c r="N554" s="1">
        <f t="shared" si="124"/>
        <v>1</v>
      </c>
      <c r="O554" s="1">
        <f t="shared" si="125"/>
        <v>0</v>
      </c>
      <c r="P554" s="1">
        <f t="shared" si="126"/>
        <v>1</v>
      </c>
      <c r="Q554" s="1">
        <f t="shared" si="127"/>
        <v>1</v>
      </c>
      <c r="R554" s="1">
        <f t="shared" si="128"/>
        <v>1</v>
      </c>
      <c r="S554" s="1">
        <f t="shared" si="129"/>
        <v>1</v>
      </c>
      <c r="T554" s="1">
        <f t="shared" si="130"/>
        <v>1</v>
      </c>
      <c r="U554" s="26">
        <f t="shared" si="131"/>
        <v>1</v>
      </c>
      <c r="V554" s="26">
        <f t="shared" si="132"/>
        <v>0</v>
      </c>
      <c r="W554" s="1">
        <f t="shared" si="133"/>
        <v>1</v>
      </c>
      <c r="X554" s="26">
        <f t="shared" si="134"/>
        <v>0</v>
      </c>
      <c r="Y554" s="26">
        <f t="shared" si="135"/>
        <v>0</v>
      </c>
      <c r="Z554" s="1">
        <f t="shared" si="136"/>
        <v>0</v>
      </c>
      <c r="AA554"/>
      <c r="AB554"/>
    </row>
    <row r="555" spans="1:28" x14ac:dyDescent="0.55000000000000004">
      <c r="A555" s="1">
        <f t="shared" si="123"/>
        <v>555</v>
      </c>
      <c r="B555" t="s">
        <v>40</v>
      </c>
      <c r="C555" t="s">
        <v>197</v>
      </c>
      <c r="D555" t="s">
        <v>133</v>
      </c>
      <c r="E555" t="s">
        <v>1707</v>
      </c>
      <c r="F555" t="s">
        <v>392</v>
      </c>
      <c r="G555" t="s">
        <v>256</v>
      </c>
      <c r="H555" t="s">
        <v>590</v>
      </c>
      <c r="I555" t="s">
        <v>266</v>
      </c>
      <c r="J555" t="s">
        <v>1893</v>
      </c>
      <c r="K555" t="s">
        <v>416</v>
      </c>
      <c r="L555" t="s">
        <v>1027</v>
      </c>
      <c r="M555" t="s">
        <v>28</v>
      </c>
      <c r="N555" s="1">
        <f t="shared" si="124"/>
        <v>0</v>
      </c>
      <c r="O555" s="1">
        <f t="shared" si="125"/>
        <v>1</v>
      </c>
      <c r="P555" s="1">
        <f t="shared" si="126"/>
        <v>1</v>
      </c>
      <c r="Q555" s="1">
        <f t="shared" si="127"/>
        <v>1</v>
      </c>
      <c r="R555" s="1">
        <f t="shared" si="128"/>
        <v>1</v>
      </c>
      <c r="S555" s="1">
        <f t="shared" si="129"/>
        <v>1</v>
      </c>
      <c r="T555" s="1">
        <f t="shared" si="130"/>
        <v>1</v>
      </c>
      <c r="U555" s="26">
        <f t="shared" si="131"/>
        <v>0</v>
      </c>
      <c r="V555" s="26">
        <f t="shared" si="132"/>
        <v>0</v>
      </c>
      <c r="W555" s="1">
        <f t="shared" si="133"/>
        <v>1</v>
      </c>
      <c r="X555" s="26">
        <f t="shared" si="134"/>
        <v>1</v>
      </c>
      <c r="Y555" s="26">
        <f t="shared" si="135"/>
        <v>0</v>
      </c>
      <c r="Z555" s="1">
        <f t="shared" si="136"/>
        <v>0</v>
      </c>
      <c r="AA555"/>
      <c r="AB555"/>
    </row>
    <row r="556" spans="1:28" x14ac:dyDescent="0.55000000000000004">
      <c r="A556" s="1">
        <f t="shared" si="123"/>
        <v>556</v>
      </c>
      <c r="B556" t="s">
        <v>40</v>
      </c>
      <c r="C556" t="s">
        <v>197</v>
      </c>
      <c r="D556" t="s">
        <v>133</v>
      </c>
      <c r="E556" t="s">
        <v>1707</v>
      </c>
      <c r="F556" t="s">
        <v>251</v>
      </c>
      <c r="G556" t="s">
        <v>260</v>
      </c>
      <c r="H556" t="s">
        <v>579</v>
      </c>
      <c r="I556" t="s">
        <v>249</v>
      </c>
      <c r="J556" t="s">
        <v>1894</v>
      </c>
      <c r="K556" t="s">
        <v>250</v>
      </c>
      <c r="L556" t="s">
        <v>1030</v>
      </c>
      <c r="M556" t="s">
        <v>28</v>
      </c>
      <c r="N556" s="1">
        <f t="shared" si="124"/>
        <v>2</v>
      </c>
      <c r="O556" s="1">
        <f t="shared" si="125"/>
        <v>1</v>
      </c>
      <c r="P556" s="1">
        <f t="shared" si="126"/>
        <v>3</v>
      </c>
      <c r="Q556" s="1">
        <f t="shared" si="127"/>
        <v>1</v>
      </c>
      <c r="R556" s="1">
        <f t="shared" si="128"/>
        <v>1</v>
      </c>
      <c r="S556" s="1">
        <f t="shared" si="129"/>
        <v>1</v>
      </c>
      <c r="T556" s="1">
        <f t="shared" si="130"/>
        <v>1</v>
      </c>
      <c r="U556" s="26">
        <f t="shared" si="131"/>
        <v>1</v>
      </c>
      <c r="V556" s="26">
        <f t="shared" si="132"/>
        <v>1</v>
      </c>
      <c r="W556" s="1">
        <f t="shared" si="133"/>
        <v>1</v>
      </c>
      <c r="X556" s="26">
        <f t="shared" si="134"/>
        <v>1</v>
      </c>
      <c r="Y556" s="26">
        <f t="shared" si="135"/>
        <v>0</v>
      </c>
      <c r="Z556" s="1">
        <f t="shared" si="136"/>
        <v>1</v>
      </c>
      <c r="AA556"/>
      <c r="AB556"/>
    </row>
    <row r="557" spans="1:28" x14ac:dyDescent="0.55000000000000004">
      <c r="A557" s="1">
        <f t="shared" si="123"/>
        <v>557</v>
      </c>
      <c r="B557" t="s">
        <v>30</v>
      </c>
      <c r="C557" t="s">
        <v>197</v>
      </c>
      <c r="D557" t="s">
        <v>42</v>
      </c>
      <c r="E557" t="s">
        <v>1381</v>
      </c>
      <c r="F557" t="s">
        <v>380</v>
      </c>
      <c r="G557" t="s">
        <v>52</v>
      </c>
      <c r="H557" t="s">
        <v>683</v>
      </c>
      <c r="I557" t="s">
        <v>45</v>
      </c>
      <c r="J557" t="s">
        <v>1382</v>
      </c>
      <c r="K557" t="s">
        <v>71</v>
      </c>
      <c r="L557" t="s">
        <v>779</v>
      </c>
      <c r="M557" t="s">
        <v>28</v>
      </c>
      <c r="N557" s="1">
        <f t="shared" si="124"/>
        <v>3</v>
      </c>
      <c r="O557" s="1">
        <f t="shared" si="125"/>
        <v>2</v>
      </c>
      <c r="P557" s="1">
        <f t="shared" si="126"/>
        <v>5</v>
      </c>
      <c r="Q557" s="1">
        <f t="shared" si="127"/>
        <v>1</v>
      </c>
      <c r="R557" s="1">
        <f t="shared" si="128"/>
        <v>0</v>
      </c>
      <c r="S557" s="1">
        <f t="shared" si="129"/>
        <v>0</v>
      </c>
      <c r="T557" s="1">
        <f t="shared" si="130"/>
        <v>0</v>
      </c>
      <c r="U557" s="26">
        <f t="shared" si="131"/>
        <v>1</v>
      </c>
      <c r="V557" s="26">
        <f t="shared" si="132"/>
        <v>1</v>
      </c>
      <c r="W557" s="1">
        <f t="shared" si="133"/>
        <v>1</v>
      </c>
      <c r="X557" s="26">
        <f t="shared" si="134"/>
        <v>1</v>
      </c>
      <c r="Y557" s="26">
        <f t="shared" si="135"/>
        <v>1</v>
      </c>
      <c r="Z557" s="1">
        <f t="shared" si="136"/>
        <v>1</v>
      </c>
      <c r="AA557"/>
      <c r="AB557"/>
    </row>
    <row r="558" spans="1:28" x14ac:dyDescent="0.55000000000000004">
      <c r="A558" s="1">
        <f t="shared" si="123"/>
        <v>558</v>
      </c>
      <c r="B558" t="s">
        <v>30</v>
      </c>
      <c r="C558" t="s">
        <v>197</v>
      </c>
      <c r="D558" t="s">
        <v>42</v>
      </c>
      <c r="E558" t="s">
        <v>1381</v>
      </c>
      <c r="F558" t="s">
        <v>380</v>
      </c>
      <c r="G558" t="s">
        <v>57</v>
      </c>
      <c r="H558" t="s">
        <v>739</v>
      </c>
      <c r="I558" t="s">
        <v>44</v>
      </c>
      <c r="J558" t="s">
        <v>1383</v>
      </c>
      <c r="K558" t="s">
        <v>59</v>
      </c>
      <c r="L558" t="s">
        <v>774</v>
      </c>
      <c r="M558" t="s">
        <v>28</v>
      </c>
      <c r="N558" s="1">
        <f t="shared" si="124"/>
        <v>0</v>
      </c>
      <c r="O558" s="1">
        <f t="shared" si="125"/>
        <v>3</v>
      </c>
      <c r="P558" s="1">
        <f t="shared" si="126"/>
        <v>3</v>
      </c>
      <c r="Q558" s="1">
        <f t="shared" si="127"/>
        <v>1</v>
      </c>
      <c r="R558" s="1">
        <f t="shared" si="128"/>
        <v>1</v>
      </c>
      <c r="S558" s="1">
        <f t="shared" si="129"/>
        <v>1</v>
      </c>
      <c r="T558" s="1">
        <f t="shared" si="130"/>
        <v>1</v>
      </c>
      <c r="U558" s="26">
        <f t="shared" si="131"/>
        <v>0</v>
      </c>
      <c r="V558" s="26">
        <f t="shared" si="132"/>
        <v>0</v>
      </c>
      <c r="W558" s="1">
        <f t="shared" si="133"/>
        <v>0</v>
      </c>
      <c r="X558" s="26">
        <f t="shared" si="134"/>
        <v>1</v>
      </c>
      <c r="Y558" s="26">
        <f t="shared" si="135"/>
        <v>1</v>
      </c>
      <c r="Z558" s="1">
        <f t="shared" si="136"/>
        <v>1</v>
      </c>
      <c r="AA558"/>
      <c r="AB558"/>
    </row>
    <row r="559" spans="1:28" x14ac:dyDescent="0.55000000000000004">
      <c r="A559" s="1">
        <f t="shared" si="123"/>
        <v>559</v>
      </c>
      <c r="B559" t="s">
        <v>30</v>
      </c>
      <c r="C559" t="s">
        <v>197</v>
      </c>
      <c r="D559" t="s">
        <v>42</v>
      </c>
      <c r="E559" t="s">
        <v>1381</v>
      </c>
      <c r="F559" t="s">
        <v>398</v>
      </c>
      <c r="G559" t="s">
        <v>66</v>
      </c>
      <c r="H559" t="s">
        <v>570</v>
      </c>
      <c r="I559" t="s">
        <v>61</v>
      </c>
      <c r="J559" t="s">
        <v>1384</v>
      </c>
      <c r="K559" t="s">
        <v>68</v>
      </c>
      <c r="L559" t="s">
        <v>757</v>
      </c>
      <c r="M559" t="s">
        <v>28</v>
      </c>
      <c r="N559" s="1">
        <f t="shared" si="124"/>
        <v>3</v>
      </c>
      <c r="O559" s="1">
        <f t="shared" si="125"/>
        <v>1</v>
      </c>
      <c r="P559" s="1">
        <f t="shared" si="126"/>
        <v>4</v>
      </c>
      <c r="Q559" s="1">
        <f t="shared" si="127"/>
        <v>1</v>
      </c>
      <c r="R559" s="1">
        <f t="shared" si="128"/>
        <v>1</v>
      </c>
      <c r="S559" s="1">
        <f t="shared" si="129"/>
        <v>1</v>
      </c>
      <c r="T559" s="1">
        <f t="shared" si="130"/>
        <v>0</v>
      </c>
      <c r="U559" s="26">
        <f t="shared" si="131"/>
        <v>1</v>
      </c>
      <c r="V559" s="26">
        <f t="shared" si="132"/>
        <v>1</v>
      </c>
      <c r="W559" s="1">
        <f t="shared" si="133"/>
        <v>1</v>
      </c>
      <c r="X559" s="26">
        <f t="shared" si="134"/>
        <v>1</v>
      </c>
      <c r="Y559" s="26">
        <f t="shared" si="135"/>
        <v>0</v>
      </c>
      <c r="Z559" s="1">
        <f t="shared" si="136"/>
        <v>1</v>
      </c>
      <c r="AA559"/>
      <c r="AB559"/>
    </row>
    <row r="560" spans="1:28" x14ac:dyDescent="0.55000000000000004">
      <c r="A560" s="1">
        <f t="shared" si="123"/>
        <v>560</v>
      </c>
      <c r="B560" t="s">
        <v>33</v>
      </c>
      <c r="C560" t="s">
        <v>200</v>
      </c>
      <c r="D560" t="s">
        <v>42</v>
      </c>
      <c r="E560" t="s">
        <v>1381</v>
      </c>
      <c r="F560" t="s">
        <v>364</v>
      </c>
      <c r="G560" t="s">
        <v>299</v>
      </c>
      <c r="H560" t="s">
        <v>608</v>
      </c>
      <c r="I560" t="s">
        <v>285</v>
      </c>
      <c r="J560" t="s">
        <v>1435</v>
      </c>
      <c r="K560" t="s">
        <v>366</v>
      </c>
      <c r="L560" t="s">
        <v>1436</v>
      </c>
      <c r="M560" t="s">
        <v>28</v>
      </c>
      <c r="N560" s="1">
        <f t="shared" si="124"/>
        <v>1</v>
      </c>
      <c r="O560" s="1">
        <f t="shared" si="125"/>
        <v>1</v>
      </c>
      <c r="P560" s="1">
        <f t="shared" si="126"/>
        <v>2</v>
      </c>
      <c r="Q560" s="1">
        <f t="shared" si="127"/>
        <v>0</v>
      </c>
      <c r="R560" s="1">
        <f t="shared" si="128"/>
        <v>1</v>
      </c>
      <c r="S560" s="1">
        <f t="shared" si="129"/>
        <v>0</v>
      </c>
      <c r="T560" s="1">
        <f t="shared" si="130"/>
        <v>1</v>
      </c>
      <c r="U560" s="26">
        <f t="shared" si="131"/>
        <v>1</v>
      </c>
      <c r="V560" s="26">
        <f t="shared" si="132"/>
        <v>0</v>
      </c>
      <c r="W560" s="1">
        <f t="shared" si="133"/>
        <v>1</v>
      </c>
      <c r="X560" s="26">
        <f t="shared" si="134"/>
        <v>1</v>
      </c>
      <c r="Y560" s="26">
        <f t="shared" si="135"/>
        <v>0</v>
      </c>
      <c r="Z560" s="1">
        <f t="shared" si="136"/>
        <v>1</v>
      </c>
      <c r="AA560"/>
      <c r="AB560"/>
    </row>
    <row r="561" spans="1:28" x14ac:dyDescent="0.55000000000000004">
      <c r="A561" s="1">
        <f t="shared" si="123"/>
        <v>561</v>
      </c>
      <c r="B561" t="s">
        <v>33</v>
      </c>
      <c r="C561" t="s">
        <v>200</v>
      </c>
      <c r="D561" t="s">
        <v>42</v>
      </c>
      <c r="E561" t="s">
        <v>1381</v>
      </c>
      <c r="F561" t="s">
        <v>277</v>
      </c>
      <c r="G561" t="s">
        <v>281</v>
      </c>
      <c r="H561" t="s">
        <v>581</v>
      </c>
      <c r="I561" t="s">
        <v>367</v>
      </c>
      <c r="J561" t="s">
        <v>1437</v>
      </c>
      <c r="K561" t="s">
        <v>283</v>
      </c>
      <c r="L561" t="s">
        <v>806</v>
      </c>
      <c r="M561" t="s">
        <v>28</v>
      </c>
      <c r="N561" s="1">
        <f t="shared" si="124"/>
        <v>1</v>
      </c>
      <c r="O561" s="1">
        <f t="shared" si="125"/>
        <v>2</v>
      </c>
      <c r="P561" s="1">
        <f t="shared" si="126"/>
        <v>3</v>
      </c>
      <c r="Q561" s="1">
        <f t="shared" si="127"/>
        <v>1</v>
      </c>
      <c r="R561" s="1">
        <f t="shared" si="128"/>
        <v>1</v>
      </c>
      <c r="S561" s="1">
        <f t="shared" si="129"/>
        <v>1</v>
      </c>
      <c r="T561" s="1">
        <f t="shared" si="130"/>
        <v>1</v>
      </c>
      <c r="U561" s="26">
        <f t="shared" si="131"/>
        <v>1</v>
      </c>
      <c r="V561" s="26">
        <f t="shared" si="132"/>
        <v>0</v>
      </c>
      <c r="W561" s="1">
        <f t="shared" si="133"/>
        <v>1</v>
      </c>
      <c r="X561" s="26">
        <f t="shared" si="134"/>
        <v>1</v>
      </c>
      <c r="Y561" s="26">
        <f t="shared" si="135"/>
        <v>1</v>
      </c>
      <c r="Z561" s="1">
        <f t="shared" si="136"/>
        <v>1</v>
      </c>
      <c r="AA561"/>
      <c r="AB561"/>
    </row>
    <row r="562" spans="1:28" x14ac:dyDescent="0.55000000000000004">
      <c r="A562" s="1">
        <f t="shared" si="123"/>
        <v>562</v>
      </c>
      <c r="B562" t="s">
        <v>33</v>
      </c>
      <c r="C562" t="s">
        <v>200</v>
      </c>
      <c r="D562" t="s">
        <v>42</v>
      </c>
      <c r="E562" t="s">
        <v>1381</v>
      </c>
      <c r="F562" t="s">
        <v>290</v>
      </c>
      <c r="G562" t="s">
        <v>282</v>
      </c>
      <c r="H562" t="s">
        <v>1285</v>
      </c>
      <c r="I562" t="s">
        <v>365</v>
      </c>
      <c r="J562" t="s">
        <v>1438</v>
      </c>
      <c r="K562" t="s">
        <v>295</v>
      </c>
      <c r="L562" t="s">
        <v>1439</v>
      </c>
      <c r="M562" t="s">
        <v>28</v>
      </c>
      <c r="N562" s="1">
        <f t="shared" si="124"/>
        <v>3</v>
      </c>
      <c r="O562" s="1">
        <f t="shared" si="125"/>
        <v>4</v>
      </c>
      <c r="P562" s="1">
        <f t="shared" si="126"/>
        <v>7</v>
      </c>
      <c r="Q562" s="1">
        <f t="shared" si="127"/>
        <v>1</v>
      </c>
      <c r="R562" s="1">
        <f t="shared" si="128"/>
        <v>0</v>
      </c>
      <c r="S562" s="1">
        <f t="shared" si="129"/>
        <v>0</v>
      </c>
      <c r="T562" s="1">
        <f t="shared" si="130"/>
        <v>0</v>
      </c>
      <c r="U562" s="26">
        <f t="shared" si="131"/>
        <v>1</v>
      </c>
      <c r="V562" s="26">
        <f t="shared" si="132"/>
        <v>1</v>
      </c>
      <c r="W562" s="1">
        <f t="shared" si="133"/>
        <v>0</v>
      </c>
      <c r="X562" s="26">
        <f t="shared" si="134"/>
        <v>0</v>
      </c>
      <c r="Y562" s="26">
        <f t="shared" si="135"/>
        <v>1</v>
      </c>
      <c r="Z562" s="1">
        <f t="shared" si="136"/>
        <v>1</v>
      </c>
      <c r="AA562"/>
      <c r="AB562"/>
    </row>
    <row r="563" spans="1:28" x14ac:dyDescent="0.55000000000000004">
      <c r="A563" s="1">
        <f t="shared" si="123"/>
        <v>563</v>
      </c>
      <c r="B563" t="s">
        <v>35</v>
      </c>
      <c r="C563" t="s">
        <v>199</v>
      </c>
      <c r="D563" t="s">
        <v>42</v>
      </c>
      <c r="E563" t="s">
        <v>1381</v>
      </c>
      <c r="F563" t="s">
        <v>411</v>
      </c>
      <c r="G563" t="s">
        <v>210</v>
      </c>
      <c r="H563" t="s">
        <v>579</v>
      </c>
      <c r="I563" t="s">
        <v>213</v>
      </c>
      <c r="J563" t="s">
        <v>1475</v>
      </c>
      <c r="K563" t="s">
        <v>212</v>
      </c>
      <c r="L563" t="s">
        <v>574</v>
      </c>
      <c r="M563" t="s">
        <v>28</v>
      </c>
      <c r="N563" s="1">
        <f t="shared" si="124"/>
        <v>2</v>
      </c>
      <c r="O563" s="1">
        <f t="shared" si="125"/>
        <v>1</v>
      </c>
      <c r="P563" s="1">
        <f t="shared" si="126"/>
        <v>3</v>
      </c>
      <c r="Q563" s="1">
        <f t="shared" si="127"/>
        <v>1</v>
      </c>
      <c r="R563" s="1">
        <f t="shared" si="128"/>
        <v>1</v>
      </c>
      <c r="S563" s="1">
        <f t="shared" si="129"/>
        <v>1</v>
      </c>
      <c r="T563" s="1">
        <f t="shared" si="130"/>
        <v>1</v>
      </c>
      <c r="U563" s="26">
        <f t="shared" si="131"/>
        <v>1</v>
      </c>
      <c r="V563" s="26">
        <f t="shared" si="132"/>
        <v>1</v>
      </c>
      <c r="W563" s="1">
        <f t="shared" si="133"/>
        <v>1</v>
      </c>
      <c r="X563" s="26">
        <f t="shared" si="134"/>
        <v>1</v>
      </c>
      <c r="Y563" s="26">
        <f t="shared" si="135"/>
        <v>0</v>
      </c>
      <c r="Z563" s="1">
        <f t="shared" si="136"/>
        <v>1</v>
      </c>
      <c r="AA563"/>
      <c r="AB563"/>
    </row>
    <row r="564" spans="1:28" x14ac:dyDescent="0.55000000000000004">
      <c r="A564" s="1">
        <f t="shared" si="123"/>
        <v>564</v>
      </c>
      <c r="B564" t="s">
        <v>35</v>
      </c>
      <c r="C564" t="s">
        <v>199</v>
      </c>
      <c r="D564" t="s">
        <v>42</v>
      </c>
      <c r="E564" t="s">
        <v>1381</v>
      </c>
      <c r="F564" t="s">
        <v>357</v>
      </c>
      <c r="G564" t="s">
        <v>306</v>
      </c>
      <c r="H564" t="s">
        <v>664</v>
      </c>
      <c r="I564" t="s">
        <v>304</v>
      </c>
      <c r="J564" t="s">
        <v>1476</v>
      </c>
      <c r="K564" t="s">
        <v>308</v>
      </c>
      <c r="L564" t="s">
        <v>1477</v>
      </c>
      <c r="M564" t="s">
        <v>28</v>
      </c>
      <c r="N564" s="1">
        <f t="shared" si="124"/>
        <v>2</v>
      </c>
      <c r="O564" s="1">
        <f t="shared" si="125"/>
        <v>2</v>
      </c>
      <c r="P564" s="1">
        <f t="shared" si="126"/>
        <v>4</v>
      </c>
      <c r="Q564" s="1">
        <f t="shared" si="127"/>
        <v>0</v>
      </c>
      <c r="R564" s="1">
        <f t="shared" si="128"/>
        <v>1</v>
      </c>
      <c r="S564" s="1">
        <f t="shared" si="129"/>
        <v>0</v>
      </c>
      <c r="T564" s="1">
        <f t="shared" si="130"/>
        <v>1</v>
      </c>
      <c r="U564" s="26">
        <f t="shared" si="131"/>
        <v>1</v>
      </c>
      <c r="V564" s="26">
        <f t="shared" si="132"/>
        <v>1</v>
      </c>
      <c r="W564" s="1">
        <f t="shared" si="133"/>
        <v>1</v>
      </c>
      <c r="X564" s="26">
        <f t="shared" si="134"/>
        <v>1</v>
      </c>
      <c r="Y564" s="26">
        <f t="shared" si="135"/>
        <v>1</v>
      </c>
      <c r="Z564" s="1">
        <f t="shared" si="136"/>
        <v>1</v>
      </c>
      <c r="AA564"/>
      <c r="AB564"/>
    </row>
    <row r="565" spans="1:28" x14ac:dyDescent="0.55000000000000004">
      <c r="A565" s="1">
        <f t="shared" si="123"/>
        <v>565</v>
      </c>
      <c r="B565" t="s">
        <v>35</v>
      </c>
      <c r="C565" t="s">
        <v>199</v>
      </c>
      <c r="D565" t="s">
        <v>42</v>
      </c>
      <c r="E565" t="s">
        <v>1381</v>
      </c>
      <c r="F565" t="s">
        <v>357</v>
      </c>
      <c r="G565" t="s">
        <v>383</v>
      </c>
      <c r="H565" t="s">
        <v>817</v>
      </c>
      <c r="I565" t="s">
        <v>205</v>
      </c>
      <c r="J565" t="s">
        <v>1478</v>
      </c>
      <c r="K565" t="s">
        <v>387</v>
      </c>
      <c r="L565" t="s">
        <v>582</v>
      </c>
      <c r="M565" t="s">
        <v>28</v>
      </c>
      <c r="N565" s="1">
        <f t="shared" si="124"/>
        <v>4</v>
      </c>
      <c r="O565" s="1">
        <f t="shared" si="125"/>
        <v>1</v>
      </c>
      <c r="P565" s="1">
        <f t="shared" si="126"/>
        <v>5</v>
      </c>
      <c r="Q565" s="1">
        <f t="shared" si="127"/>
        <v>1</v>
      </c>
      <c r="R565" s="1">
        <f t="shared" si="128"/>
        <v>0</v>
      </c>
      <c r="S565" s="1">
        <f t="shared" si="129"/>
        <v>0</v>
      </c>
      <c r="T565" s="1">
        <f t="shared" si="130"/>
        <v>0</v>
      </c>
      <c r="U565" s="26">
        <f t="shared" si="131"/>
        <v>0</v>
      </c>
      <c r="V565" s="26">
        <f t="shared" si="132"/>
        <v>1</v>
      </c>
      <c r="W565" s="1">
        <f t="shared" si="133"/>
        <v>1</v>
      </c>
      <c r="X565" s="26">
        <f t="shared" si="134"/>
        <v>1</v>
      </c>
      <c r="Y565" s="26">
        <f t="shared" si="135"/>
        <v>0</v>
      </c>
      <c r="Z565" s="1">
        <f t="shared" si="136"/>
        <v>1</v>
      </c>
      <c r="AA565"/>
      <c r="AB565"/>
    </row>
    <row r="566" spans="1:28" x14ac:dyDescent="0.55000000000000004">
      <c r="A566" s="1">
        <f t="shared" si="123"/>
        <v>566</v>
      </c>
      <c r="B566" t="s">
        <v>35</v>
      </c>
      <c r="C566" t="s">
        <v>199</v>
      </c>
      <c r="D566" t="s">
        <v>42</v>
      </c>
      <c r="E566" t="s">
        <v>1381</v>
      </c>
      <c r="F566" t="s">
        <v>357</v>
      </c>
      <c r="G566" t="s">
        <v>211</v>
      </c>
      <c r="H566" t="s">
        <v>608</v>
      </c>
      <c r="I566" t="s">
        <v>214</v>
      </c>
      <c r="J566" t="s">
        <v>1479</v>
      </c>
      <c r="K566" t="s">
        <v>309</v>
      </c>
      <c r="L566" t="s">
        <v>1069</v>
      </c>
      <c r="M566" t="s">
        <v>28</v>
      </c>
      <c r="N566" s="1">
        <f t="shared" si="124"/>
        <v>1</v>
      </c>
      <c r="O566" s="1">
        <f t="shared" si="125"/>
        <v>1</v>
      </c>
      <c r="P566" s="1">
        <f t="shared" si="126"/>
        <v>2</v>
      </c>
      <c r="Q566" s="1">
        <f t="shared" si="127"/>
        <v>0</v>
      </c>
      <c r="R566" s="1">
        <f t="shared" si="128"/>
        <v>1</v>
      </c>
      <c r="S566" s="1">
        <f t="shared" si="129"/>
        <v>0</v>
      </c>
      <c r="T566" s="1">
        <f t="shared" si="130"/>
        <v>1</v>
      </c>
      <c r="U566" s="26">
        <f t="shared" si="131"/>
        <v>1</v>
      </c>
      <c r="V566" s="26">
        <f t="shared" si="132"/>
        <v>0</v>
      </c>
      <c r="W566" s="1">
        <f t="shared" si="133"/>
        <v>1</v>
      </c>
      <c r="X566" s="26">
        <f t="shared" si="134"/>
        <v>1</v>
      </c>
      <c r="Y566" s="26">
        <f t="shared" si="135"/>
        <v>0</v>
      </c>
      <c r="Z566" s="1">
        <f t="shared" si="136"/>
        <v>1</v>
      </c>
      <c r="AA566"/>
      <c r="AB566"/>
    </row>
    <row r="567" spans="1:28" x14ac:dyDescent="0.55000000000000004">
      <c r="A567" s="1">
        <f t="shared" si="123"/>
        <v>567</v>
      </c>
      <c r="B567" t="s">
        <v>35</v>
      </c>
      <c r="C567" t="s">
        <v>199</v>
      </c>
      <c r="D567" t="s">
        <v>42</v>
      </c>
      <c r="E567" t="s">
        <v>1381</v>
      </c>
      <c r="F567" t="s">
        <v>412</v>
      </c>
      <c r="G567" t="s">
        <v>384</v>
      </c>
      <c r="H567" t="s">
        <v>590</v>
      </c>
      <c r="I567" t="s">
        <v>303</v>
      </c>
      <c r="J567" t="s">
        <v>1480</v>
      </c>
      <c r="K567" t="s">
        <v>385</v>
      </c>
      <c r="L567" t="s">
        <v>831</v>
      </c>
      <c r="M567" t="s">
        <v>28</v>
      </c>
      <c r="N567" s="1">
        <f t="shared" si="124"/>
        <v>0</v>
      </c>
      <c r="O567" s="1">
        <f t="shared" si="125"/>
        <v>1</v>
      </c>
      <c r="P567" s="1">
        <f t="shared" si="126"/>
        <v>1</v>
      </c>
      <c r="Q567" s="1">
        <f t="shared" si="127"/>
        <v>1</v>
      </c>
      <c r="R567" s="1">
        <f t="shared" si="128"/>
        <v>1</v>
      </c>
      <c r="S567" s="1">
        <f t="shared" si="129"/>
        <v>1</v>
      </c>
      <c r="T567" s="1">
        <f t="shared" si="130"/>
        <v>1</v>
      </c>
      <c r="U567" s="26">
        <f t="shared" si="131"/>
        <v>0</v>
      </c>
      <c r="V567" s="26">
        <f t="shared" si="132"/>
        <v>0</v>
      </c>
      <c r="W567" s="1">
        <f t="shared" si="133"/>
        <v>1</v>
      </c>
      <c r="X567" s="26">
        <f t="shared" si="134"/>
        <v>1</v>
      </c>
      <c r="Y567" s="26">
        <f t="shared" si="135"/>
        <v>0</v>
      </c>
      <c r="Z567" s="1">
        <f t="shared" si="136"/>
        <v>0</v>
      </c>
      <c r="AA567"/>
      <c r="AB567"/>
    </row>
    <row r="568" spans="1:28" x14ac:dyDescent="0.55000000000000004">
      <c r="A568" s="1">
        <f t="shared" si="123"/>
        <v>568</v>
      </c>
      <c r="B568" t="s">
        <v>39</v>
      </c>
      <c r="C568" t="s">
        <v>153</v>
      </c>
      <c r="D568" t="s">
        <v>42</v>
      </c>
      <c r="E568" t="s">
        <v>1381</v>
      </c>
      <c r="F568" t="s">
        <v>342</v>
      </c>
      <c r="G568" t="s">
        <v>226</v>
      </c>
      <c r="H568" t="s">
        <v>568</v>
      </c>
      <c r="I568" t="s">
        <v>220</v>
      </c>
      <c r="J568" t="s">
        <v>1528</v>
      </c>
      <c r="K568" t="s">
        <v>241</v>
      </c>
      <c r="L568" t="s">
        <v>1000</v>
      </c>
      <c r="M568" t="s">
        <v>28</v>
      </c>
      <c r="N568" s="1">
        <f t="shared" si="124"/>
        <v>0</v>
      </c>
      <c r="O568" s="1">
        <f t="shared" si="125"/>
        <v>2</v>
      </c>
      <c r="P568" s="1">
        <f t="shared" si="126"/>
        <v>2</v>
      </c>
      <c r="Q568" s="1">
        <f t="shared" si="127"/>
        <v>1</v>
      </c>
      <c r="R568" s="1">
        <f t="shared" si="128"/>
        <v>1</v>
      </c>
      <c r="S568" s="1">
        <f t="shared" si="129"/>
        <v>1</v>
      </c>
      <c r="T568" s="1">
        <f t="shared" si="130"/>
        <v>1</v>
      </c>
      <c r="U568" s="26">
        <f t="shared" si="131"/>
        <v>0</v>
      </c>
      <c r="V568" s="26">
        <f t="shared" si="132"/>
        <v>0</v>
      </c>
      <c r="W568" s="1">
        <f t="shared" si="133"/>
        <v>1</v>
      </c>
      <c r="X568" s="26">
        <f t="shared" si="134"/>
        <v>1</v>
      </c>
      <c r="Y568" s="26">
        <f t="shared" si="135"/>
        <v>1</v>
      </c>
      <c r="Z568" s="1">
        <f t="shared" si="136"/>
        <v>1</v>
      </c>
      <c r="AA568"/>
      <c r="AB568"/>
    </row>
    <row r="569" spans="1:28" x14ac:dyDescent="0.55000000000000004">
      <c r="A569" s="1">
        <f t="shared" si="123"/>
        <v>569</v>
      </c>
      <c r="B569" t="s">
        <v>39</v>
      </c>
      <c r="C569" t="s">
        <v>153</v>
      </c>
      <c r="D569" t="s">
        <v>42</v>
      </c>
      <c r="E569" t="s">
        <v>1381</v>
      </c>
      <c r="F569" t="s">
        <v>343</v>
      </c>
      <c r="G569" t="s">
        <v>232</v>
      </c>
      <c r="H569" t="s">
        <v>608</v>
      </c>
      <c r="I569" t="s">
        <v>235</v>
      </c>
      <c r="J569" t="s">
        <v>1529</v>
      </c>
      <c r="K569" t="s">
        <v>238</v>
      </c>
      <c r="L569" t="s">
        <v>1140</v>
      </c>
      <c r="M569" t="s">
        <v>28</v>
      </c>
      <c r="N569" s="1">
        <f t="shared" si="124"/>
        <v>1</v>
      </c>
      <c r="O569" s="1">
        <f t="shared" si="125"/>
        <v>1</v>
      </c>
      <c r="P569" s="1">
        <f t="shared" si="126"/>
        <v>2</v>
      </c>
      <c r="Q569" s="1">
        <f t="shared" si="127"/>
        <v>0</v>
      </c>
      <c r="R569" s="1">
        <f t="shared" si="128"/>
        <v>1</v>
      </c>
      <c r="S569" s="1">
        <f t="shared" si="129"/>
        <v>0</v>
      </c>
      <c r="T569" s="1">
        <f t="shared" si="130"/>
        <v>1</v>
      </c>
      <c r="U569" s="26">
        <f t="shared" si="131"/>
        <v>1</v>
      </c>
      <c r="V569" s="26">
        <f t="shared" si="132"/>
        <v>0</v>
      </c>
      <c r="W569" s="1">
        <f t="shared" si="133"/>
        <v>1</v>
      </c>
      <c r="X569" s="26">
        <f t="shared" si="134"/>
        <v>1</v>
      </c>
      <c r="Y569" s="26">
        <f t="shared" si="135"/>
        <v>0</v>
      </c>
      <c r="Z569" s="1">
        <f t="shared" si="136"/>
        <v>1</v>
      </c>
      <c r="AA569"/>
      <c r="AB569"/>
    </row>
    <row r="570" spans="1:28" x14ac:dyDescent="0.55000000000000004">
      <c r="A570" s="1">
        <f t="shared" si="123"/>
        <v>570</v>
      </c>
      <c r="B570" t="s">
        <v>30</v>
      </c>
      <c r="C570" t="s">
        <v>197</v>
      </c>
      <c r="D570" t="s">
        <v>179</v>
      </c>
      <c r="E570" t="s">
        <v>762</v>
      </c>
      <c r="F570" t="s">
        <v>181</v>
      </c>
      <c r="G570" t="s">
        <v>51</v>
      </c>
      <c r="H570" t="s">
        <v>664</v>
      </c>
      <c r="I570" t="s">
        <v>63</v>
      </c>
      <c r="J570" t="s">
        <v>763</v>
      </c>
      <c r="K570" t="s">
        <v>53</v>
      </c>
      <c r="L570" t="s">
        <v>761</v>
      </c>
      <c r="M570" t="s">
        <v>28</v>
      </c>
      <c r="N570" s="1">
        <f t="shared" si="124"/>
        <v>2</v>
      </c>
      <c r="O570" s="1">
        <f t="shared" si="125"/>
        <v>2</v>
      </c>
      <c r="P570" s="1">
        <f t="shared" si="126"/>
        <v>4</v>
      </c>
      <c r="Q570" s="1">
        <f t="shared" si="127"/>
        <v>0</v>
      </c>
      <c r="R570" s="1">
        <f t="shared" si="128"/>
        <v>1</v>
      </c>
      <c r="S570" s="1">
        <f t="shared" si="129"/>
        <v>0</v>
      </c>
      <c r="T570" s="1">
        <f t="shared" si="130"/>
        <v>1</v>
      </c>
      <c r="U570" s="26">
        <f t="shared" si="131"/>
        <v>1</v>
      </c>
      <c r="V570" s="26">
        <f t="shared" si="132"/>
        <v>1</v>
      </c>
      <c r="W570" s="1">
        <f t="shared" si="133"/>
        <v>1</v>
      </c>
      <c r="X570" s="26">
        <f t="shared" si="134"/>
        <v>1</v>
      </c>
      <c r="Y570" s="26">
        <f t="shared" si="135"/>
        <v>1</v>
      </c>
      <c r="Z570" s="1">
        <f t="shared" si="136"/>
        <v>1</v>
      </c>
      <c r="AA570"/>
      <c r="AB570"/>
    </row>
    <row r="571" spans="1:28" x14ac:dyDescent="0.55000000000000004">
      <c r="A571" s="1">
        <f t="shared" si="123"/>
        <v>571</v>
      </c>
      <c r="B571" t="s">
        <v>30</v>
      </c>
      <c r="C571" t="s">
        <v>197</v>
      </c>
      <c r="D571" t="s">
        <v>179</v>
      </c>
      <c r="E571" t="s">
        <v>762</v>
      </c>
      <c r="F571" t="s">
        <v>181</v>
      </c>
      <c r="G571" t="s">
        <v>48</v>
      </c>
      <c r="H571" t="s">
        <v>573</v>
      </c>
      <c r="I571" t="s">
        <v>58</v>
      </c>
      <c r="J571" t="s">
        <v>764</v>
      </c>
      <c r="K571" t="s">
        <v>50</v>
      </c>
      <c r="L571" t="s">
        <v>566</v>
      </c>
      <c r="M571" t="s">
        <v>28</v>
      </c>
      <c r="N571" s="1">
        <f t="shared" si="124"/>
        <v>2</v>
      </c>
      <c r="O571" s="1">
        <f t="shared" si="125"/>
        <v>0</v>
      </c>
      <c r="P571" s="1">
        <f t="shared" si="126"/>
        <v>2</v>
      </c>
      <c r="Q571" s="1">
        <f t="shared" si="127"/>
        <v>1</v>
      </c>
      <c r="R571" s="1">
        <f t="shared" si="128"/>
        <v>1</v>
      </c>
      <c r="S571" s="1">
        <f t="shared" si="129"/>
        <v>1</v>
      </c>
      <c r="T571" s="1">
        <f t="shared" si="130"/>
        <v>1</v>
      </c>
      <c r="U571" s="26">
        <f t="shared" si="131"/>
        <v>1</v>
      </c>
      <c r="V571" s="26">
        <f t="shared" si="132"/>
        <v>1</v>
      </c>
      <c r="W571" s="1">
        <f t="shared" si="133"/>
        <v>1</v>
      </c>
      <c r="X571" s="26">
        <f t="shared" si="134"/>
        <v>0</v>
      </c>
      <c r="Y571" s="26">
        <f t="shared" si="135"/>
        <v>0</v>
      </c>
      <c r="Z571" s="1">
        <f t="shared" si="136"/>
        <v>1</v>
      </c>
      <c r="AA571"/>
      <c r="AB571"/>
    </row>
    <row r="572" spans="1:28" x14ac:dyDescent="0.55000000000000004">
      <c r="A572" s="1">
        <f t="shared" si="123"/>
        <v>572</v>
      </c>
      <c r="B572" t="s">
        <v>35</v>
      </c>
      <c r="C572" t="s">
        <v>196</v>
      </c>
      <c r="D572" t="s">
        <v>177</v>
      </c>
      <c r="E572" t="s">
        <v>1060</v>
      </c>
      <c r="F572" t="s">
        <v>181</v>
      </c>
      <c r="G572" t="s">
        <v>213</v>
      </c>
      <c r="H572" t="s">
        <v>608</v>
      </c>
      <c r="I572" t="s">
        <v>204</v>
      </c>
      <c r="J572" t="s">
        <v>1061</v>
      </c>
      <c r="K572" t="s">
        <v>215</v>
      </c>
      <c r="L572" t="s">
        <v>580</v>
      </c>
      <c r="M572" t="s">
        <v>28</v>
      </c>
      <c r="N572" s="1">
        <f t="shared" si="124"/>
        <v>1</v>
      </c>
      <c r="O572" s="1">
        <f t="shared" si="125"/>
        <v>1</v>
      </c>
      <c r="P572" s="1">
        <f t="shared" si="126"/>
        <v>2</v>
      </c>
      <c r="Q572" s="1">
        <f t="shared" si="127"/>
        <v>0</v>
      </c>
      <c r="R572" s="1">
        <f t="shared" si="128"/>
        <v>1</v>
      </c>
      <c r="S572" s="1">
        <f t="shared" si="129"/>
        <v>0</v>
      </c>
      <c r="T572" s="1">
        <f t="shared" si="130"/>
        <v>1</v>
      </c>
      <c r="U572" s="26">
        <f t="shared" si="131"/>
        <v>1</v>
      </c>
      <c r="V572" s="26">
        <f t="shared" si="132"/>
        <v>0</v>
      </c>
      <c r="W572" s="1">
        <f t="shared" si="133"/>
        <v>1</v>
      </c>
      <c r="X572" s="26">
        <f t="shared" si="134"/>
        <v>1</v>
      </c>
      <c r="Y572" s="26">
        <f t="shared" si="135"/>
        <v>0</v>
      </c>
      <c r="Z572" s="1">
        <f t="shared" si="136"/>
        <v>1</v>
      </c>
      <c r="AA572"/>
      <c r="AB572"/>
    </row>
    <row r="573" spans="1:28" x14ac:dyDescent="0.55000000000000004">
      <c r="A573" s="1">
        <f t="shared" si="123"/>
        <v>573</v>
      </c>
      <c r="B573" t="s">
        <v>35</v>
      </c>
      <c r="C573" t="s">
        <v>118</v>
      </c>
      <c r="D573" t="s">
        <v>177</v>
      </c>
      <c r="E573" t="s">
        <v>1060</v>
      </c>
      <c r="F573" t="s">
        <v>181</v>
      </c>
      <c r="G573" t="s">
        <v>386</v>
      </c>
      <c r="H573" t="s">
        <v>708</v>
      </c>
      <c r="I573" t="s">
        <v>207</v>
      </c>
      <c r="J573" t="s">
        <v>1062</v>
      </c>
      <c r="K573" t="s">
        <v>418</v>
      </c>
      <c r="L573" t="s">
        <v>845</v>
      </c>
      <c r="M573" t="s">
        <v>28</v>
      </c>
      <c r="N573" s="1">
        <f t="shared" si="124"/>
        <v>0</v>
      </c>
      <c r="O573" s="1">
        <f t="shared" si="125"/>
        <v>0</v>
      </c>
      <c r="P573" s="1">
        <f t="shared" si="126"/>
        <v>0</v>
      </c>
      <c r="Q573" s="1">
        <f t="shared" si="127"/>
        <v>0</v>
      </c>
      <c r="R573" s="1">
        <f t="shared" si="128"/>
        <v>1</v>
      </c>
      <c r="S573" s="1">
        <f t="shared" si="129"/>
        <v>0</v>
      </c>
      <c r="T573" s="1">
        <f t="shared" si="130"/>
        <v>1</v>
      </c>
      <c r="U573" s="26">
        <f t="shared" si="131"/>
        <v>0</v>
      </c>
      <c r="V573" s="26">
        <f t="shared" si="132"/>
        <v>0</v>
      </c>
      <c r="W573" s="1">
        <f t="shared" si="133"/>
        <v>1</v>
      </c>
      <c r="X573" s="26">
        <f t="shared" si="134"/>
        <v>0</v>
      </c>
      <c r="Y573" s="26">
        <f t="shared" si="135"/>
        <v>0</v>
      </c>
      <c r="Z573" s="1">
        <f t="shared" si="136"/>
        <v>0</v>
      </c>
      <c r="AA573"/>
      <c r="AB573"/>
    </row>
    <row r="574" spans="1:28" x14ac:dyDescent="0.55000000000000004">
      <c r="A574" s="1">
        <f t="shared" si="123"/>
        <v>574</v>
      </c>
      <c r="B574" t="s">
        <v>39</v>
      </c>
      <c r="C574" t="s">
        <v>197</v>
      </c>
      <c r="D574" t="s">
        <v>177</v>
      </c>
      <c r="E574" t="s">
        <v>1060</v>
      </c>
      <c r="F574" t="s">
        <v>218</v>
      </c>
      <c r="G574" t="s">
        <v>222</v>
      </c>
      <c r="H574" t="s">
        <v>640</v>
      </c>
      <c r="I574" t="s">
        <v>228</v>
      </c>
      <c r="J574" t="s">
        <v>1146</v>
      </c>
      <c r="K574" t="s">
        <v>224</v>
      </c>
      <c r="L574" t="s">
        <v>987</v>
      </c>
      <c r="M574" t="s">
        <v>28</v>
      </c>
      <c r="N574" s="1">
        <f t="shared" si="124"/>
        <v>1</v>
      </c>
      <c r="O574" s="1">
        <f t="shared" si="125"/>
        <v>4</v>
      </c>
      <c r="P574" s="1">
        <f t="shared" si="126"/>
        <v>5</v>
      </c>
      <c r="Q574" s="1">
        <f t="shared" si="127"/>
        <v>1</v>
      </c>
      <c r="R574" s="1">
        <f t="shared" si="128"/>
        <v>0</v>
      </c>
      <c r="S574" s="1">
        <f t="shared" si="129"/>
        <v>0</v>
      </c>
      <c r="T574" s="1">
        <f t="shared" si="130"/>
        <v>1</v>
      </c>
      <c r="U574" s="26">
        <f t="shared" si="131"/>
        <v>1</v>
      </c>
      <c r="V574" s="26">
        <f t="shared" si="132"/>
        <v>0</v>
      </c>
      <c r="W574" s="1">
        <f t="shared" si="133"/>
        <v>0</v>
      </c>
      <c r="X574" s="26">
        <f t="shared" si="134"/>
        <v>0</v>
      </c>
      <c r="Y574" s="26">
        <f t="shared" si="135"/>
        <v>1</v>
      </c>
      <c r="Z574" s="1">
        <f t="shared" si="136"/>
        <v>1</v>
      </c>
      <c r="AA574"/>
      <c r="AB574"/>
    </row>
    <row r="575" spans="1:28" x14ac:dyDescent="0.55000000000000004">
      <c r="A575" s="1">
        <f t="shared" si="123"/>
        <v>575</v>
      </c>
      <c r="B575" t="s">
        <v>30</v>
      </c>
      <c r="C575" t="s">
        <v>198</v>
      </c>
      <c r="D575" t="s">
        <v>174</v>
      </c>
      <c r="E575" t="s">
        <v>1165</v>
      </c>
      <c r="F575" t="s">
        <v>181</v>
      </c>
      <c r="G575" t="s">
        <v>52</v>
      </c>
      <c r="H575" t="s">
        <v>590</v>
      </c>
      <c r="I575" t="s">
        <v>66</v>
      </c>
      <c r="J575" t="s">
        <v>1166</v>
      </c>
      <c r="K575" t="s">
        <v>71</v>
      </c>
      <c r="L575" t="s">
        <v>794</v>
      </c>
      <c r="M575" t="s">
        <v>28</v>
      </c>
      <c r="N575" s="1">
        <f t="shared" si="124"/>
        <v>0</v>
      </c>
      <c r="O575" s="1">
        <f t="shared" si="125"/>
        <v>1</v>
      </c>
      <c r="P575" s="1">
        <f t="shared" si="126"/>
        <v>1</v>
      </c>
      <c r="Q575" s="1">
        <f t="shared" si="127"/>
        <v>1</v>
      </c>
      <c r="R575" s="1">
        <f t="shared" si="128"/>
        <v>1</v>
      </c>
      <c r="S575" s="1">
        <f t="shared" si="129"/>
        <v>1</v>
      </c>
      <c r="T575" s="1">
        <f t="shared" si="130"/>
        <v>1</v>
      </c>
      <c r="U575" s="26">
        <f t="shared" si="131"/>
        <v>0</v>
      </c>
      <c r="V575" s="26">
        <f t="shared" si="132"/>
        <v>0</v>
      </c>
      <c r="W575" s="1">
        <f t="shared" si="133"/>
        <v>1</v>
      </c>
      <c r="X575" s="26">
        <f t="shared" si="134"/>
        <v>1</v>
      </c>
      <c r="Y575" s="26">
        <f t="shared" si="135"/>
        <v>0</v>
      </c>
      <c r="Z575" s="1">
        <f t="shared" si="136"/>
        <v>0</v>
      </c>
      <c r="AA575"/>
      <c r="AB575"/>
    </row>
    <row r="576" spans="1:28" x14ac:dyDescent="0.55000000000000004">
      <c r="A576" s="1">
        <f t="shared" si="123"/>
        <v>576</v>
      </c>
      <c r="B576" t="s">
        <v>30</v>
      </c>
      <c r="C576" t="s">
        <v>198</v>
      </c>
      <c r="D576" t="s">
        <v>174</v>
      </c>
      <c r="E576" t="s">
        <v>1165</v>
      </c>
      <c r="F576" t="s">
        <v>181</v>
      </c>
      <c r="G576" t="s">
        <v>44</v>
      </c>
      <c r="H576" t="s">
        <v>590</v>
      </c>
      <c r="I576" t="s">
        <v>49</v>
      </c>
      <c r="J576" t="s">
        <v>1167</v>
      </c>
      <c r="K576" t="s">
        <v>46</v>
      </c>
      <c r="L576" t="s">
        <v>566</v>
      </c>
      <c r="M576" t="s">
        <v>28</v>
      </c>
      <c r="N576" s="1">
        <f t="shared" si="124"/>
        <v>0</v>
      </c>
      <c r="O576" s="1">
        <f t="shared" si="125"/>
        <v>1</v>
      </c>
      <c r="P576" s="1">
        <f t="shared" si="126"/>
        <v>1</v>
      </c>
      <c r="Q576" s="1">
        <f t="shared" si="127"/>
        <v>1</v>
      </c>
      <c r="R576" s="1">
        <f t="shared" si="128"/>
        <v>1</v>
      </c>
      <c r="S576" s="1">
        <f t="shared" si="129"/>
        <v>1</v>
      </c>
      <c r="T576" s="1">
        <f t="shared" si="130"/>
        <v>1</v>
      </c>
      <c r="U576" s="26">
        <f t="shared" si="131"/>
        <v>0</v>
      </c>
      <c r="V576" s="26">
        <f t="shared" si="132"/>
        <v>0</v>
      </c>
      <c r="W576" s="1">
        <f t="shared" si="133"/>
        <v>1</v>
      </c>
      <c r="X576" s="26">
        <f t="shared" si="134"/>
        <v>1</v>
      </c>
      <c r="Y576" s="26">
        <f t="shared" si="135"/>
        <v>0</v>
      </c>
      <c r="Z576" s="1">
        <f t="shared" si="136"/>
        <v>0</v>
      </c>
      <c r="AA576"/>
      <c r="AB576"/>
    </row>
    <row r="577" spans="1:28" x14ac:dyDescent="0.55000000000000004">
      <c r="A577" s="1">
        <f t="shared" si="123"/>
        <v>577</v>
      </c>
      <c r="B577" t="s">
        <v>33</v>
      </c>
      <c r="C577" t="s">
        <v>132</v>
      </c>
      <c r="D577" t="s">
        <v>174</v>
      </c>
      <c r="E577" t="s">
        <v>1165</v>
      </c>
      <c r="F577" t="s">
        <v>364</v>
      </c>
      <c r="G577" t="s">
        <v>285</v>
      </c>
      <c r="H577" t="s">
        <v>708</v>
      </c>
      <c r="I577" t="s">
        <v>291</v>
      </c>
      <c r="J577" t="s">
        <v>1193</v>
      </c>
      <c r="K577" t="s">
        <v>359</v>
      </c>
      <c r="L577" t="s">
        <v>1194</v>
      </c>
      <c r="M577" t="s">
        <v>28</v>
      </c>
      <c r="N577" s="1">
        <f t="shared" si="124"/>
        <v>0</v>
      </c>
      <c r="O577" s="1">
        <f t="shared" si="125"/>
        <v>0</v>
      </c>
      <c r="P577" s="1">
        <f t="shared" si="126"/>
        <v>0</v>
      </c>
      <c r="Q577" s="1">
        <f t="shared" si="127"/>
        <v>0</v>
      </c>
      <c r="R577" s="1">
        <f t="shared" si="128"/>
        <v>1</v>
      </c>
      <c r="S577" s="1">
        <f t="shared" si="129"/>
        <v>0</v>
      </c>
      <c r="T577" s="1">
        <f t="shared" si="130"/>
        <v>1</v>
      </c>
      <c r="U577" s="26">
        <f t="shared" si="131"/>
        <v>0</v>
      </c>
      <c r="V577" s="26">
        <f t="shared" si="132"/>
        <v>0</v>
      </c>
      <c r="W577" s="1">
        <f t="shared" si="133"/>
        <v>1</v>
      </c>
      <c r="X577" s="26">
        <f t="shared" si="134"/>
        <v>0</v>
      </c>
      <c r="Y577" s="26">
        <f t="shared" si="135"/>
        <v>0</v>
      </c>
      <c r="Z577" s="1">
        <f t="shared" si="136"/>
        <v>0</v>
      </c>
      <c r="AA577"/>
      <c r="AB577"/>
    </row>
    <row r="578" spans="1:28" x14ac:dyDescent="0.55000000000000004">
      <c r="A578" s="1">
        <f t="shared" si="123"/>
        <v>578</v>
      </c>
      <c r="B578" t="s">
        <v>33</v>
      </c>
      <c r="C578" t="s">
        <v>132</v>
      </c>
      <c r="D578" t="s">
        <v>174</v>
      </c>
      <c r="E578" t="s">
        <v>1165</v>
      </c>
      <c r="F578" t="s">
        <v>277</v>
      </c>
      <c r="G578" t="s">
        <v>284</v>
      </c>
      <c r="H578" t="s">
        <v>608</v>
      </c>
      <c r="I578" t="s">
        <v>288</v>
      </c>
      <c r="J578" t="s">
        <v>1195</v>
      </c>
      <c r="K578" t="s">
        <v>286</v>
      </c>
      <c r="L578" t="s">
        <v>1044</v>
      </c>
      <c r="M578" t="s">
        <v>28</v>
      </c>
      <c r="N578" s="1">
        <f t="shared" si="124"/>
        <v>1</v>
      </c>
      <c r="O578" s="1">
        <f t="shared" si="125"/>
        <v>1</v>
      </c>
      <c r="P578" s="1">
        <f t="shared" si="126"/>
        <v>2</v>
      </c>
      <c r="Q578" s="1">
        <f t="shared" si="127"/>
        <v>0</v>
      </c>
      <c r="R578" s="1">
        <f t="shared" si="128"/>
        <v>1</v>
      </c>
      <c r="S578" s="1">
        <f t="shared" si="129"/>
        <v>0</v>
      </c>
      <c r="T578" s="1">
        <f t="shared" si="130"/>
        <v>1</v>
      </c>
      <c r="U578" s="26">
        <f t="shared" si="131"/>
        <v>1</v>
      </c>
      <c r="V578" s="26">
        <f t="shared" si="132"/>
        <v>0</v>
      </c>
      <c r="W578" s="1">
        <f t="shared" si="133"/>
        <v>1</v>
      </c>
      <c r="X578" s="26">
        <f t="shared" si="134"/>
        <v>1</v>
      </c>
      <c r="Y578" s="26">
        <f t="shared" si="135"/>
        <v>0</v>
      </c>
      <c r="Z578" s="1">
        <f t="shared" si="136"/>
        <v>1</v>
      </c>
      <c r="AA578"/>
      <c r="AB578"/>
    </row>
    <row r="579" spans="1:28" x14ac:dyDescent="0.55000000000000004">
      <c r="A579" s="1">
        <f t="shared" ref="A579:A642" si="137">A578+1</f>
        <v>579</v>
      </c>
      <c r="B579" t="s">
        <v>33</v>
      </c>
      <c r="C579" t="s">
        <v>132</v>
      </c>
      <c r="D579" t="s">
        <v>174</v>
      </c>
      <c r="E579" t="s">
        <v>1165</v>
      </c>
      <c r="F579" t="s">
        <v>277</v>
      </c>
      <c r="G579" t="s">
        <v>292</v>
      </c>
      <c r="H579" t="s">
        <v>573</v>
      </c>
      <c r="I579" t="s">
        <v>282</v>
      </c>
      <c r="J579" t="s">
        <v>1196</v>
      </c>
      <c r="K579" t="s">
        <v>374</v>
      </c>
      <c r="L579" t="s">
        <v>808</v>
      </c>
      <c r="M579" t="s">
        <v>28</v>
      </c>
      <c r="N579" s="1">
        <f t="shared" ref="N579:N642" si="138">VALUE(LEFT(H579,1))</f>
        <v>2</v>
      </c>
      <c r="O579" s="1">
        <f t="shared" ref="O579:O642" si="139">VALUE(RIGHT(H579,1))</f>
        <v>0</v>
      </c>
      <c r="P579" s="1">
        <f t="shared" ref="P579:P642" si="140">SUM(N579,O579)</f>
        <v>2</v>
      </c>
      <c r="Q579" s="1">
        <f t="shared" ref="Q579:Q642" si="141">IF(N579&lt;&gt;O579, 1, 0)</f>
        <v>1</v>
      </c>
      <c r="R579" s="1">
        <f t="shared" ref="R579:R642" si="142">IF(P579&lt;=4,1,0)</f>
        <v>1</v>
      </c>
      <c r="S579" s="1">
        <f t="shared" ref="S579:S642" si="143">IF(AND(Q579=1,R579=1),1,0)</f>
        <v>1</v>
      </c>
      <c r="T579" s="1">
        <f t="shared" ref="T579:T642" si="144">IF(N579&lt;=2,1,0)</f>
        <v>1</v>
      </c>
      <c r="U579" s="26">
        <f t="shared" ref="U579:U642" si="145">IF(AND(N579&gt;=1,N579&lt;=3),1,0)</f>
        <v>1</v>
      </c>
      <c r="V579" s="26">
        <f t="shared" ref="V579:V642" si="146">IF(AND(N579&gt;=2,N579&lt;=5),1,0)</f>
        <v>1</v>
      </c>
      <c r="W579" s="1">
        <f t="shared" ref="W579:W642" si="147">IF(O579&lt;=2,1,0)</f>
        <v>1</v>
      </c>
      <c r="X579" s="26">
        <f t="shared" ref="X579:X642" si="148">IF(AND(O579&gt;=1,O579&lt;=3),1,0)</f>
        <v>0</v>
      </c>
      <c r="Y579" s="26">
        <f t="shared" ref="Y579:Y642" si="149">IF(AND(O579&gt;=2,O579&lt;=5),1,0)</f>
        <v>0</v>
      </c>
      <c r="Z579" s="1">
        <f t="shared" ref="Z579:Z642" si="150">IF(P579&gt;=2,1,0)</f>
        <v>1</v>
      </c>
      <c r="AA579"/>
      <c r="AB579"/>
    </row>
    <row r="580" spans="1:28" x14ac:dyDescent="0.55000000000000004">
      <c r="A580" s="1">
        <f t="shared" si="137"/>
        <v>580</v>
      </c>
      <c r="B580" t="s">
        <v>33</v>
      </c>
      <c r="C580" t="s">
        <v>132</v>
      </c>
      <c r="D580" t="s">
        <v>174</v>
      </c>
      <c r="E580" t="s">
        <v>1165</v>
      </c>
      <c r="F580" t="s">
        <v>290</v>
      </c>
      <c r="G580" t="s">
        <v>296</v>
      </c>
      <c r="H580" t="s">
        <v>708</v>
      </c>
      <c r="I580" t="s">
        <v>281</v>
      </c>
      <c r="J580" t="s">
        <v>1197</v>
      </c>
      <c r="K580" t="s">
        <v>297</v>
      </c>
      <c r="L580" t="s">
        <v>1183</v>
      </c>
      <c r="M580" t="s">
        <v>28</v>
      </c>
      <c r="N580" s="1">
        <f t="shared" si="138"/>
        <v>0</v>
      </c>
      <c r="O580" s="1">
        <f t="shared" si="139"/>
        <v>0</v>
      </c>
      <c r="P580" s="1">
        <f t="shared" si="140"/>
        <v>0</v>
      </c>
      <c r="Q580" s="1">
        <f t="shared" si="141"/>
        <v>0</v>
      </c>
      <c r="R580" s="1">
        <f t="shared" si="142"/>
        <v>1</v>
      </c>
      <c r="S580" s="1">
        <f t="shared" si="143"/>
        <v>0</v>
      </c>
      <c r="T580" s="1">
        <f t="shared" si="144"/>
        <v>1</v>
      </c>
      <c r="U580" s="26">
        <f t="shared" si="145"/>
        <v>0</v>
      </c>
      <c r="V580" s="26">
        <f t="shared" si="146"/>
        <v>0</v>
      </c>
      <c r="W580" s="1">
        <f t="shared" si="147"/>
        <v>1</v>
      </c>
      <c r="X580" s="26">
        <f t="shared" si="148"/>
        <v>0</v>
      </c>
      <c r="Y580" s="26">
        <f t="shared" si="149"/>
        <v>0</v>
      </c>
      <c r="Z580" s="1">
        <f t="shared" si="150"/>
        <v>0</v>
      </c>
      <c r="AA580"/>
      <c r="AB580"/>
    </row>
    <row r="581" spans="1:28" x14ac:dyDescent="0.55000000000000004">
      <c r="A581" s="1">
        <f t="shared" si="137"/>
        <v>581</v>
      </c>
      <c r="B581" t="s">
        <v>33</v>
      </c>
      <c r="C581" t="s">
        <v>132</v>
      </c>
      <c r="D581" t="s">
        <v>174</v>
      </c>
      <c r="E581" t="s">
        <v>1165</v>
      </c>
      <c r="F581" t="s">
        <v>290</v>
      </c>
      <c r="G581" t="s">
        <v>287</v>
      </c>
      <c r="H581" t="s">
        <v>590</v>
      </c>
      <c r="I581" t="s">
        <v>367</v>
      </c>
      <c r="J581" t="s">
        <v>1198</v>
      </c>
      <c r="K581" t="s">
        <v>289</v>
      </c>
      <c r="L581" t="s">
        <v>1199</v>
      </c>
      <c r="M581" t="s">
        <v>28</v>
      </c>
      <c r="N581" s="1">
        <f t="shared" si="138"/>
        <v>0</v>
      </c>
      <c r="O581" s="1">
        <f t="shared" si="139"/>
        <v>1</v>
      </c>
      <c r="P581" s="1">
        <f t="shared" si="140"/>
        <v>1</v>
      </c>
      <c r="Q581" s="1">
        <f t="shared" si="141"/>
        <v>1</v>
      </c>
      <c r="R581" s="1">
        <f t="shared" si="142"/>
        <v>1</v>
      </c>
      <c r="S581" s="1">
        <f t="shared" si="143"/>
        <v>1</v>
      </c>
      <c r="T581" s="1">
        <f t="shared" si="144"/>
        <v>1</v>
      </c>
      <c r="U581" s="26">
        <f t="shared" si="145"/>
        <v>0</v>
      </c>
      <c r="V581" s="26">
        <f t="shared" si="146"/>
        <v>0</v>
      </c>
      <c r="W581" s="1">
        <f t="shared" si="147"/>
        <v>1</v>
      </c>
      <c r="X581" s="26">
        <f t="shared" si="148"/>
        <v>1</v>
      </c>
      <c r="Y581" s="26">
        <f t="shared" si="149"/>
        <v>0</v>
      </c>
      <c r="Z581" s="1">
        <f t="shared" si="150"/>
        <v>0</v>
      </c>
      <c r="AA581"/>
      <c r="AB581"/>
    </row>
    <row r="582" spans="1:28" x14ac:dyDescent="0.55000000000000004">
      <c r="A582" s="1">
        <f t="shared" si="137"/>
        <v>582</v>
      </c>
      <c r="B582" t="s">
        <v>33</v>
      </c>
      <c r="C582" t="s">
        <v>132</v>
      </c>
      <c r="D582" t="s">
        <v>174</v>
      </c>
      <c r="E582" t="s">
        <v>1165</v>
      </c>
      <c r="F582" t="s">
        <v>290</v>
      </c>
      <c r="G582" t="s">
        <v>365</v>
      </c>
      <c r="H582" t="s">
        <v>739</v>
      </c>
      <c r="I582" t="s">
        <v>299</v>
      </c>
      <c r="J582" t="s">
        <v>1200</v>
      </c>
      <c r="K582" t="s">
        <v>369</v>
      </c>
      <c r="L582" t="s">
        <v>804</v>
      </c>
      <c r="M582" t="s">
        <v>28</v>
      </c>
      <c r="N582" s="1">
        <f t="shared" si="138"/>
        <v>0</v>
      </c>
      <c r="O582" s="1">
        <f t="shared" si="139"/>
        <v>3</v>
      </c>
      <c r="P582" s="1">
        <f t="shared" si="140"/>
        <v>3</v>
      </c>
      <c r="Q582" s="1">
        <f t="shared" si="141"/>
        <v>1</v>
      </c>
      <c r="R582" s="1">
        <f t="shared" si="142"/>
        <v>1</v>
      </c>
      <c r="S582" s="1">
        <f t="shared" si="143"/>
        <v>1</v>
      </c>
      <c r="T582" s="1">
        <f t="shared" si="144"/>
        <v>1</v>
      </c>
      <c r="U582" s="26">
        <f t="shared" si="145"/>
        <v>0</v>
      </c>
      <c r="V582" s="26">
        <f t="shared" si="146"/>
        <v>0</v>
      </c>
      <c r="W582" s="1">
        <f t="shared" si="147"/>
        <v>0</v>
      </c>
      <c r="X582" s="26">
        <f t="shared" si="148"/>
        <v>1</v>
      </c>
      <c r="Y582" s="26">
        <f t="shared" si="149"/>
        <v>1</v>
      </c>
      <c r="Z582" s="1">
        <f t="shared" si="150"/>
        <v>1</v>
      </c>
      <c r="AA582"/>
      <c r="AB582"/>
    </row>
    <row r="583" spans="1:28" x14ac:dyDescent="0.55000000000000004">
      <c r="A583" s="1">
        <f t="shared" si="137"/>
        <v>583</v>
      </c>
      <c r="B583" t="s">
        <v>37</v>
      </c>
      <c r="C583" t="s">
        <v>115</v>
      </c>
      <c r="D583" t="s">
        <v>174</v>
      </c>
      <c r="E583" t="s">
        <v>1165</v>
      </c>
      <c r="F583" t="s">
        <v>315</v>
      </c>
      <c r="G583" t="s">
        <v>328</v>
      </c>
      <c r="H583" t="s">
        <v>581</v>
      </c>
      <c r="I583" t="s">
        <v>324</v>
      </c>
      <c r="J583" t="s">
        <v>1278</v>
      </c>
      <c r="K583" t="s">
        <v>329</v>
      </c>
      <c r="L583" t="s">
        <v>861</v>
      </c>
      <c r="M583" t="s">
        <v>28</v>
      </c>
      <c r="N583" s="1">
        <f t="shared" si="138"/>
        <v>1</v>
      </c>
      <c r="O583" s="1">
        <f t="shared" si="139"/>
        <v>2</v>
      </c>
      <c r="P583" s="1">
        <f t="shared" si="140"/>
        <v>3</v>
      </c>
      <c r="Q583" s="1">
        <f t="shared" si="141"/>
        <v>1</v>
      </c>
      <c r="R583" s="1">
        <f t="shared" si="142"/>
        <v>1</v>
      </c>
      <c r="S583" s="1">
        <f t="shared" si="143"/>
        <v>1</v>
      </c>
      <c r="T583" s="1">
        <f t="shared" si="144"/>
        <v>1</v>
      </c>
      <c r="U583" s="26">
        <f t="shared" si="145"/>
        <v>1</v>
      </c>
      <c r="V583" s="26">
        <f t="shared" si="146"/>
        <v>0</v>
      </c>
      <c r="W583" s="1">
        <f t="shared" si="147"/>
        <v>1</v>
      </c>
      <c r="X583" s="26">
        <f t="shared" si="148"/>
        <v>1</v>
      </c>
      <c r="Y583" s="26">
        <f t="shared" si="149"/>
        <v>1</v>
      </c>
      <c r="Z583" s="1">
        <f t="shared" si="150"/>
        <v>1</v>
      </c>
      <c r="AA583"/>
      <c r="AB583"/>
    </row>
    <row r="584" spans="1:28" x14ac:dyDescent="0.55000000000000004">
      <c r="A584" s="1">
        <f t="shared" si="137"/>
        <v>584</v>
      </c>
      <c r="B584" t="s">
        <v>37</v>
      </c>
      <c r="C584" t="s">
        <v>115</v>
      </c>
      <c r="D584" t="s">
        <v>174</v>
      </c>
      <c r="E584" t="s">
        <v>1165</v>
      </c>
      <c r="F584" t="s">
        <v>315</v>
      </c>
      <c r="G584" t="s">
        <v>313</v>
      </c>
      <c r="H584" t="s">
        <v>579</v>
      </c>
      <c r="I584" t="s">
        <v>326</v>
      </c>
      <c r="J584" t="s">
        <v>1279</v>
      </c>
      <c r="K584" t="s">
        <v>317</v>
      </c>
      <c r="L584" t="s">
        <v>1280</v>
      </c>
      <c r="M584" t="s">
        <v>28</v>
      </c>
      <c r="N584" s="1">
        <f t="shared" si="138"/>
        <v>2</v>
      </c>
      <c r="O584" s="1">
        <f t="shared" si="139"/>
        <v>1</v>
      </c>
      <c r="P584" s="1">
        <f t="shared" si="140"/>
        <v>3</v>
      </c>
      <c r="Q584" s="1">
        <f t="shared" si="141"/>
        <v>1</v>
      </c>
      <c r="R584" s="1">
        <f t="shared" si="142"/>
        <v>1</v>
      </c>
      <c r="S584" s="1">
        <f t="shared" si="143"/>
        <v>1</v>
      </c>
      <c r="T584" s="1">
        <f t="shared" si="144"/>
        <v>1</v>
      </c>
      <c r="U584" s="26">
        <f t="shared" si="145"/>
        <v>1</v>
      </c>
      <c r="V584" s="26">
        <f t="shared" si="146"/>
        <v>1</v>
      </c>
      <c r="W584" s="1">
        <f t="shared" si="147"/>
        <v>1</v>
      </c>
      <c r="X584" s="26">
        <f t="shared" si="148"/>
        <v>1</v>
      </c>
      <c r="Y584" s="26">
        <f t="shared" si="149"/>
        <v>0</v>
      </c>
      <c r="Z584" s="1">
        <f t="shared" si="150"/>
        <v>1</v>
      </c>
      <c r="AA584"/>
      <c r="AB584"/>
    </row>
    <row r="585" spans="1:28" x14ac:dyDescent="0.55000000000000004">
      <c r="A585" s="1">
        <f t="shared" si="137"/>
        <v>585</v>
      </c>
      <c r="B585" t="s">
        <v>37</v>
      </c>
      <c r="C585" t="s">
        <v>115</v>
      </c>
      <c r="D585" t="s">
        <v>174</v>
      </c>
      <c r="E585" t="s">
        <v>1165</v>
      </c>
      <c r="F585" t="s">
        <v>315</v>
      </c>
      <c r="G585" t="s">
        <v>318</v>
      </c>
      <c r="H585" t="s">
        <v>577</v>
      </c>
      <c r="I585" t="s">
        <v>312</v>
      </c>
      <c r="J585" t="s">
        <v>1281</v>
      </c>
      <c r="K585" t="s">
        <v>320</v>
      </c>
      <c r="L585" t="s">
        <v>1242</v>
      </c>
      <c r="M585" t="s">
        <v>28</v>
      </c>
      <c r="N585" s="1">
        <f t="shared" si="138"/>
        <v>1</v>
      </c>
      <c r="O585" s="1">
        <f t="shared" si="139"/>
        <v>3</v>
      </c>
      <c r="P585" s="1">
        <f t="shared" si="140"/>
        <v>4</v>
      </c>
      <c r="Q585" s="1">
        <f t="shared" si="141"/>
        <v>1</v>
      </c>
      <c r="R585" s="1">
        <f t="shared" si="142"/>
        <v>1</v>
      </c>
      <c r="S585" s="1">
        <f t="shared" si="143"/>
        <v>1</v>
      </c>
      <c r="T585" s="1">
        <f t="shared" si="144"/>
        <v>1</v>
      </c>
      <c r="U585" s="26">
        <f t="shared" si="145"/>
        <v>1</v>
      </c>
      <c r="V585" s="26">
        <f t="shared" si="146"/>
        <v>0</v>
      </c>
      <c r="W585" s="1">
        <f t="shared" si="147"/>
        <v>0</v>
      </c>
      <c r="X585" s="26">
        <f t="shared" si="148"/>
        <v>1</v>
      </c>
      <c r="Y585" s="26">
        <f t="shared" si="149"/>
        <v>1</v>
      </c>
      <c r="Z585" s="1">
        <f t="shared" si="150"/>
        <v>1</v>
      </c>
      <c r="AA585"/>
      <c r="AB585"/>
    </row>
    <row r="586" spans="1:28" x14ac:dyDescent="0.55000000000000004">
      <c r="A586" s="1">
        <f t="shared" si="137"/>
        <v>586</v>
      </c>
      <c r="B586" t="s">
        <v>37</v>
      </c>
      <c r="C586" t="s">
        <v>115</v>
      </c>
      <c r="D586" t="s">
        <v>174</v>
      </c>
      <c r="E586" t="s">
        <v>1165</v>
      </c>
      <c r="F586" t="s">
        <v>311</v>
      </c>
      <c r="G586" t="s">
        <v>319</v>
      </c>
      <c r="H586" t="s">
        <v>579</v>
      </c>
      <c r="I586" t="s">
        <v>322</v>
      </c>
      <c r="J586" t="s">
        <v>1282</v>
      </c>
      <c r="K586" t="s">
        <v>330</v>
      </c>
      <c r="L586" t="s">
        <v>866</v>
      </c>
      <c r="M586" t="s">
        <v>28</v>
      </c>
      <c r="N586" s="1">
        <f t="shared" si="138"/>
        <v>2</v>
      </c>
      <c r="O586" s="1">
        <f t="shared" si="139"/>
        <v>1</v>
      </c>
      <c r="P586" s="1">
        <f t="shared" si="140"/>
        <v>3</v>
      </c>
      <c r="Q586" s="1">
        <f t="shared" si="141"/>
        <v>1</v>
      </c>
      <c r="R586" s="1">
        <f t="shared" si="142"/>
        <v>1</v>
      </c>
      <c r="S586" s="1">
        <f t="shared" si="143"/>
        <v>1</v>
      </c>
      <c r="T586" s="1">
        <f t="shared" si="144"/>
        <v>1</v>
      </c>
      <c r="U586" s="26">
        <f t="shared" si="145"/>
        <v>1</v>
      </c>
      <c r="V586" s="26">
        <f t="shared" si="146"/>
        <v>1</v>
      </c>
      <c r="W586" s="1">
        <f t="shared" si="147"/>
        <v>1</v>
      </c>
      <c r="X586" s="26">
        <f t="shared" si="148"/>
        <v>1</v>
      </c>
      <c r="Y586" s="26">
        <f t="shared" si="149"/>
        <v>0</v>
      </c>
      <c r="Z586" s="1">
        <f t="shared" si="150"/>
        <v>1</v>
      </c>
      <c r="AA586"/>
      <c r="AB586"/>
    </row>
    <row r="587" spans="1:28" x14ac:dyDescent="0.55000000000000004">
      <c r="A587" s="1">
        <f t="shared" si="137"/>
        <v>587</v>
      </c>
      <c r="B587" t="s">
        <v>30</v>
      </c>
      <c r="C587" t="s">
        <v>198</v>
      </c>
      <c r="D587" t="s">
        <v>133</v>
      </c>
      <c r="E587" t="s">
        <v>1711</v>
      </c>
      <c r="F587" t="s">
        <v>346</v>
      </c>
      <c r="G587" t="s">
        <v>57</v>
      </c>
      <c r="H587" t="s">
        <v>608</v>
      </c>
      <c r="I587" t="s">
        <v>64</v>
      </c>
      <c r="J587" t="s">
        <v>1712</v>
      </c>
      <c r="K587" t="s">
        <v>59</v>
      </c>
      <c r="L587" t="s">
        <v>759</v>
      </c>
      <c r="M587" t="s">
        <v>28</v>
      </c>
      <c r="N587" s="1">
        <f t="shared" si="138"/>
        <v>1</v>
      </c>
      <c r="O587" s="1">
        <f t="shared" si="139"/>
        <v>1</v>
      </c>
      <c r="P587" s="1">
        <f t="shared" si="140"/>
        <v>2</v>
      </c>
      <c r="Q587" s="1">
        <f t="shared" si="141"/>
        <v>0</v>
      </c>
      <c r="R587" s="1">
        <f t="shared" si="142"/>
        <v>1</v>
      </c>
      <c r="S587" s="1">
        <f t="shared" si="143"/>
        <v>0</v>
      </c>
      <c r="T587" s="1">
        <f t="shared" si="144"/>
        <v>1</v>
      </c>
      <c r="U587" s="26">
        <f t="shared" si="145"/>
        <v>1</v>
      </c>
      <c r="V587" s="26">
        <f t="shared" si="146"/>
        <v>0</v>
      </c>
      <c r="W587" s="1">
        <f t="shared" si="147"/>
        <v>1</v>
      </c>
      <c r="X587" s="26">
        <f t="shared" si="148"/>
        <v>1</v>
      </c>
      <c r="Y587" s="26">
        <f t="shared" si="149"/>
        <v>0</v>
      </c>
      <c r="Z587" s="1">
        <f t="shared" si="150"/>
        <v>1</v>
      </c>
      <c r="AA587"/>
      <c r="AB587"/>
    </row>
    <row r="588" spans="1:28" x14ac:dyDescent="0.55000000000000004">
      <c r="A588" s="1">
        <f t="shared" si="137"/>
        <v>588</v>
      </c>
      <c r="B588" t="s">
        <v>30</v>
      </c>
      <c r="C588" t="s">
        <v>198</v>
      </c>
      <c r="D588" t="s">
        <v>133</v>
      </c>
      <c r="E588" t="s">
        <v>1711</v>
      </c>
      <c r="F588" t="s">
        <v>346</v>
      </c>
      <c r="G588" t="s">
        <v>55</v>
      </c>
      <c r="H588" t="s">
        <v>722</v>
      </c>
      <c r="I588" t="s">
        <v>51</v>
      </c>
      <c r="J588" t="s">
        <v>605</v>
      </c>
      <c r="K588" t="s">
        <v>75</v>
      </c>
      <c r="L588" t="s">
        <v>767</v>
      </c>
      <c r="M588" t="s">
        <v>28</v>
      </c>
      <c r="N588" s="1">
        <f t="shared" si="138"/>
        <v>3</v>
      </c>
      <c r="O588" s="1">
        <f t="shared" si="139"/>
        <v>0</v>
      </c>
      <c r="P588" s="1">
        <f t="shared" si="140"/>
        <v>3</v>
      </c>
      <c r="Q588" s="1">
        <f t="shared" si="141"/>
        <v>1</v>
      </c>
      <c r="R588" s="1">
        <f t="shared" si="142"/>
        <v>1</v>
      </c>
      <c r="S588" s="1">
        <f t="shared" si="143"/>
        <v>1</v>
      </c>
      <c r="T588" s="1">
        <f t="shared" si="144"/>
        <v>0</v>
      </c>
      <c r="U588" s="26">
        <f t="shared" si="145"/>
        <v>1</v>
      </c>
      <c r="V588" s="26">
        <f t="shared" si="146"/>
        <v>1</v>
      </c>
      <c r="W588" s="1">
        <f t="shared" si="147"/>
        <v>1</v>
      </c>
      <c r="X588" s="26">
        <f t="shared" si="148"/>
        <v>0</v>
      </c>
      <c r="Y588" s="26">
        <f t="shared" si="149"/>
        <v>0</v>
      </c>
      <c r="Z588" s="1">
        <f t="shared" si="150"/>
        <v>1</v>
      </c>
      <c r="AA588"/>
      <c r="AB588"/>
    </row>
    <row r="589" spans="1:28" x14ac:dyDescent="0.55000000000000004">
      <c r="A589" s="1">
        <f t="shared" si="137"/>
        <v>589</v>
      </c>
      <c r="B589" t="s">
        <v>30</v>
      </c>
      <c r="C589" t="s">
        <v>198</v>
      </c>
      <c r="D589" t="s">
        <v>133</v>
      </c>
      <c r="E589" t="s">
        <v>1711</v>
      </c>
      <c r="F589" t="s">
        <v>346</v>
      </c>
      <c r="G589" t="s">
        <v>48</v>
      </c>
      <c r="H589" t="s">
        <v>817</v>
      </c>
      <c r="I589" t="s">
        <v>54</v>
      </c>
      <c r="J589" t="s">
        <v>1713</v>
      </c>
      <c r="K589" t="s">
        <v>50</v>
      </c>
      <c r="L589" t="s">
        <v>774</v>
      </c>
      <c r="M589" t="s">
        <v>28</v>
      </c>
      <c r="N589" s="1">
        <f t="shared" si="138"/>
        <v>4</v>
      </c>
      <c r="O589" s="1">
        <f t="shared" si="139"/>
        <v>1</v>
      </c>
      <c r="P589" s="1">
        <f t="shared" si="140"/>
        <v>5</v>
      </c>
      <c r="Q589" s="1">
        <f t="shared" si="141"/>
        <v>1</v>
      </c>
      <c r="R589" s="1">
        <f t="shared" si="142"/>
        <v>0</v>
      </c>
      <c r="S589" s="1">
        <f t="shared" si="143"/>
        <v>0</v>
      </c>
      <c r="T589" s="1">
        <f t="shared" si="144"/>
        <v>0</v>
      </c>
      <c r="U589" s="26">
        <f t="shared" si="145"/>
        <v>0</v>
      </c>
      <c r="V589" s="26">
        <f t="shared" si="146"/>
        <v>1</v>
      </c>
      <c r="W589" s="1">
        <f t="shared" si="147"/>
        <v>1</v>
      </c>
      <c r="X589" s="26">
        <f t="shared" si="148"/>
        <v>1</v>
      </c>
      <c r="Y589" s="26">
        <f t="shared" si="149"/>
        <v>0</v>
      </c>
      <c r="Z589" s="1">
        <f t="shared" si="150"/>
        <v>1</v>
      </c>
      <c r="AA589"/>
      <c r="AB589"/>
    </row>
    <row r="590" spans="1:28" x14ac:dyDescent="0.55000000000000004">
      <c r="A590" s="1">
        <f t="shared" si="137"/>
        <v>590</v>
      </c>
      <c r="B590" t="s">
        <v>30</v>
      </c>
      <c r="C590" t="s">
        <v>198</v>
      </c>
      <c r="D590" t="s">
        <v>133</v>
      </c>
      <c r="E590" t="s">
        <v>1711</v>
      </c>
      <c r="F590" t="s">
        <v>346</v>
      </c>
      <c r="G590" t="s">
        <v>58</v>
      </c>
      <c r="H590" t="s">
        <v>1714</v>
      </c>
      <c r="I590" t="s">
        <v>60</v>
      </c>
      <c r="J590" t="s">
        <v>1715</v>
      </c>
      <c r="K590" t="s">
        <v>71</v>
      </c>
      <c r="L590" t="s">
        <v>777</v>
      </c>
      <c r="M590" t="s">
        <v>28</v>
      </c>
      <c r="N590" s="1">
        <f t="shared" si="138"/>
        <v>8</v>
      </c>
      <c r="O590" s="1">
        <f t="shared" si="139"/>
        <v>1</v>
      </c>
      <c r="P590" s="1">
        <f t="shared" si="140"/>
        <v>9</v>
      </c>
      <c r="Q590" s="1">
        <f t="shared" si="141"/>
        <v>1</v>
      </c>
      <c r="R590" s="1">
        <f t="shared" si="142"/>
        <v>0</v>
      </c>
      <c r="S590" s="1">
        <f t="shared" si="143"/>
        <v>0</v>
      </c>
      <c r="T590" s="1">
        <f t="shared" si="144"/>
        <v>0</v>
      </c>
      <c r="U590" s="26">
        <f t="shared" si="145"/>
        <v>0</v>
      </c>
      <c r="V590" s="26">
        <f t="shared" si="146"/>
        <v>0</v>
      </c>
      <c r="W590" s="1">
        <f t="shared" si="147"/>
        <v>1</v>
      </c>
      <c r="X590" s="26">
        <f t="shared" si="148"/>
        <v>1</v>
      </c>
      <c r="Y590" s="26">
        <f t="shared" si="149"/>
        <v>0</v>
      </c>
      <c r="Z590" s="1">
        <f t="shared" si="150"/>
        <v>1</v>
      </c>
      <c r="AA590"/>
      <c r="AB590"/>
    </row>
    <row r="591" spans="1:28" x14ac:dyDescent="0.55000000000000004">
      <c r="A591" s="1">
        <f t="shared" si="137"/>
        <v>591</v>
      </c>
      <c r="B591" t="s">
        <v>33</v>
      </c>
      <c r="C591" t="s">
        <v>132</v>
      </c>
      <c r="D591" t="s">
        <v>133</v>
      </c>
      <c r="E591" t="s">
        <v>1711</v>
      </c>
      <c r="F591" t="s">
        <v>364</v>
      </c>
      <c r="G591" t="s">
        <v>279</v>
      </c>
      <c r="H591" t="s">
        <v>579</v>
      </c>
      <c r="I591" t="s">
        <v>278</v>
      </c>
      <c r="J591" t="s">
        <v>1766</v>
      </c>
      <c r="K591" t="s">
        <v>294</v>
      </c>
      <c r="L591" t="s">
        <v>1434</v>
      </c>
      <c r="M591" t="s">
        <v>28</v>
      </c>
      <c r="N591" s="1">
        <f t="shared" si="138"/>
        <v>2</v>
      </c>
      <c r="O591" s="1">
        <f t="shared" si="139"/>
        <v>1</v>
      </c>
      <c r="P591" s="1">
        <f t="shared" si="140"/>
        <v>3</v>
      </c>
      <c r="Q591" s="1">
        <f t="shared" si="141"/>
        <v>1</v>
      </c>
      <c r="R591" s="1">
        <f t="shared" si="142"/>
        <v>1</v>
      </c>
      <c r="S591" s="1">
        <f t="shared" si="143"/>
        <v>1</v>
      </c>
      <c r="T591" s="1">
        <f t="shared" si="144"/>
        <v>1</v>
      </c>
      <c r="U591" s="26">
        <f t="shared" si="145"/>
        <v>1</v>
      </c>
      <c r="V591" s="26">
        <f t="shared" si="146"/>
        <v>1</v>
      </c>
      <c r="W591" s="1">
        <f t="shared" si="147"/>
        <v>1</v>
      </c>
      <c r="X591" s="26">
        <f t="shared" si="148"/>
        <v>1</v>
      </c>
      <c r="Y591" s="26">
        <f t="shared" si="149"/>
        <v>0</v>
      </c>
      <c r="Z591" s="1">
        <f t="shared" si="150"/>
        <v>1</v>
      </c>
      <c r="AA591"/>
      <c r="AB591"/>
    </row>
    <row r="592" spans="1:28" x14ac:dyDescent="0.55000000000000004">
      <c r="A592" s="1">
        <f t="shared" si="137"/>
        <v>592</v>
      </c>
      <c r="B592" t="s">
        <v>33</v>
      </c>
      <c r="C592" t="s">
        <v>132</v>
      </c>
      <c r="D592" t="s">
        <v>133</v>
      </c>
      <c r="E592" t="s">
        <v>1711</v>
      </c>
      <c r="F592" t="s">
        <v>290</v>
      </c>
      <c r="G592" t="s">
        <v>360</v>
      </c>
      <c r="H592" t="s">
        <v>570</v>
      </c>
      <c r="I592" t="s">
        <v>362</v>
      </c>
      <c r="J592" t="s">
        <v>1767</v>
      </c>
      <c r="K592" t="s">
        <v>371</v>
      </c>
      <c r="L592" t="s">
        <v>1203</v>
      </c>
      <c r="M592" t="s">
        <v>28</v>
      </c>
      <c r="N592" s="1">
        <f t="shared" si="138"/>
        <v>3</v>
      </c>
      <c r="O592" s="1">
        <f t="shared" si="139"/>
        <v>1</v>
      </c>
      <c r="P592" s="1">
        <f t="shared" si="140"/>
        <v>4</v>
      </c>
      <c r="Q592" s="1">
        <f t="shared" si="141"/>
        <v>1</v>
      </c>
      <c r="R592" s="1">
        <f t="shared" si="142"/>
        <v>1</v>
      </c>
      <c r="S592" s="1">
        <f t="shared" si="143"/>
        <v>1</v>
      </c>
      <c r="T592" s="1">
        <f t="shared" si="144"/>
        <v>0</v>
      </c>
      <c r="U592" s="26">
        <f t="shared" si="145"/>
        <v>1</v>
      </c>
      <c r="V592" s="26">
        <f t="shared" si="146"/>
        <v>1</v>
      </c>
      <c r="W592" s="1">
        <f t="shared" si="147"/>
        <v>1</v>
      </c>
      <c r="X592" s="26">
        <f t="shared" si="148"/>
        <v>1</v>
      </c>
      <c r="Y592" s="26">
        <f t="shared" si="149"/>
        <v>0</v>
      </c>
      <c r="Z592" s="1">
        <f t="shared" si="150"/>
        <v>1</v>
      </c>
      <c r="AA592"/>
      <c r="AB592"/>
    </row>
    <row r="593" spans="1:28" x14ac:dyDescent="0.55000000000000004">
      <c r="A593" s="1">
        <f t="shared" si="137"/>
        <v>593</v>
      </c>
      <c r="B593" t="s">
        <v>35</v>
      </c>
      <c r="C593" t="s">
        <v>200</v>
      </c>
      <c r="D593" t="s">
        <v>133</v>
      </c>
      <c r="E593" t="s">
        <v>1711</v>
      </c>
      <c r="F593" t="s">
        <v>380</v>
      </c>
      <c r="G593" t="s">
        <v>204</v>
      </c>
      <c r="H593" t="s">
        <v>722</v>
      </c>
      <c r="I593" t="s">
        <v>306</v>
      </c>
      <c r="J593" t="s">
        <v>1811</v>
      </c>
      <c r="K593" t="s">
        <v>206</v>
      </c>
      <c r="L593" t="s">
        <v>833</v>
      </c>
      <c r="M593" t="s">
        <v>28</v>
      </c>
      <c r="N593" s="1">
        <f t="shared" si="138"/>
        <v>3</v>
      </c>
      <c r="O593" s="1">
        <f t="shared" si="139"/>
        <v>0</v>
      </c>
      <c r="P593" s="1">
        <f t="shared" si="140"/>
        <v>3</v>
      </c>
      <c r="Q593" s="1">
        <f t="shared" si="141"/>
        <v>1</v>
      </c>
      <c r="R593" s="1">
        <f t="shared" si="142"/>
        <v>1</v>
      </c>
      <c r="S593" s="1">
        <f t="shared" si="143"/>
        <v>1</v>
      </c>
      <c r="T593" s="1">
        <f t="shared" si="144"/>
        <v>0</v>
      </c>
      <c r="U593" s="26">
        <f t="shared" si="145"/>
        <v>1</v>
      </c>
      <c r="V593" s="26">
        <f t="shared" si="146"/>
        <v>1</v>
      </c>
      <c r="W593" s="1">
        <f t="shared" si="147"/>
        <v>1</v>
      </c>
      <c r="X593" s="26">
        <f t="shared" si="148"/>
        <v>0</v>
      </c>
      <c r="Y593" s="26">
        <f t="shared" si="149"/>
        <v>0</v>
      </c>
      <c r="Z593" s="1">
        <f t="shared" si="150"/>
        <v>1</v>
      </c>
      <c r="AA593"/>
      <c r="AB593"/>
    </row>
    <row r="594" spans="1:28" x14ac:dyDescent="0.55000000000000004">
      <c r="A594" s="1">
        <f t="shared" si="137"/>
        <v>594</v>
      </c>
      <c r="B594" t="s">
        <v>35</v>
      </c>
      <c r="C594" t="s">
        <v>200</v>
      </c>
      <c r="D594" t="s">
        <v>133</v>
      </c>
      <c r="E594" t="s">
        <v>1711</v>
      </c>
      <c r="F594" t="s">
        <v>376</v>
      </c>
      <c r="G594" t="s">
        <v>303</v>
      </c>
      <c r="H594" t="s">
        <v>708</v>
      </c>
      <c r="I594" t="s">
        <v>210</v>
      </c>
      <c r="J594" t="s">
        <v>1812</v>
      </c>
      <c r="K594" t="s">
        <v>305</v>
      </c>
      <c r="L594" t="s">
        <v>843</v>
      </c>
      <c r="M594" t="s">
        <v>28</v>
      </c>
      <c r="N594" s="1">
        <f t="shared" si="138"/>
        <v>0</v>
      </c>
      <c r="O594" s="1">
        <f t="shared" si="139"/>
        <v>0</v>
      </c>
      <c r="P594" s="1">
        <f t="shared" si="140"/>
        <v>0</v>
      </c>
      <c r="Q594" s="1">
        <f t="shared" si="141"/>
        <v>0</v>
      </c>
      <c r="R594" s="1">
        <f t="shared" si="142"/>
        <v>1</v>
      </c>
      <c r="S594" s="1">
        <f t="shared" si="143"/>
        <v>0</v>
      </c>
      <c r="T594" s="1">
        <f t="shared" si="144"/>
        <v>1</v>
      </c>
      <c r="U594" s="26">
        <f t="shared" si="145"/>
        <v>0</v>
      </c>
      <c r="V594" s="26">
        <f t="shared" si="146"/>
        <v>0</v>
      </c>
      <c r="W594" s="1">
        <f t="shared" si="147"/>
        <v>1</v>
      </c>
      <c r="X594" s="26">
        <f t="shared" si="148"/>
        <v>0</v>
      </c>
      <c r="Y594" s="26">
        <f t="shared" si="149"/>
        <v>0</v>
      </c>
      <c r="Z594" s="1">
        <f t="shared" si="150"/>
        <v>0</v>
      </c>
      <c r="AA594"/>
      <c r="AB594"/>
    </row>
    <row r="595" spans="1:28" x14ac:dyDescent="0.55000000000000004">
      <c r="A595" s="1">
        <f t="shared" si="137"/>
        <v>595</v>
      </c>
      <c r="B595" t="s">
        <v>35</v>
      </c>
      <c r="C595" t="s">
        <v>200</v>
      </c>
      <c r="D595" t="s">
        <v>133</v>
      </c>
      <c r="E595" t="s">
        <v>1711</v>
      </c>
      <c r="F595" t="s">
        <v>375</v>
      </c>
      <c r="G595" t="s">
        <v>208</v>
      </c>
      <c r="H595" t="s">
        <v>683</v>
      </c>
      <c r="I595" t="s">
        <v>384</v>
      </c>
      <c r="J595" t="s">
        <v>1229</v>
      </c>
      <c r="K595" t="s">
        <v>381</v>
      </c>
      <c r="L595" t="s">
        <v>580</v>
      </c>
      <c r="M595" t="s">
        <v>28</v>
      </c>
      <c r="N595" s="1">
        <f t="shared" si="138"/>
        <v>3</v>
      </c>
      <c r="O595" s="1">
        <f t="shared" si="139"/>
        <v>2</v>
      </c>
      <c r="P595" s="1">
        <f t="shared" si="140"/>
        <v>5</v>
      </c>
      <c r="Q595" s="1">
        <f t="shared" si="141"/>
        <v>1</v>
      </c>
      <c r="R595" s="1">
        <f t="shared" si="142"/>
        <v>0</v>
      </c>
      <c r="S595" s="1">
        <f t="shared" si="143"/>
        <v>0</v>
      </c>
      <c r="T595" s="1">
        <f t="shared" si="144"/>
        <v>0</v>
      </c>
      <c r="U595" s="26">
        <f t="shared" si="145"/>
        <v>1</v>
      </c>
      <c r="V595" s="26">
        <f t="shared" si="146"/>
        <v>1</v>
      </c>
      <c r="W595" s="1">
        <f t="shared" si="147"/>
        <v>1</v>
      </c>
      <c r="X595" s="26">
        <f t="shared" si="148"/>
        <v>1</v>
      </c>
      <c r="Y595" s="26">
        <f t="shared" si="149"/>
        <v>1</v>
      </c>
      <c r="Z595" s="1">
        <f t="shared" si="150"/>
        <v>1</v>
      </c>
      <c r="AA595"/>
      <c r="AB595"/>
    </row>
    <row r="596" spans="1:28" x14ac:dyDescent="0.55000000000000004">
      <c r="A596" s="1">
        <f t="shared" si="137"/>
        <v>596</v>
      </c>
      <c r="B596" t="s">
        <v>37</v>
      </c>
      <c r="C596" t="s">
        <v>115</v>
      </c>
      <c r="D596" t="s">
        <v>133</v>
      </c>
      <c r="E596" t="s">
        <v>1711</v>
      </c>
      <c r="F596" t="s">
        <v>315</v>
      </c>
      <c r="G596" t="s">
        <v>316</v>
      </c>
      <c r="H596" t="s">
        <v>573</v>
      </c>
      <c r="I596" t="s">
        <v>321</v>
      </c>
      <c r="J596" t="s">
        <v>1834</v>
      </c>
      <c r="K596" t="s">
        <v>341</v>
      </c>
      <c r="L596" t="s">
        <v>1295</v>
      </c>
      <c r="M596" t="s">
        <v>28</v>
      </c>
      <c r="N596" s="1">
        <f t="shared" si="138"/>
        <v>2</v>
      </c>
      <c r="O596" s="1">
        <f t="shared" si="139"/>
        <v>0</v>
      </c>
      <c r="P596" s="1">
        <f t="shared" si="140"/>
        <v>2</v>
      </c>
      <c r="Q596" s="1">
        <f t="shared" si="141"/>
        <v>1</v>
      </c>
      <c r="R596" s="1">
        <f t="shared" si="142"/>
        <v>1</v>
      </c>
      <c r="S596" s="1">
        <f t="shared" si="143"/>
        <v>1</v>
      </c>
      <c r="T596" s="1">
        <f t="shared" si="144"/>
        <v>1</v>
      </c>
      <c r="U596" s="26">
        <f t="shared" si="145"/>
        <v>1</v>
      </c>
      <c r="V596" s="26">
        <f t="shared" si="146"/>
        <v>1</v>
      </c>
      <c r="W596" s="1">
        <f t="shared" si="147"/>
        <v>1</v>
      </c>
      <c r="X596" s="26">
        <f t="shared" si="148"/>
        <v>0</v>
      </c>
      <c r="Y596" s="26">
        <f t="shared" si="149"/>
        <v>0</v>
      </c>
      <c r="Z596" s="1">
        <f t="shared" si="150"/>
        <v>1</v>
      </c>
      <c r="AA596"/>
      <c r="AB596"/>
    </row>
    <row r="597" spans="1:28" x14ac:dyDescent="0.55000000000000004">
      <c r="A597" s="1">
        <f t="shared" si="137"/>
        <v>597</v>
      </c>
      <c r="B597" t="s">
        <v>39</v>
      </c>
      <c r="C597" t="s">
        <v>84</v>
      </c>
      <c r="D597" t="s">
        <v>133</v>
      </c>
      <c r="E597" t="s">
        <v>1711</v>
      </c>
      <c r="F597" t="s">
        <v>342</v>
      </c>
      <c r="G597" t="s">
        <v>220</v>
      </c>
      <c r="H597" t="s">
        <v>608</v>
      </c>
      <c r="I597" t="s">
        <v>225</v>
      </c>
      <c r="J597" t="s">
        <v>1858</v>
      </c>
      <c r="K597" t="s">
        <v>240</v>
      </c>
      <c r="L597" t="s">
        <v>995</v>
      </c>
      <c r="M597" t="s">
        <v>28</v>
      </c>
      <c r="N597" s="1">
        <f t="shared" si="138"/>
        <v>1</v>
      </c>
      <c r="O597" s="1">
        <f t="shared" si="139"/>
        <v>1</v>
      </c>
      <c r="P597" s="1">
        <f t="shared" si="140"/>
        <v>2</v>
      </c>
      <c r="Q597" s="1">
        <f t="shared" si="141"/>
        <v>0</v>
      </c>
      <c r="R597" s="1">
        <f t="shared" si="142"/>
        <v>1</v>
      </c>
      <c r="S597" s="1">
        <f t="shared" si="143"/>
        <v>0</v>
      </c>
      <c r="T597" s="1">
        <f t="shared" si="144"/>
        <v>1</v>
      </c>
      <c r="U597" s="26">
        <f t="shared" si="145"/>
        <v>1</v>
      </c>
      <c r="V597" s="26">
        <f t="shared" si="146"/>
        <v>0</v>
      </c>
      <c r="W597" s="1">
        <f t="shared" si="147"/>
        <v>1</v>
      </c>
      <c r="X597" s="26">
        <f t="shared" si="148"/>
        <v>1</v>
      </c>
      <c r="Y597" s="26">
        <f t="shared" si="149"/>
        <v>0</v>
      </c>
      <c r="Z597" s="1">
        <f t="shared" si="150"/>
        <v>1</v>
      </c>
      <c r="AA597"/>
      <c r="AB597"/>
    </row>
    <row r="598" spans="1:28" x14ac:dyDescent="0.55000000000000004">
      <c r="A598" s="1">
        <f t="shared" si="137"/>
        <v>598</v>
      </c>
      <c r="B598" t="s">
        <v>39</v>
      </c>
      <c r="C598" t="s">
        <v>84</v>
      </c>
      <c r="D598" t="s">
        <v>133</v>
      </c>
      <c r="E598" t="s">
        <v>1711</v>
      </c>
      <c r="F598" t="s">
        <v>342</v>
      </c>
      <c r="G598" t="s">
        <v>228</v>
      </c>
      <c r="H598" t="s">
        <v>590</v>
      </c>
      <c r="I598" t="s">
        <v>226</v>
      </c>
      <c r="J598" t="s">
        <v>1859</v>
      </c>
      <c r="K598" t="s">
        <v>230</v>
      </c>
      <c r="L598" t="s">
        <v>993</v>
      </c>
      <c r="M598" t="s">
        <v>28</v>
      </c>
      <c r="N598" s="1">
        <f t="shared" si="138"/>
        <v>0</v>
      </c>
      <c r="O598" s="1">
        <f t="shared" si="139"/>
        <v>1</v>
      </c>
      <c r="P598" s="1">
        <f t="shared" si="140"/>
        <v>1</v>
      </c>
      <c r="Q598" s="1">
        <f t="shared" si="141"/>
        <v>1</v>
      </c>
      <c r="R598" s="1">
        <f t="shared" si="142"/>
        <v>1</v>
      </c>
      <c r="S598" s="1">
        <f t="shared" si="143"/>
        <v>1</v>
      </c>
      <c r="T598" s="1">
        <f t="shared" si="144"/>
        <v>1</v>
      </c>
      <c r="U598" s="26">
        <f t="shared" si="145"/>
        <v>0</v>
      </c>
      <c r="V598" s="26">
        <f t="shared" si="146"/>
        <v>0</v>
      </c>
      <c r="W598" s="1">
        <f t="shared" si="147"/>
        <v>1</v>
      </c>
      <c r="X598" s="26">
        <f t="shared" si="148"/>
        <v>1</v>
      </c>
      <c r="Y598" s="26">
        <f t="shared" si="149"/>
        <v>0</v>
      </c>
      <c r="Z598" s="1">
        <f t="shared" si="150"/>
        <v>0</v>
      </c>
      <c r="AA598"/>
      <c r="AB598"/>
    </row>
    <row r="599" spans="1:28" x14ac:dyDescent="0.55000000000000004">
      <c r="A599" s="1">
        <f t="shared" si="137"/>
        <v>599</v>
      </c>
      <c r="B599" t="s">
        <v>39</v>
      </c>
      <c r="C599" t="s">
        <v>84</v>
      </c>
      <c r="D599" t="s">
        <v>133</v>
      </c>
      <c r="E599" t="s">
        <v>1711</v>
      </c>
      <c r="F599" t="s">
        <v>343</v>
      </c>
      <c r="G599" t="s">
        <v>219</v>
      </c>
      <c r="H599" t="s">
        <v>608</v>
      </c>
      <c r="I599" t="s">
        <v>232</v>
      </c>
      <c r="J599" t="s">
        <v>1860</v>
      </c>
      <c r="K599" t="s">
        <v>221</v>
      </c>
      <c r="L599" t="s">
        <v>1012</v>
      </c>
      <c r="M599" t="s">
        <v>28</v>
      </c>
      <c r="N599" s="1">
        <f t="shared" si="138"/>
        <v>1</v>
      </c>
      <c r="O599" s="1">
        <f t="shared" si="139"/>
        <v>1</v>
      </c>
      <c r="P599" s="1">
        <f t="shared" si="140"/>
        <v>2</v>
      </c>
      <c r="Q599" s="1">
        <f t="shared" si="141"/>
        <v>0</v>
      </c>
      <c r="R599" s="1">
        <f t="shared" si="142"/>
        <v>1</v>
      </c>
      <c r="S599" s="1">
        <f t="shared" si="143"/>
        <v>0</v>
      </c>
      <c r="T599" s="1">
        <f t="shared" si="144"/>
        <v>1</v>
      </c>
      <c r="U599" s="26">
        <f t="shared" si="145"/>
        <v>1</v>
      </c>
      <c r="V599" s="26">
        <f t="shared" si="146"/>
        <v>0</v>
      </c>
      <c r="W599" s="1">
        <f t="shared" si="147"/>
        <v>1</v>
      </c>
      <c r="X599" s="26">
        <f t="shared" si="148"/>
        <v>1</v>
      </c>
      <c r="Y599" s="26">
        <f t="shared" si="149"/>
        <v>0</v>
      </c>
      <c r="Z599" s="1">
        <f t="shared" si="150"/>
        <v>1</v>
      </c>
      <c r="AA599"/>
      <c r="AB599"/>
    </row>
    <row r="600" spans="1:28" x14ac:dyDescent="0.55000000000000004">
      <c r="A600" s="1">
        <f t="shared" si="137"/>
        <v>600</v>
      </c>
      <c r="B600" t="s">
        <v>39</v>
      </c>
      <c r="C600" t="s">
        <v>84</v>
      </c>
      <c r="D600" t="s">
        <v>133</v>
      </c>
      <c r="E600" t="s">
        <v>1711</v>
      </c>
      <c r="F600" t="s">
        <v>343</v>
      </c>
      <c r="G600" t="s">
        <v>234</v>
      </c>
      <c r="H600" t="s">
        <v>664</v>
      </c>
      <c r="I600" t="s">
        <v>223</v>
      </c>
      <c r="J600" t="s">
        <v>1861</v>
      </c>
      <c r="K600" t="s">
        <v>236</v>
      </c>
      <c r="L600" t="s">
        <v>987</v>
      </c>
      <c r="M600" t="s">
        <v>28</v>
      </c>
      <c r="N600" s="1">
        <f t="shared" si="138"/>
        <v>2</v>
      </c>
      <c r="O600" s="1">
        <f t="shared" si="139"/>
        <v>2</v>
      </c>
      <c r="P600" s="1">
        <f t="shared" si="140"/>
        <v>4</v>
      </c>
      <c r="Q600" s="1">
        <f t="shared" si="141"/>
        <v>0</v>
      </c>
      <c r="R600" s="1">
        <f t="shared" si="142"/>
        <v>1</v>
      </c>
      <c r="S600" s="1">
        <f t="shared" si="143"/>
        <v>0</v>
      </c>
      <c r="T600" s="1">
        <f t="shared" si="144"/>
        <v>1</v>
      </c>
      <c r="U600" s="26">
        <f t="shared" si="145"/>
        <v>1</v>
      </c>
      <c r="V600" s="26">
        <f t="shared" si="146"/>
        <v>1</v>
      </c>
      <c r="W600" s="1">
        <f t="shared" si="147"/>
        <v>1</v>
      </c>
      <c r="X600" s="26">
        <f t="shared" si="148"/>
        <v>1</v>
      </c>
      <c r="Y600" s="26">
        <f t="shared" si="149"/>
        <v>1</v>
      </c>
      <c r="Z600" s="1">
        <f t="shared" si="150"/>
        <v>1</v>
      </c>
      <c r="AA600"/>
      <c r="AB600"/>
    </row>
    <row r="601" spans="1:28" x14ac:dyDescent="0.55000000000000004">
      <c r="A601" s="1">
        <f t="shared" si="137"/>
        <v>601</v>
      </c>
      <c r="B601" t="s">
        <v>40</v>
      </c>
      <c r="C601" t="s">
        <v>198</v>
      </c>
      <c r="D601" t="s">
        <v>133</v>
      </c>
      <c r="E601" t="s">
        <v>1711</v>
      </c>
      <c r="F601" t="s">
        <v>396</v>
      </c>
      <c r="G601" t="s">
        <v>258</v>
      </c>
      <c r="H601" t="s">
        <v>739</v>
      </c>
      <c r="I601" t="s">
        <v>256</v>
      </c>
      <c r="J601" t="s">
        <v>1895</v>
      </c>
      <c r="K601" t="s">
        <v>259</v>
      </c>
      <c r="L601" t="s">
        <v>1030</v>
      </c>
      <c r="M601" t="s">
        <v>28</v>
      </c>
      <c r="N601" s="1">
        <f t="shared" si="138"/>
        <v>0</v>
      </c>
      <c r="O601" s="1">
        <f t="shared" si="139"/>
        <v>3</v>
      </c>
      <c r="P601" s="1">
        <f t="shared" si="140"/>
        <v>3</v>
      </c>
      <c r="Q601" s="1">
        <f t="shared" si="141"/>
        <v>1</v>
      </c>
      <c r="R601" s="1">
        <f t="shared" si="142"/>
        <v>1</v>
      </c>
      <c r="S601" s="1">
        <f t="shared" si="143"/>
        <v>1</v>
      </c>
      <c r="T601" s="1">
        <f t="shared" si="144"/>
        <v>1</v>
      </c>
      <c r="U601" s="26">
        <f t="shared" si="145"/>
        <v>0</v>
      </c>
      <c r="V601" s="26">
        <f t="shared" si="146"/>
        <v>0</v>
      </c>
      <c r="W601" s="1">
        <f t="shared" si="147"/>
        <v>0</v>
      </c>
      <c r="X601" s="26">
        <f t="shared" si="148"/>
        <v>1</v>
      </c>
      <c r="Y601" s="26">
        <f t="shared" si="149"/>
        <v>1</v>
      </c>
      <c r="Z601" s="1">
        <f t="shared" si="150"/>
        <v>1</v>
      </c>
      <c r="AA601"/>
      <c r="AB601"/>
    </row>
    <row r="602" spans="1:28" x14ac:dyDescent="0.55000000000000004">
      <c r="A602" s="1">
        <f t="shared" si="137"/>
        <v>602</v>
      </c>
      <c r="B602" t="s">
        <v>40</v>
      </c>
      <c r="C602" t="s">
        <v>198</v>
      </c>
      <c r="D602" t="s">
        <v>133</v>
      </c>
      <c r="E602" t="s">
        <v>1711</v>
      </c>
      <c r="F602" t="s">
        <v>350</v>
      </c>
      <c r="G602" t="s">
        <v>265</v>
      </c>
      <c r="H602" t="s">
        <v>608</v>
      </c>
      <c r="I602" t="s">
        <v>261</v>
      </c>
      <c r="J602" t="s">
        <v>1896</v>
      </c>
      <c r="K602" t="s">
        <v>344</v>
      </c>
      <c r="L602" t="s">
        <v>596</v>
      </c>
      <c r="M602" t="s">
        <v>28</v>
      </c>
      <c r="N602" s="1">
        <f t="shared" si="138"/>
        <v>1</v>
      </c>
      <c r="O602" s="1">
        <f t="shared" si="139"/>
        <v>1</v>
      </c>
      <c r="P602" s="1">
        <f t="shared" si="140"/>
        <v>2</v>
      </c>
      <c r="Q602" s="1">
        <f t="shared" si="141"/>
        <v>0</v>
      </c>
      <c r="R602" s="1">
        <f t="shared" si="142"/>
        <v>1</v>
      </c>
      <c r="S602" s="1">
        <f t="shared" si="143"/>
        <v>0</v>
      </c>
      <c r="T602" s="1">
        <f t="shared" si="144"/>
        <v>1</v>
      </c>
      <c r="U602" s="26">
        <f t="shared" si="145"/>
        <v>1</v>
      </c>
      <c r="V602" s="26">
        <f t="shared" si="146"/>
        <v>0</v>
      </c>
      <c r="W602" s="1">
        <f t="shared" si="147"/>
        <v>1</v>
      </c>
      <c r="X602" s="26">
        <f t="shared" si="148"/>
        <v>1</v>
      </c>
      <c r="Y602" s="26">
        <f t="shared" si="149"/>
        <v>0</v>
      </c>
      <c r="Z602" s="1">
        <f t="shared" si="150"/>
        <v>1</v>
      </c>
      <c r="AA602"/>
      <c r="AB602"/>
    </row>
    <row r="603" spans="1:28" x14ac:dyDescent="0.55000000000000004">
      <c r="A603" s="1">
        <f t="shared" si="137"/>
        <v>603</v>
      </c>
      <c r="B603" t="s">
        <v>40</v>
      </c>
      <c r="C603" t="s">
        <v>198</v>
      </c>
      <c r="D603" t="s">
        <v>133</v>
      </c>
      <c r="E603" t="s">
        <v>1711</v>
      </c>
      <c r="F603" t="s">
        <v>392</v>
      </c>
      <c r="G603" t="s">
        <v>248</v>
      </c>
      <c r="H603" t="s">
        <v>573</v>
      </c>
      <c r="I603" t="s">
        <v>255</v>
      </c>
      <c r="J603" t="s">
        <v>1897</v>
      </c>
      <c r="K603" t="s">
        <v>250</v>
      </c>
      <c r="L603" t="s">
        <v>1025</v>
      </c>
      <c r="M603" t="s">
        <v>28</v>
      </c>
      <c r="N603" s="1">
        <f t="shared" si="138"/>
        <v>2</v>
      </c>
      <c r="O603" s="1">
        <f t="shared" si="139"/>
        <v>0</v>
      </c>
      <c r="P603" s="1">
        <f t="shared" si="140"/>
        <v>2</v>
      </c>
      <c r="Q603" s="1">
        <f t="shared" si="141"/>
        <v>1</v>
      </c>
      <c r="R603" s="1">
        <f t="shared" si="142"/>
        <v>1</v>
      </c>
      <c r="S603" s="1">
        <f t="shared" si="143"/>
        <v>1</v>
      </c>
      <c r="T603" s="1">
        <f t="shared" si="144"/>
        <v>1</v>
      </c>
      <c r="U603" s="26">
        <f t="shared" si="145"/>
        <v>1</v>
      </c>
      <c r="V603" s="26">
        <f t="shared" si="146"/>
        <v>1</v>
      </c>
      <c r="W603" s="1">
        <f t="shared" si="147"/>
        <v>1</v>
      </c>
      <c r="X603" s="26">
        <f t="shared" si="148"/>
        <v>0</v>
      </c>
      <c r="Y603" s="26">
        <f t="shared" si="149"/>
        <v>0</v>
      </c>
      <c r="Z603" s="1">
        <f t="shared" si="150"/>
        <v>1</v>
      </c>
      <c r="AA603"/>
      <c r="AB603"/>
    </row>
    <row r="604" spans="1:28" x14ac:dyDescent="0.55000000000000004">
      <c r="A604" s="1">
        <f t="shared" si="137"/>
        <v>604</v>
      </c>
      <c r="B604" t="s">
        <v>40</v>
      </c>
      <c r="C604" t="s">
        <v>198</v>
      </c>
      <c r="D604" t="s">
        <v>133</v>
      </c>
      <c r="E604" t="s">
        <v>1711</v>
      </c>
      <c r="F604" t="s">
        <v>392</v>
      </c>
      <c r="G604" t="s">
        <v>253</v>
      </c>
      <c r="H604" t="s">
        <v>568</v>
      </c>
      <c r="I604" t="s">
        <v>260</v>
      </c>
      <c r="J604" t="s">
        <v>1898</v>
      </c>
      <c r="K604" t="s">
        <v>395</v>
      </c>
      <c r="L604" t="s">
        <v>1014</v>
      </c>
      <c r="M604" t="s">
        <v>28</v>
      </c>
      <c r="N604" s="1">
        <f t="shared" si="138"/>
        <v>0</v>
      </c>
      <c r="O604" s="1">
        <f t="shared" si="139"/>
        <v>2</v>
      </c>
      <c r="P604" s="1">
        <f t="shared" si="140"/>
        <v>2</v>
      </c>
      <c r="Q604" s="1">
        <f t="shared" si="141"/>
        <v>1</v>
      </c>
      <c r="R604" s="1">
        <f t="shared" si="142"/>
        <v>1</v>
      </c>
      <c r="S604" s="1">
        <f t="shared" si="143"/>
        <v>1</v>
      </c>
      <c r="T604" s="1">
        <f t="shared" si="144"/>
        <v>1</v>
      </c>
      <c r="U604" s="26">
        <f t="shared" si="145"/>
        <v>0</v>
      </c>
      <c r="V604" s="26">
        <f t="shared" si="146"/>
        <v>0</v>
      </c>
      <c r="W604" s="1">
        <f t="shared" si="147"/>
        <v>1</v>
      </c>
      <c r="X604" s="26">
        <f t="shared" si="148"/>
        <v>1</v>
      </c>
      <c r="Y604" s="26">
        <f t="shared" si="149"/>
        <v>1</v>
      </c>
      <c r="Z604" s="1">
        <f t="shared" si="150"/>
        <v>1</v>
      </c>
      <c r="AA604"/>
      <c r="AB604"/>
    </row>
    <row r="605" spans="1:28" x14ac:dyDescent="0.55000000000000004">
      <c r="A605" s="1">
        <f t="shared" si="137"/>
        <v>605</v>
      </c>
      <c r="B605" t="s">
        <v>40</v>
      </c>
      <c r="C605" t="s">
        <v>198</v>
      </c>
      <c r="D605" t="s">
        <v>133</v>
      </c>
      <c r="E605" t="s">
        <v>1711</v>
      </c>
      <c r="F605" t="s">
        <v>392</v>
      </c>
      <c r="G605" t="s">
        <v>266</v>
      </c>
      <c r="H605" t="s">
        <v>575</v>
      </c>
      <c r="I605" t="s">
        <v>263</v>
      </c>
      <c r="J605" t="s">
        <v>1899</v>
      </c>
      <c r="K605" t="s">
        <v>267</v>
      </c>
      <c r="L605" t="s">
        <v>1014</v>
      </c>
      <c r="M605" t="s">
        <v>28</v>
      </c>
      <c r="N605" s="1">
        <f t="shared" si="138"/>
        <v>1</v>
      </c>
      <c r="O605" s="1">
        <f t="shared" si="139"/>
        <v>0</v>
      </c>
      <c r="P605" s="1">
        <f t="shared" si="140"/>
        <v>1</v>
      </c>
      <c r="Q605" s="1">
        <f t="shared" si="141"/>
        <v>1</v>
      </c>
      <c r="R605" s="1">
        <f t="shared" si="142"/>
        <v>1</v>
      </c>
      <c r="S605" s="1">
        <f t="shared" si="143"/>
        <v>1</v>
      </c>
      <c r="T605" s="1">
        <f t="shared" si="144"/>
        <v>1</v>
      </c>
      <c r="U605" s="26">
        <f t="shared" si="145"/>
        <v>1</v>
      </c>
      <c r="V605" s="26">
        <f t="shared" si="146"/>
        <v>0</v>
      </c>
      <c r="W605" s="1">
        <f t="shared" si="147"/>
        <v>1</v>
      </c>
      <c r="X605" s="26">
        <f t="shared" si="148"/>
        <v>0</v>
      </c>
      <c r="Y605" s="26">
        <f t="shared" si="149"/>
        <v>0</v>
      </c>
      <c r="Z605" s="1">
        <f t="shared" si="150"/>
        <v>0</v>
      </c>
      <c r="AA605"/>
      <c r="AB605"/>
    </row>
    <row r="606" spans="1:28" x14ac:dyDescent="0.55000000000000004">
      <c r="A606" s="1">
        <f t="shared" si="137"/>
        <v>606</v>
      </c>
      <c r="B606" t="s">
        <v>40</v>
      </c>
      <c r="C606" t="s">
        <v>198</v>
      </c>
      <c r="D606" t="s">
        <v>133</v>
      </c>
      <c r="E606" t="s">
        <v>1711</v>
      </c>
      <c r="F606" t="s">
        <v>251</v>
      </c>
      <c r="G606" t="s">
        <v>252</v>
      </c>
      <c r="H606" t="s">
        <v>664</v>
      </c>
      <c r="I606" t="s">
        <v>249</v>
      </c>
      <c r="J606" t="s">
        <v>1900</v>
      </c>
      <c r="K606" t="s">
        <v>254</v>
      </c>
      <c r="L606" t="s">
        <v>1018</v>
      </c>
      <c r="M606" t="s">
        <v>28</v>
      </c>
      <c r="N606" s="1">
        <f t="shared" si="138"/>
        <v>2</v>
      </c>
      <c r="O606" s="1">
        <f t="shared" si="139"/>
        <v>2</v>
      </c>
      <c r="P606" s="1">
        <f t="shared" si="140"/>
        <v>4</v>
      </c>
      <c r="Q606" s="1">
        <f t="shared" si="141"/>
        <v>0</v>
      </c>
      <c r="R606" s="1">
        <f t="shared" si="142"/>
        <v>1</v>
      </c>
      <c r="S606" s="1">
        <f t="shared" si="143"/>
        <v>0</v>
      </c>
      <c r="T606" s="1">
        <f t="shared" si="144"/>
        <v>1</v>
      </c>
      <c r="U606" s="26">
        <f t="shared" si="145"/>
        <v>1</v>
      </c>
      <c r="V606" s="26">
        <f t="shared" si="146"/>
        <v>1</v>
      </c>
      <c r="W606" s="1">
        <f t="shared" si="147"/>
        <v>1</v>
      </c>
      <c r="X606" s="26">
        <f t="shared" si="148"/>
        <v>1</v>
      </c>
      <c r="Y606" s="26">
        <f t="shared" si="149"/>
        <v>1</v>
      </c>
      <c r="Z606" s="1">
        <f t="shared" si="150"/>
        <v>1</v>
      </c>
      <c r="AA606"/>
      <c r="AB606"/>
    </row>
    <row r="607" spans="1:28" x14ac:dyDescent="0.55000000000000004">
      <c r="A607" s="1">
        <f t="shared" si="137"/>
        <v>607</v>
      </c>
      <c r="B607" t="s">
        <v>30</v>
      </c>
      <c r="C607" t="s">
        <v>198</v>
      </c>
      <c r="D607" t="s">
        <v>42</v>
      </c>
      <c r="E607" t="s">
        <v>1385</v>
      </c>
      <c r="F607" t="s">
        <v>380</v>
      </c>
      <c r="G607" t="s">
        <v>63</v>
      </c>
      <c r="H607" t="s">
        <v>575</v>
      </c>
      <c r="I607" t="s">
        <v>45</v>
      </c>
      <c r="J607" t="s">
        <v>1386</v>
      </c>
      <c r="K607" t="s">
        <v>65</v>
      </c>
      <c r="L607" t="s">
        <v>781</v>
      </c>
      <c r="M607" t="s">
        <v>28</v>
      </c>
      <c r="N607" s="1">
        <f t="shared" si="138"/>
        <v>1</v>
      </c>
      <c r="O607" s="1">
        <f t="shared" si="139"/>
        <v>0</v>
      </c>
      <c r="P607" s="1">
        <f t="shared" si="140"/>
        <v>1</v>
      </c>
      <c r="Q607" s="1">
        <f t="shared" si="141"/>
        <v>1</v>
      </c>
      <c r="R607" s="1">
        <f t="shared" si="142"/>
        <v>1</v>
      </c>
      <c r="S607" s="1">
        <f t="shared" si="143"/>
        <v>1</v>
      </c>
      <c r="T607" s="1">
        <f t="shared" si="144"/>
        <v>1</v>
      </c>
      <c r="U607" s="26">
        <f t="shared" si="145"/>
        <v>1</v>
      </c>
      <c r="V607" s="26">
        <f t="shared" si="146"/>
        <v>0</v>
      </c>
      <c r="W607" s="1">
        <f t="shared" si="147"/>
        <v>1</v>
      </c>
      <c r="X607" s="26">
        <f t="shared" si="148"/>
        <v>0</v>
      </c>
      <c r="Y607" s="26">
        <f t="shared" si="149"/>
        <v>0</v>
      </c>
      <c r="Z607" s="1">
        <f t="shared" si="150"/>
        <v>0</v>
      </c>
      <c r="AA607"/>
      <c r="AB607"/>
    </row>
    <row r="608" spans="1:28" x14ac:dyDescent="0.55000000000000004">
      <c r="A608" s="1">
        <f t="shared" si="137"/>
        <v>608</v>
      </c>
      <c r="B608" t="s">
        <v>30</v>
      </c>
      <c r="C608" t="s">
        <v>198</v>
      </c>
      <c r="D608" t="s">
        <v>42</v>
      </c>
      <c r="E608" t="s">
        <v>1385</v>
      </c>
      <c r="F608" t="s">
        <v>398</v>
      </c>
      <c r="G608" t="s">
        <v>67</v>
      </c>
      <c r="H608" t="s">
        <v>579</v>
      </c>
      <c r="I608" t="s">
        <v>61</v>
      </c>
      <c r="J608" t="s">
        <v>1387</v>
      </c>
      <c r="K608" t="s">
        <v>73</v>
      </c>
      <c r="L608" t="s">
        <v>769</v>
      </c>
      <c r="M608" t="s">
        <v>28</v>
      </c>
      <c r="N608" s="1">
        <f t="shared" si="138"/>
        <v>2</v>
      </c>
      <c r="O608" s="1">
        <f t="shared" si="139"/>
        <v>1</v>
      </c>
      <c r="P608" s="1">
        <f t="shared" si="140"/>
        <v>3</v>
      </c>
      <c r="Q608" s="1">
        <f t="shared" si="141"/>
        <v>1</v>
      </c>
      <c r="R608" s="1">
        <f t="shared" si="142"/>
        <v>1</v>
      </c>
      <c r="S608" s="1">
        <f t="shared" si="143"/>
        <v>1</v>
      </c>
      <c r="T608" s="1">
        <f t="shared" si="144"/>
        <v>1</v>
      </c>
      <c r="U608" s="26">
        <f t="shared" si="145"/>
        <v>1</v>
      </c>
      <c r="V608" s="26">
        <f t="shared" si="146"/>
        <v>1</v>
      </c>
      <c r="W608" s="1">
        <f t="shared" si="147"/>
        <v>1</v>
      </c>
      <c r="X608" s="26">
        <f t="shared" si="148"/>
        <v>1</v>
      </c>
      <c r="Y608" s="26">
        <f t="shared" si="149"/>
        <v>0</v>
      </c>
      <c r="Z608" s="1">
        <f t="shared" si="150"/>
        <v>1</v>
      </c>
      <c r="AA608"/>
      <c r="AB608"/>
    </row>
    <row r="609" spans="1:28" x14ac:dyDescent="0.55000000000000004">
      <c r="A609" s="1">
        <f t="shared" si="137"/>
        <v>609</v>
      </c>
      <c r="B609" t="s">
        <v>35</v>
      </c>
      <c r="C609" t="s">
        <v>200</v>
      </c>
      <c r="D609" t="s">
        <v>42</v>
      </c>
      <c r="E609" t="s">
        <v>1385</v>
      </c>
      <c r="F609" t="s">
        <v>411</v>
      </c>
      <c r="G609" t="s">
        <v>214</v>
      </c>
      <c r="H609" t="s">
        <v>568</v>
      </c>
      <c r="I609" t="s">
        <v>207</v>
      </c>
      <c r="J609" t="s">
        <v>1481</v>
      </c>
      <c r="K609" t="s">
        <v>301</v>
      </c>
      <c r="L609" t="s">
        <v>677</v>
      </c>
      <c r="M609" t="s">
        <v>28</v>
      </c>
      <c r="N609" s="1">
        <f t="shared" si="138"/>
        <v>0</v>
      </c>
      <c r="O609" s="1">
        <f t="shared" si="139"/>
        <v>2</v>
      </c>
      <c r="P609" s="1">
        <f t="shared" si="140"/>
        <v>2</v>
      </c>
      <c r="Q609" s="1">
        <f t="shared" si="141"/>
        <v>1</v>
      </c>
      <c r="R609" s="1">
        <f t="shared" si="142"/>
        <v>1</v>
      </c>
      <c r="S609" s="1">
        <f t="shared" si="143"/>
        <v>1</v>
      </c>
      <c r="T609" s="1">
        <f t="shared" si="144"/>
        <v>1</v>
      </c>
      <c r="U609" s="26">
        <f t="shared" si="145"/>
        <v>0</v>
      </c>
      <c r="V609" s="26">
        <f t="shared" si="146"/>
        <v>0</v>
      </c>
      <c r="W609" s="1">
        <f t="shared" si="147"/>
        <v>1</v>
      </c>
      <c r="X609" s="26">
        <f t="shared" si="148"/>
        <v>1</v>
      </c>
      <c r="Y609" s="26">
        <f t="shared" si="149"/>
        <v>1</v>
      </c>
      <c r="Z609" s="1">
        <f t="shared" si="150"/>
        <v>1</v>
      </c>
      <c r="AA609"/>
      <c r="AB609"/>
    </row>
    <row r="610" spans="1:28" x14ac:dyDescent="0.55000000000000004">
      <c r="A610" s="1">
        <f t="shared" si="137"/>
        <v>610</v>
      </c>
      <c r="B610" t="s">
        <v>35</v>
      </c>
      <c r="C610" t="s">
        <v>200</v>
      </c>
      <c r="D610" t="s">
        <v>42</v>
      </c>
      <c r="E610" t="s">
        <v>1385</v>
      </c>
      <c r="F610" t="s">
        <v>357</v>
      </c>
      <c r="G610" t="s">
        <v>205</v>
      </c>
      <c r="H610" t="s">
        <v>687</v>
      </c>
      <c r="I610" t="s">
        <v>304</v>
      </c>
      <c r="J610" t="s">
        <v>1482</v>
      </c>
      <c r="K610" t="s">
        <v>417</v>
      </c>
      <c r="L610" t="s">
        <v>1071</v>
      </c>
      <c r="M610" t="s">
        <v>28</v>
      </c>
      <c r="N610" s="1">
        <f t="shared" si="138"/>
        <v>4</v>
      </c>
      <c r="O610" s="1">
        <f t="shared" si="139"/>
        <v>0</v>
      </c>
      <c r="P610" s="1">
        <f t="shared" si="140"/>
        <v>4</v>
      </c>
      <c r="Q610" s="1">
        <f t="shared" si="141"/>
        <v>1</v>
      </c>
      <c r="R610" s="1">
        <f t="shared" si="142"/>
        <v>1</v>
      </c>
      <c r="S610" s="1">
        <f t="shared" si="143"/>
        <v>1</v>
      </c>
      <c r="T610" s="1">
        <f t="shared" si="144"/>
        <v>0</v>
      </c>
      <c r="U610" s="26">
        <f t="shared" si="145"/>
        <v>0</v>
      </c>
      <c r="V610" s="26">
        <f t="shared" si="146"/>
        <v>1</v>
      </c>
      <c r="W610" s="1">
        <f t="shared" si="147"/>
        <v>1</v>
      </c>
      <c r="X610" s="26">
        <f t="shared" si="148"/>
        <v>0</v>
      </c>
      <c r="Y610" s="26">
        <f t="shared" si="149"/>
        <v>0</v>
      </c>
      <c r="Z610" s="1">
        <f t="shared" si="150"/>
        <v>1</v>
      </c>
      <c r="AA610"/>
      <c r="AB610"/>
    </row>
    <row r="611" spans="1:28" x14ac:dyDescent="0.55000000000000004">
      <c r="A611" s="1">
        <f t="shared" si="137"/>
        <v>611</v>
      </c>
      <c r="B611" t="s">
        <v>35</v>
      </c>
      <c r="C611" t="s">
        <v>200</v>
      </c>
      <c r="D611" t="s">
        <v>42</v>
      </c>
      <c r="E611" t="s">
        <v>1385</v>
      </c>
      <c r="F611" t="s">
        <v>357</v>
      </c>
      <c r="G611" t="s">
        <v>377</v>
      </c>
      <c r="H611" t="s">
        <v>573</v>
      </c>
      <c r="I611" t="s">
        <v>211</v>
      </c>
      <c r="J611" t="s">
        <v>1483</v>
      </c>
      <c r="K611" t="s">
        <v>378</v>
      </c>
      <c r="L611" t="s">
        <v>1477</v>
      </c>
      <c r="M611" t="s">
        <v>28</v>
      </c>
      <c r="N611" s="1">
        <f t="shared" si="138"/>
        <v>2</v>
      </c>
      <c r="O611" s="1">
        <f t="shared" si="139"/>
        <v>0</v>
      </c>
      <c r="P611" s="1">
        <f t="shared" si="140"/>
        <v>2</v>
      </c>
      <c r="Q611" s="1">
        <f t="shared" si="141"/>
        <v>1</v>
      </c>
      <c r="R611" s="1">
        <f t="shared" si="142"/>
        <v>1</v>
      </c>
      <c r="S611" s="1">
        <f t="shared" si="143"/>
        <v>1</v>
      </c>
      <c r="T611" s="1">
        <f t="shared" si="144"/>
        <v>1</v>
      </c>
      <c r="U611" s="26">
        <f t="shared" si="145"/>
        <v>1</v>
      </c>
      <c r="V611" s="26">
        <f t="shared" si="146"/>
        <v>1</v>
      </c>
      <c r="W611" s="1">
        <f t="shared" si="147"/>
        <v>1</v>
      </c>
      <c r="X611" s="26">
        <f t="shared" si="148"/>
        <v>0</v>
      </c>
      <c r="Y611" s="26">
        <f t="shared" si="149"/>
        <v>0</v>
      </c>
      <c r="Z611" s="1">
        <f t="shared" si="150"/>
        <v>1</v>
      </c>
      <c r="AA611"/>
      <c r="AB611"/>
    </row>
    <row r="612" spans="1:28" x14ac:dyDescent="0.55000000000000004">
      <c r="A612" s="1">
        <f t="shared" si="137"/>
        <v>612</v>
      </c>
      <c r="B612" t="s">
        <v>35</v>
      </c>
      <c r="C612" t="s">
        <v>200</v>
      </c>
      <c r="D612" t="s">
        <v>42</v>
      </c>
      <c r="E612" t="s">
        <v>1385</v>
      </c>
      <c r="F612" t="s">
        <v>357</v>
      </c>
      <c r="G612" t="s">
        <v>213</v>
      </c>
      <c r="H612" t="s">
        <v>590</v>
      </c>
      <c r="I612" t="s">
        <v>386</v>
      </c>
      <c r="J612" t="s">
        <v>1484</v>
      </c>
      <c r="K612" t="s">
        <v>215</v>
      </c>
      <c r="L612" t="s">
        <v>835</v>
      </c>
      <c r="M612" t="s">
        <v>28</v>
      </c>
      <c r="N612" s="1">
        <f t="shared" si="138"/>
        <v>0</v>
      </c>
      <c r="O612" s="1">
        <f t="shared" si="139"/>
        <v>1</v>
      </c>
      <c r="P612" s="1">
        <f t="shared" si="140"/>
        <v>1</v>
      </c>
      <c r="Q612" s="1">
        <f t="shared" si="141"/>
        <v>1</v>
      </c>
      <c r="R612" s="1">
        <f t="shared" si="142"/>
        <v>1</v>
      </c>
      <c r="S612" s="1">
        <f t="shared" si="143"/>
        <v>1</v>
      </c>
      <c r="T612" s="1">
        <f t="shared" si="144"/>
        <v>1</v>
      </c>
      <c r="U612" s="26">
        <f t="shared" si="145"/>
        <v>0</v>
      </c>
      <c r="V612" s="26">
        <f t="shared" si="146"/>
        <v>0</v>
      </c>
      <c r="W612" s="1">
        <f t="shared" si="147"/>
        <v>1</v>
      </c>
      <c r="X612" s="26">
        <f t="shared" si="148"/>
        <v>1</v>
      </c>
      <c r="Y612" s="26">
        <f t="shared" si="149"/>
        <v>0</v>
      </c>
      <c r="Z612" s="1">
        <f t="shared" si="150"/>
        <v>0</v>
      </c>
      <c r="AA612"/>
      <c r="AB612"/>
    </row>
    <row r="613" spans="1:28" x14ac:dyDescent="0.55000000000000004">
      <c r="A613" s="1">
        <f t="shared" si="137"/>
        <v>613</v>
      </c>
      <c r="B613" t="s">
        <v>35</v>
      </c>
      <c r="C613" t="s">
        <v>200</v>
      </c>
      <c r="D613" t="s">
        <v>42</v>
      </c>
      <c r="E613" t="s">
        <v>1385</v>
      </c>
      <c r="F613" t="s">
        <v>412</v>
      </c>
      <c r="G613" t="s">
        <v>307</v>
      </c>
      <c r="H613" t="s">
        <v>608</v>
      </c>
      <c r="I613" t="s">
        <v>383</v>
      </c>
      <c r="J613" t="s">
        <v>1485</v>
      </c>
      <c r="K613" t="s">
        <v>379</v>
      </c>
      <c r="L613" t="s">
        <v>1069</v>
      </c>
      <c r="M613" t="s">
        <v>28</v>
      </c>
      <c r="N613" s="1">
        <f t="shared" si="138"/>
        <v>1</v>
      </c>
      <c r="O613" s="1">
        <f t="shared" si="139"/>
        <v>1</v>
      </c>
      <c r="P613" s="1">
        <f t="shared" si="140"/>
        <v>2</v>
      </c>
      <c r="Q613" s="1">
        <f t="shared" si="141"/>
        <v>0</v>
      </c>
      <c r="R613" s="1">
        <f t="shared" si="142"/>
        <v>1</v>
      </c>
      <c r="S613" s="1">
        <f t="shared" si="143"/>
        <v>0</v>
      </c>
      <c r="T613" s="1">
        <f t="shared" si="144"/>
        <v>1</v>
      </c>
      <c r="U613" s="26">
        <f t="shared" si="145"/>
        <v>1</v>
      </c>
      <c r="V613" s="26">
        <f t="shared" si="146"/>
        <v>0</v>
      </c>
      <c r="W613" s="1">
        <f t="shared" si="147"/>
        <v>1</v>
      </c>
      <c r="X613" s="26">
        <f t="shared" si="148"/>
        <v>1</v>
      </c>
      <c r="Y613" s="26">
        <f t="shared" si="149"/>
        <v>0</v>
      </c>
      <c r="Z613" s="1">
        <f t="shared" si="150"/>
        <v>1</v>
      </c>
      <c r="AA613"/>
      <c r="AB613"/>
    </row>
    <row r="614" spans="1:28" x14ac:dyDescent="0.55000000000000004">
      <c r="A614" s="1">
        <f t="shared" si="137"/>
        <v>614</v>
      </c>
      <c r="B614" t="s">
        <v>39</v>
      </c>
      <c r="C614" t="s">
        <v>84</v>
      </c>
      <c r="D614" t="s">
        <v>42</v>
      </c>
      <c r="E614" t="s">
        <v>1385</v>
      </c>
      <c r="F614" t="s">
        <v>342</v>
      </c>
      <c r="G614" t="s">
        <v>222</v>
      </c>
      <c r="H614" t="s">
        <v>678</v>
      </c>
      <c r="I614" t="s">
        <v>231</v>
      </c>
      <c r="J614" t="s">
        <v>1530</v>
      </c>
      <c r="K614" t="s">
        <v>224</v>
      </c>
      <c r="L614" t="s">
        <v>1140</v>
      </c>
      <c r="M614" t="s">
        <v>28</v>
      </c>
      <c r="N614" s="1">
        <f t="shared" si="138"/>
        <v>5</v>
      </c>
      <c r="O614" s="1">
        <f t="shared" si="139"/>
        <v>1</v>
      </c>
      <c r="P614" s="1">
        <f t="shared" si="140"/>
        <v>6</v>
      </c>
      <c r="Q614" s="1">
        <f t="shared" si="141"/>
        <v>1</v>
      </c>
      <c r="R614" s="1">
        <f t="shared" si="142"/>
        <v>0</v>
      </c>
      <c r="S614" s="1">
        <f t="shared" si="143"/>
        <v>0</v>
      </c>
      <c r="T614" s="1">
        <f t="shared" si="144"/>
        <v>0</v>
      </c>
      <c r="U614" s="26">
        <f t="shared" si="145"/>
        <v>0</v>
      </c>
      <c r="V614" s="26">
        <f t="shared" si="146"/>
        <v>1</v>
      </c>
      <c r="W614" s="1">
        <f t="shared" si="147"/>
        <v>1</v>
      </c>
      <c r="X614" s="26">
        <f t="shared" si="148"/>
        <v>1</v>
      </c>
      <c r="Y614" s="26">
        <f t="shared" si="149"/>
        <v>0</v>
      </c>
      <c r="Z614" s="1">
        <f t="shared" si="150"/>
        <v>1</v>
      </c>
      <c r="AA614"/>
      <c r="AB614"/>
    </row>
    <row r="615" spans="1:28" x14ac:dyDescent="0.55000000000000004">
      <c r="A615" s="1">
        <f t="shared" si="137"/>
        <v>615</v>
      </c>
      <c r="B615" t="s">
        <v>39</v>
      </c>
      <c r="C615" t="s">
        <v>84</v>
      </c>
      <c r="D615" t="s">
        <v>42</v>
      </c>
      <c r="E615" t="s">
        <v>1385</v>
      </c>
      <c r="F615" t="s">
        <v>343</v>
      </c>
      <c r="G615" t="s">
        <v>229</v>
      </c>
      <c r="H615" t="s">
        <v>590</v>
      </c>
      <c r="I615" t="s">
        <v>235</v>
      </c>
      <c r="J615" t="s">
        <v>1531</v>
      </c>
      <c r="K615" t="s">
        <v>246</v>
      </c>
      <c r="L615" t="s">
        <v>998</v>
      </c>
      <c r="M615" t="s">
        <v>28</v>
      </c>
      <c r="N615" s="1">
        <f t="shared" si="138"/>
        <v>0</v>
      </c>
      <c r="O615" s="1">
        <f t="shared" si="139"/>
        <v>1</v>
      </c>
      <c r="P615" s="1">
        <f t="shared" si="140"/>
        <v>1</v>
      </c>
      <c r="Q615" s="1">
        <f t="shared" si="141"/>
        <v>1</v>
      </c>
      <c r="R615" s="1">
        <f t="shared" si="142"/>
        <v>1</v>
      </c>
      <c r="S615" s="1">
        <f t="shared" si="143"/>
        <v>1</v>
      </c>
      <c r="T615" s="1">
        <f t="shared" si="144"/>
        <v>1</v>
      </c>
      <c r="U615" s="26">
        <f t="shared" si="145"/>
        <v>0</v>
      </c>
      <c r="V615" s="26">
        <f t="shared" si="146"/>
        <v>0</v>
      </c>
      <c r="W615" s="1">
        <f t="shared" si="147"/>
        <v>1</v>
      </c>
      <c r="X615" s="26">
        <f t="shared" si="148"/>
        <v>1</v>
      </c>
      <c r="Y615" s="26">
        <f t="shared" si="149"/>
        <v>0</v>
      </c>
      <c r="Z615" s="1">
        <f t="shared" si="150"/>
        <v>0</v>
      </c>
      <c r="AA615"/>
      <c r="AB615"/>
    </row>
    <row r="616" spans="1:28" x14ac:dyDescent="0.55000000000000004">
      <c r="A616" s="1">
        <f t="shared" si="137"/>
        <v>616</v>
      </c>
      <c r="B616" t="s">
        <v>33</v>
      </c>
      <c r="C616" t="s">
        <v>153</v>
      </c>
      <c r="D616" t="s">
        <v>216</v>
      </c>
      <c r="E616" t="s">
        <v>802</v>
      </c>
      <c r="F616" t="s">
        <v>364</v>
      </c>
      <c r="G616" t="s">
        <v>282</v>
      </c>
      <c r="H616" t="s">
        <v>590</v>
      </c>
      <c r="I616" t="s">
        <v>281</v>
      </c>
      <c r="J616" t="s">
        <v>803</v>
      </c>
      <c r="K616" t="s">
        <v>295</v>
      </c>
      <c r="L616" t="s">
        <v>804</v>
      </c>
      <c r="M616" t="s">
        <v>28</v>
      </c>
      <c r="N616" s="1">
        <f t="shared" si="138"/>
        <v>0</v>
      </c>
      <c r="O616" s="1">
        <f t="shared" si="139"/>
        <v>1</v>
      </c>
      <c r="P616" s="1">
        <f t="shared" si="140"/>
        <v>1</v>
      </c>
      <c r="Q616" s="1">
        <f t="shared" si="141"/>
        <v>1</v>
      </c>
      <c r="R616" s="1">
        <f t="shared" si="142"/>
        <v>1</v>
      </c>
      <c r="S616" s="1">
        <f t="shared" si="143"/>
        <v>1</v>
      </c>
      <c r="T616" s="1">
        <f t="shared" si="144"/>
        <v>1</v>
      </c>
      <c r="U616" s="26">
        <f t="shared" si="145"/>
        <v>0</v>
      </c>
      <c r="V616" s="26">
        <f t="shared" si="146"/>
        <v>0</v>
      </c>
      <c r="W616" s="1">
        <f t="shared" si="147"/>
        <v>1</v>
      </c>
      <c r="X616" s="26">
        <f t="shared" si="148"/>
        <v>1</v>
      </c>
      <c r="Y616" s="26">
        <f t="shared" si="149"/>
        <v>0</v>
      </c>
      <c r="Z616" s="1">
        <f t="shared" si="150"/>
        <v>0</v>
      </c>
      <c r="AA616"/>
      <c r="AB616"/>
    </row>
    <row r="617" spans="1:28" x14ac:dyDescent="0.55000000000000004">
      <c r="A617" s="1">
        <f t="shared" si="137"/>
        <v>617</v>
      </c>
      <c r="B617" t="s">
        <v>33</v>
      </c>
      <c r="C617" t="s">
        <v>153</v>
      </c>
      <c r="D617" t="s">
        <v>216</v>
      </c>
      <c r="E617" t="s">
        <v>802</v>
      </c>
      <c r="F617" t="s">
        <v>277</v>
      </c>
      <c r="G617" t="s">
        <v>287</v>
      </c>
      <c r="H617" t="s">
        <v>573</v>
      </c>
      <c r="I617" t="s">
        <v>296</v>
      </c>
      <c r="J617" t="s">
        <v>805</v>
      </c>
      <c r="K617" t="s">
        <v>289</v>
      </c>
      <c r="L617" t="s">
        <v>806</v>
      </c>
      <c r="M617" t="s">
        <v>28</v>
      </c>
      <c r="N617" s="1">
        <f t="shared" si="138"/>
        <v>2</v>
      </c>
      <c r="O617" s="1">
        <f t="shared" si="139"/>
        <v>0</v>
      </c>
      <c r="P617" s="1">
        <f t="shared" si="140"/>
        <v>2</v>
      </c>
      <c r="Q617" s="1">
        <f t="shared" si="141"/>
        <v>1</v>
      </c>
      <c r="R617" s="1">
        <f t="shared" si="142"/>
        <v>1</v>
      </c>
      <c r="S617" s="1">
        <f t="shared" si="143"/>
        <v>1</v>
      </c>
      <c r="T617" s="1">
        <f t="shared" si="144"/>
        <v>1</v>
      </c>
      <c r="U617" s="26">
        <f t="shared" si="145"/>
        <v>1</v>
      </c>
      <c r="V617" s="26">
        <f t="shared" si="146"/>
        <v>1</v>
      </c>
      <c r="W617" s="1">
        <f t="shared" si="147"/>
        <v>1</v>
      </c>
      <c r="X617" s="26">
        <f t="shared" si="148"/>
        <v>0</v>
      </c>
      <c r="Y617" s="26">
        <f t="shared" si="149"/>
        <v>0</v>
      </c>
      <c r="Z617" s="1">
        <f t="shared" si="150"/>
        <v>1</v>
      </c>
      <c r="AA617"/>
      <c r="AB617"/>
    </row>
    <row r="618" spans="1:28" x14ac:dyDescent="0.55000000000000004">
      <c r="A618" s="1">
        <f t="shared" si="137"/>
        <v>618</v>
      </c>
      <c r="B618" t="s">
        <v>33</v>
      </c>
      <c r="C618" t="s">
        <v>153</v>
      </c>
      <c r="D618" t="s">
        <v>216</v>
      </c>
      <c r="E618" t="s">
        <v>802</v>
      </c>
      <c r="F618" t="s">
        <v>277</v>
      </c>
      <c r="G618" t="s">
        <v>367</v>
      </c>
      <c r="H618" t="s">
        <v>579</v>
      </c>
      <c r="I618" t="s">
        <v>365</v>
      </c>
      <c r="J618" t="s">
        <v>807</v>
      </c>
      <c r="K618" t="s">
        <v>368</v>
      </c>
      <c r="L618" t="s">
        <v>808</v>
      </c>
      <c r="M618" t="s">
        <v>28</v>
      </c>
      <c r="N618" s="1">
        <f t="shared" si="138"/>
        <v>2</v>
      </c>
      <c r="O618" s="1">
        <f t="shared" si="139"/>
        <v>1</v>
      </c>
      <c r="P618" s="1">
        <f t="shared" si="140"/>
        <v>3</v>
      </c>
      <c r="Q618" s="1">
        <f t="shared" si="141"/>
        <v>1</v>
      </c>
      <c r="R618" s="1">
        <f t="shared" si="142"/>
        <v>1</v>
      </c>
      <c r="S618" s="1">
        <f t="shared" si="143"/>
        <v>1</v>
      </c>
      <c r="T618" s="1">
        <f t="shared" si="144"/>
        <v>1</v>
      </c>
      <c r="U618" s="26">
        <f t="shared" si="145"/>
        <v>1</v>
      </c>
      <c r="V618" s="26">
        <f t="shared" si="146"/>
        <v>1</v>
      </c>
      <c r="W618" s="1">
        <f t="shared" si="147"/>
        <v>1</v>
      </c>
      <c r="X618" s="26">
        <f t="shared" si="148"/>
        <v>1</v>
      </c>
      <c r="Y618" s="26">
        <f t="shared" si="149"/>
        <v>0</v>
      </c>
      <c r="Z618" s="1">
        <f t="shared" si="150"/>
        <v>1</v>
      </c>
      <c r="AA618"/>
      <c r="AB618"/>
    </row>
    <row r="619" spans="1:28" x14ac:dyDescent="0.55000000000000004">
      <c r="A619" s="1">
        <f t="shared" si="137"/>
        <v>619</v>
      </c>
      <c r="B619" t="s">
        <v>33</v>
      </c>
      <c r="C619" t="s">
        <v>153</v>
      </c>
      <c r="D619" t="s">
        <v>216</v>
      </c>
      <c r="E619" t="s">
        <v>802</v>
      </c>
      <c r="F619" t="s">
        <v>290</v>
      </c>
      <c r="G619" t="s">
        <v>299</v>
      </c>
      <c r="H619" t="s">
        <v>581</v>
      </c>
      <c r="I619" t="s">
        <v>284</v>
      </c>
      <c r="J619" t="s">
        <v>809</v>
      </c>
      <c r="K619" t="s">
        <v>366</v>
      </c>
      <c r="L619" t="s">
        <v>810</v>
      </c>
      <c r="M619" t="s">
        <v>28</v>
      </c>
      <c r="N619" s="1">
        <f t="shared" si="138"/>
        <v>1</v>
      </c>
      <c r="O619" s="1">
        <f t="shared" si="139"/>
        <v>2</v>
      </c>
      <c r="P619" s="1">
        <f t="shared" si="140"/>
        <v>3</v>
      </c>
      <c r="Q619" s="1">
        <f t="shared" si="141"/>
        <v>1</v>
      </c>
      <c r="R619" s="1">
        <f t="shared" si="142"/>
        <v>1</v>
      </c>
      <c r="S619" s="1">
        <f t="shared" si="143"/>
        <v>1</v>
      </c>
      <c r="T619" s="1">
        <f t="shared" si="144"/>
        <v>1</v>
      </c>
      <c r="U619" s="26">
        <f t="shared" si="145"/>
        <v>1</v>
      </c>
      <c r="V619" s="26">
        <f t="shared" si="146"/>
        <v>0</v>
      </c>
      <c r="W619" s="1">
        <f t="shared" si="147"/>
        <v>1</v>
      </c>
      <c r="X619" s="26">
        <f t="shared" si="148"/>
        <v>1</v>
      </c>
      <c r="Y619" s="26">
        <f t="shared" si="149"/>
        <v>1</v>
      </c>
      <c r="Z619" s="1">
        <f t="shared" si="150"/>
        <v>1</v>
      </c>
      <c r="AA619"/>
      <c r="AB619"/>
    </row>
    <row r="620" spans="1:28" x14ac:dyDescent="0.55000000000000004">
      <c r="A620" s="1">
        <f t="shared" si="137"/>
        <v>620</v>
      </c>
      <c r="B620" t="s">
        <v>33</v>
      </c>
      <c r="C620" t="s">
        <v>153</v>
      </c>
      <c r="D620" t="s">
        <v>216</v>
      </c>
      <c r="E620" t="s">
        <v>802</v>
      </c>
      <c r="F620" t="s">
        <v>290</v>
      </c>
      <c r="G620" t="s">
        <v>288</v>
      </c>
      <c r="H620" t="s">
        <v>581</v>
      </c>
      <c r="I620" t="s">
        <v>292</v>
      </c>
      <c r="J620" t="s">
        <v>811</v>
      </c>
      <c r="K620" t="s">
        <v>361</v>
      </c>
      <c r="L620" t="s">
        <v>812</v>
      </c>
      <c r="M620" t="s">
        <v>28</v>
      </c>
      <c r="N620" s="1">
        <f t="shared" si="138"/>
        <v>1</v>
      </c>
      <c r="O620" s="1">
        <f t="shared" si="139"/>
        <v>2</v>
      </c>
      <c r="P620" s="1">
        <f t="shared" si="140"/>
        <v>3</v>
      </c>
      <c r="Q620" s="1">
        <f t="shared" si="141"/>
        <v>1</v>
      </c>
      <c r="R620" s="1">
        <f t="shared" si="142"/>
        <v>1</v>
      </c>
      <c r="S620" s="1">
        <f t="shared" si="143"/>
        <v>1</v>
      </c>
      <c r="T620" s="1">
        <f t="shared" si="144"/>
        <v>1</v>
      </c>
      <c r="U620" s="26">
        <f t="shared" si="145"/>
        <v>1</v>
      </c>
      <c r="V620" s="26">
        <f t="shared" si="146"/>
        <v>0</v>
      </c>
      <c r="W620" s="1">
        <f t="shared" si="147"/>
        <v>1</v>
      </c>
      <c r="X620" s="26">
        <f t="shared" si="148"/>
        <v>1</v>
      </c>
      <c r="Y620" s="26">
        <f t="shared" si="149"/>
        <v>1</v>
      </c>
      <c r="Z620" s="1">
        <f t="shared" si="150"/>
        <v>1</v>
      </c>
      <c r="AA620"/>
      <c r="AB620"/>
    </row>
    <row r="621" spans="1:28" x14ac:dyDescent="0.55000000000000004">
      <c r="A621" s="1">
        <f t="shared" si="137"/>
        <v>621</v>
      </c>
      <c r="B621" t="s">
        <v>39</v>
      </c>
      <c r="C621" t="s">
        <v>104</v>
      </c>
      <c r="D621" t="s">
        <v>216</v>
      </c>
      <c r="E621" t="s">
        <v>802</v>
      </c>
      <c r="F621" t="s">
        <v>218</v>
      </c>
      <c r="G621" t="s">
        <v>225</v>
      </c>
      <c r="H621" t="s">
        <v>581</v>
      </c>
      <c r="I621" t="s">
        <v>223</v>
      </c>
      <c r="J621" t="s">
        <v>992</v>
      </c>
      <c r="K621" t="s">
        <v>227</v>
      </c>
      <c r="L621" t="s">
        <v>993</v>
      </c>
      <c r="M621" t="s">
        <v>28</v>
      </c>
      <c r="N621" s="1">
        <f t="shared" si="138"/>
        <v>1</v>
      </c>
      <c r="O621" s="1">
        <f t="shared" si="139"/>
        <v>2</v>
      </c>
      <c r="P621" s="1">
        <f t="shared" si="140"/>
        <v>3</v>
      </c>
      <c r="Q621" s="1">
        <f t="shared" si="141"/>
        <v>1</v>
      </c>
      <c r="R621" s="1">
        <f t="shared" si="142"/>
        <v>1</v>
      </c>
      <c r="S621" s="1">
        <f t="shared" si="143"/>
        <v>1</v>
      </c>
      <c r="T621" s="1">
        <f t="shared" si="144"/>
        <v>1</v>
      </c>
      <c r="U621" s="26">
        <f t="shared" si="145"/>
        <v>1</v>
      </c>
      <c r="V621" s="26">
        <f t="shared" si="146"/>
        <v>0</v>
      </c>
      <c r="W621" s="1">
        <f t="shared" si="147"/>
        <v>1</v>
      </c>
      <c r="X621" s="26">
        <f t="shared" si="148"/>
        <v>1</v>
      </c>
      <c r="Y621" s="26">
        <f t="shared" si="149"/>
        <v>1</v>
      </c>
      <c r="Z621" s="1">
        <f t="shared" si="150"/>
        <v>1</v>
      </c>
      <c r="AA621"/>
      <c r="AB621"/>
    </row>
    <row r="622" spans="1:28" x14ac:dyDescent="0.55000000000000004">
      <c r="A622" s="1">
        <f t="shared" si="137"/>
        <v>622</v>
      </c>
      <c r="B622" t="s">
        <v>39</v>
      </c>
      <c r="C622" t="s">
        <v>104</v>
      </c>
      <c r="D622" t="s">
        <v>216</v>
      </c>
      <c r="E622" t="s">
        <v>802</v>
      </c>
      <c r="F622" t="s">
        <v>218</v>
      </c>
      <c r="G622" t="s">
        <v>228</v>
      </c>
      <c r="H622" t="s">
        <v>722</v>
      </c>
      <c r="I622" t="s">
        <v>234</v>
      </c>
      <c r="J622" t="s">
        <v>994</v>
      </c>
      <c r="K622" t="s">
        <v>230</v>
      </c>
      <c r="L622" t="s">
        <v>995</v>
      </c>
      <c r="M622" t="s">
        <v>28</v>
      </c>
      <c r="N622" s="1">
        <f t="shared" si="138"/>
        <v>3</v>
      </c>
      <c r="O622" s="1">
        <f t="shared" si="139"/>
        <v>0</v>
      </c>
      <c r="P622" s="1">
        <f t="shared" si="140"/>
        <v>3</v>
      </c>
      <c r="Q622" s="1">
        <f t="shared" si="141"/>
        <v>1</v>
      </c>
      <c r="R622" s="1">
        <f t="shared" si="142"/>
        <v>1</v>
      </c>
      <c r="S622" s="1">
        <f t="shared" si="143"/>
        <v>1</v>
      </c>
      <c r="T622" s="1">
        <f t="shared" si="144"/>
        <v>0</v>
      </c>
      <c r="U622" s="26">
        <f t="shared" si="145"/>
        <v>1</v>
      </c>
      <c r="V622" s="26">
        <f t="shared" si="146"/>
        <v>1</v>
      </c>
      <c r="W622" s="1">
        <f t="shared" si="147"/>
        <v>1</v>
      </c>
      <c r="X622" s="26">
        <f t="shared" si="148"/>
        <v>0</v>
      </c>
      <c r="Y622" s="26">
        <f t="shared" si="149"/>
        <v>0</v>
      </c>
      <c r="Z622" s="1">
        <f t="shared" si="150"/>
        <v>1</v>
      </c>
      <c r="AA622"/>
      <c r="AB622"/>
    </row>
    <row r="623" spans="1:28" x14ac:dyDescent="0.55000000000000004">
      <c r="A623" s="1">
        <f t="shared" si="137"/>
        <v>623</v>
      </c>
      <c r="B623" t="s">
        <v>39</v>
      </c>
      <c r="C623" t="s">
        <v>104</v>
      </c>
      <c r="D623" t="s">
        <v>216</v>
      </c>
      <c r="E623" t="s">
        <v>802</v>
      </c>
      <c r="F623" t="s">
        <v>218</v>
      </c>
      <c r="G623" t="s">
        <v>232</v>
      </c>
      <c r="H623" t="s">
        <v>739</v>
      </c>
      <c r="I623" t="s">
        <v>220</v>
      </c>
      <c r="J623" t="s">
        <v>996</v>
      </c>
      <c r="K623" t="s">
        <v>238</v>
      </c>
      <c r="L623" t="s">
        <v>987</v>
      </c>
      <c r="M623" t="s">
        <v>28</v>
      </c>
      <c r="N623" s="1">
        <f t="shared" si="138"/>
        <v>0</v>
      </c>
      <c r="O623" s="1">
        <f t="shared" si="139"/>
        <v>3</v>
      </c>
      <c r="P623" s="1">
        <f t="shared" si="140"/>
        <v>3</v>
      </c>
      <c r="Q623" s="1">
        <f t="shared" si="141"/>
        <v>1</v>
      </c>
      <c r="R623" s="1">
        <f t="shared" si="142"/>
        <v>1</v>
      </c>
      <c r="S623" s="1">
        <f t="shared" si="143"/>
        <v>1</v>
      </c>
      <c r="T623" s="1">
        <f t="shared" si="144"/>
        <v>1</v>
      </c>
      <c r="U623" s="26">
        <f t="shared" si="145"/>
        <v>0</v>
      </c>
      <c r="V623" s="26">
        <f t="shared" si="146"/>
        <v>0</v>
      </c>
      <c r="W623" s="1">
        <f t="shared" si="147"/>
        <v>0</v>
      </c>
      <c r="X623" s="26">
        <f t="shared" si="148"/>
        <v>1</v>
      </c>
      <c r="Y623" s="26">
        <f t="shared" si="149"/>
        <v>1</v>
      </c>
      <c r="Z623" s="1">
        <f t="shared" si="150"/>
        <v>1</v>
      </c>
      <c r="AA623"/>
      <c r="AB623"/>
    </row>
    <row r="624" spans="1:28" x14ac:dyDescent="0.55000000000000004">
      <c r="A624" s="1">
        <f t="shared" si="137"/>
        <v>624</v>
      </c>
      <c r="B624" t="s">
        <v>30</v>
      </c>
      <c r="C624" t="s">
        <v>199</v>
      </c>
      <c r="D624" t="s">
        <v>177</v>
      </c>
      <c r="E624" t="s">
        <v>1033</v>
      </c>
      <c r="F624" t="s">
        <v>181</v>
      </c>
      <c r="G624" t="s">
        <v>49</v>
      </c>
      <c r="H624" t="s">
        <v>579</v>
      </c>
      <c r="I624" t="s">
        <v>52</v>
      </c>
      <c r="J624" t="s">
        <v>1034</v>
      </c>
      <c r="K624" t="s">
        <v>72</v>
      </c>
      <c r="L624" t="s">
        <v>777</v>
      </c>
      <c r="M624" t="s">
        <v>28</v>
      </c>
      <c r="N624" s="1">
        <f t="shared" si="138"/>
        <v>2</v>
      </c>
      <c r="O624" s="1">
        <f t="shared" si="139"/>
        <v>1</v>
      </c>
      <c r="P624" s="1">
        <f t="shared" si="140"/>
        <v>3</v>
      </c>
      <c r="Q624" s="1">
        <f t="shared" si="141"/>
        <v>1</v>
      </c>
      <c r="R624" s="1">
        <f t="shared" si="142"/>
        <v>1</v>
      </c>
      <c r="S624" s="1">
        <f t="shared" si="143"/>
        <v>1</v>
      </c>
      <c r="T624" s="1">
        <f t="shared" si="144"/>
        <v>1</v>
      </c>
      <c r="U624" s="26">
        <f t="shared" si="145"/>
        <v>1</v>
      </c>
      <c r="V624" s="26">
        <f t="shared" si="146"/>
        <v>1</v>
      </c>
      <c r="W624" s="1">
        <f t="shared" si="147"/>
        <v>1</v>
      </c>
      <c r="X624" s="26">
        <f t="shared" si="148"/>
        <v>1</v>
      </c>
      <c r="Y624" s="26">
        <f t="shared" si="149"/>
        <v>0</v>
      </c>
      <c r="Z624" s="1">
        <f t="shared" si="150"/>
        <v>1</v>
      </c>
      <c r="AA624"/>
      <c r="AB624"/>
    </row>
    <row r="625" spans="1:28" x14ac:dyDescent="0.55000000000000004">
      <c r="A625" s="1">
        <f t="shared" si="137"/>
        <v>625</v>
      </c>
      <c r="B625" t="s">
        <v>30</v>
      </c>
      <c r="C625" t="s">
        <v>199</v>
      </c>
      <c r="D625" t="s">
        <v>177</v>
      </c>
      <c r="E625" t="s">
        <v>1033</v>
      </c>
      <c r="F625" t="s">
        <v>181</v>
      </c>
      <c r="G625" t="s">
        <v>58</v>
      </c>
      <c r="H625" t="s">
        <v>608</v>
      </c>
      <c r="I625" t="s">
        <v>57</v>
      </c>
      <c r="J625" t="s">
        <v>1035</v>
      </c>
      <c r="K625" t="s">
        <v>71</v>
      </c>
      <c r="L625" t="s">
        <v>774</v>
      </c>
      <c r="M625" t="s">
        <v>28</v>
      </c>
      <c r="N625" s="1">
        <f t="shared" si="138"/>
        <v>1</v>
      </c>
      <c r="O625" s="1">
        <f t="shared" si="139"/>
        <v>1</v>
      </c>
      <c r="P625" s="1">
        <f t="shared" si="140"/>
        <v>2</v>
      </c>
      <c r="Q625" s="1">
        <f t="shared" si="141"/>
        <v>0</v>
      </c>
      <c r="R625" s="1">
        <f t="shared" si="142"/>
        <v>1</v>
      </c>
      <c r="S625" s="1">
        <f t="shared" si="143"/>
        <v>0</v>
      </c>
      <c r="T625" s="1">
        <f t="shared" si="144"/>
        <v>1</v>
      </c>
      <c r="U625" s="26">
        <f t="shared" si="145"/>
        <v>1</v>
      </c>
      <c r="V625" s="26">
        <f t="shared" si="146"/>
        <v>0</v>
      </c>
      <c r="W625" s="1">
        <f t="shared" si="147"/>
        <v>1</v>
      </c>
      <c r="X625" s="26">
        <f t="shared" si="148"/>
        <v>1</v>
      </c>
      <c r="Y625" s="26">
        <f t="shared" si="149"/>
        <v>0</v>
      </c>
      <c r="Z625" s="1">
        <f t="shared" si="150"/>
        <v>1</v>
      </c>
      <c r="AA625"/>
      <c r="AB625"/>
    </row>
    <row r="626" spans="1:28" x14ac:dyDescent="0.55000000000000004">
      <c r="A626" s="1">
        <f t="shared" si="137"/>
        <v>626</v>
      </c>
      <c r="B626" t="s">
        <v>30</v>
      </c>
      <c r="C626" t="s">
        <v>199</v>
      </c>
      <c r="D626" t="s">
        <v>177</v>
      </c>
      <c r="E626" t="s">
        <v>1033</v>
      </c>
      <c r="F626" t="s">
        <v>181</v>
      </c>
      <c r="G626" t="s">
        <v>54</v>
      </c>
      <c r="H626" t="s">
        <v>881</v>
      </c>
      <c r="I626" t="s">
        <v>67</v>
      </c>
      <c r="J626" t="s">
        <v>1036</v>
      </c>
      <c r="K626" t="s">
        <v>56</v>
      </c>
      <c r="L626" t="s">
        <v>779</v>
      </c>
      <c r="M626" t="s">
        <v>28</v>
      </c>
      <c r="N626" s="1">
        <f t="shared" si="138"/>
        <v>3</v>
      </c>
      <c r="O626" s="1">
        <f t="shared" si="139"/>
        <v>3</v>
      </c>
      <c r="P626" s="1">
        <f t="shared" si="140"/>
        <v>6</v>
      </c>
      <c r="Q626" s="1">
        <f t="shared" si="141"/>
        <v>0</v>
      </c>
      <c r="R626" s="1">
        <f t="shared" si="142"/>
        <v>0</v>
      </c>
      <c r="S626" s="1">
        <f t="shared" si="143"/>
        <v>0</v>
      </c>
      <c r="T626" s="1">
        <f t="shared" si="144"/>
        <v>0</v>
      </c>
      <c r="U626" s="26">
        <f t="shared" si="145"/>
        <v>1</v>
      </c>
      <c r="V626" s="26">
        <f t="shared" si="146"/>
        <v>1</v>
      </c>
      <c r="W626" s="1">
        <f t="shared" si="147"/>
        <v>0</v>
      </c>
      <c r="X626" s="26">
        <f t="shared" si="148"/>
        <v>1</v>
      </c>
      <c r="Y626" s="26">
        <f t="shared" si="149"/>
        <v>1</v>
      </c>
      <c r="Z626" s="1">
        <f t="shared" si="150"/>
        <v>1</v>
      </c>
      <c r="AA626"/>
      <c r="AB626"/>
    </row>
    <row r="627" spans="1:28" x14ac:dyDescent="0.55000000000000004">
      <c r="A627" s="1">
        <f t="shared" si="137"/>
        <v>627</v>
      </c>
      <c r="B627" t="s">
        <v>30</v>
      </c>
      <c r="C627" t="s">
        <v>199</v>
      </c>
      <c r="D627" t="s">
        <v>177</v>
      </c>
      <c r="E627" t="s">
        <v>1033</v>
      </c>
      <c r="F627" t="s">
        <v>182</v>
      </c>
      <c r="G627" t="s">
        <v>60</v>
      </c>
      <c r="H627" t="s">
        <v>581</v>
      </c>
      <c r="I627" t="s">
        <v>51</v>
      </c>
      <c r="J627" t="s">
        <v>1037</v>
      </c>
      <c r="K627" t="s">
        <v>62</v>
      </c>
      <c r="L627" t="s">
        <v>1038</v>
      </c>
      <c r="M627" t="s">
        <v>28</v>
      </c>
      <c r="N627" s="1">
        <f t="shared" si="138"/>
        <v>1</v>
      </c>
      <c r="O627" s="1">
        <f t="shared" si="139"/>
        <v>2</v>
      </c>
      <c r="P627" s="1">
        <f t="shared" si="140"/>
        <v>3</v>
      </c>
      <c r="Q627" s="1">
        <f t="shared" si="141"/>
        <v>1</v>
      </c>
      <c r="R627" s="1">
        <f t="shared" si="142"/>
        <v>1</v>
      </c>
      <c r="S627" s="1">
        <f t="shared" si="143"/>
        <v>1</v>
      </c>
      <c r="T627" s="1">
        <f t="shared" si="144"/>
        <v>1</v>
      </c>
      <c r="U627" s="26">
        <f t="shared" si="145"/>
        <v>1</v>
      </c>
      <c r="V627" s="26">
        <f t="shared" si="146"/>
        <v>0</v>
      </c>
      <c r="W627" s="1">
        <f t="shared" si="147"/>
        <v>1</v>
      </c>
      <c r="X627" s="26">
        <f t="shared" si="148"/>
        <v>1</v>
      </c>
      <c r="Y627" s="26">
        <f t="shared" si="149"/>
        <v>1</v>
      </c>
      <c r="Z627" s="1">
        <f t="shared" si="150"/>
        <v>1</v>
      </c>
      <c r="AA627"/>
      <c r="AB627"/>
    </row>
    <row r="628" spans="1:28" x14ac:dyDescent="0.55000000000000004">
      <c r="A628" s="1">
        <f t="shared" si="137"/>
        <v>628</v>
      </c>
      <c r="B628" t="s">
        <v>33</v>
      </c>
      <c r="C628" t="s">
        <v>153</v>
      </c>
      <c r="D628" t="s">
        <v>177</v>
      </c>
      <c r="E628" t="s">
        <v>1033</v>
      </c>
      <c r="F628" t="s">
        <v>277</v>
      </c>
      <c r="G628" t="s">
        <v>291</v>
      </c>
      <c r="H628" t="s">
        <v>708</v>
      </c>
      <c r="I628" t="s">
        <v>278</v>
      </c>
      <c r="J628" t="s">
        <v>1041</v>
      </c>
      <c r="K628" t="s">
        <v>293</v>
      </c>
      <c r="L628" t="s">
        <v>569</v>
      </c>
      <c r="M628" t="s">
        <v>28</v>
      </c>
      <c r="N628" s="1">
        <f t="shared" si="138"/>
        <v>0</v>
      </c>
      <c r="O628" s="1">
        <f t="shared" si="139"/>
        <v>0</v>
      </c>
      <c r="P628" s="1">
        <f t="shared" si="140"/>
        <v>0</v>
      </c>
      <c r="Q628" s="1">
        <f t="shared" si="141"/>
        <v>0</v>
      </c>
      <c r="R628" s="1">
        <f t="shared" si="142"/>
        <v>1</v>
      </c>
      <c r="S628" s="1">
        <f t="shared" si="143"/>
        <v>0</v>
      </c>
      <c r="T628" s="1">
        <f t="shared" si="144"/>
        <v>1</v>
      </c>
      <c r="U628" s="26">
        <f t="shared" si="145"/>
        <v>0</v>
      </c>
      <c r="V628" s="26">
        <f t="shared" si="146"/>
        <v>0</v>
      </c>
      <c r="W628" s="1">
        <f t="shared" si="147"/>
        <v>1</v>
      </c>
      <c r="X628" s="26">
        <f t="shared" si="148"/>
        <v>0</v>
      </c>
      <c r="Y628" s="26">
        <f t="shared" si="149"/>
        <v>0</v>
      </c>
      <c r="Z628" s="1">
        <f t="shared" si="150"/>
        <v>0</v>
      </c>
      <c r="AA628"/>
      <c r="AB628"/>
    </row>
    <row r="629" spans="1:28" x14ac:dyDescent="0.55000000000000004">
      <c r="A629" s="1">
        <f t="shared" si="137"/>
        <v>629</v>
      </c>
      <c r="B629" t="s">
        <v>33</v>
      </c>
      <c r="C629" t="s">
        <v>153</v>
      </c>
      <c r="D629" t="s">
        <v>177</v>
      </c>
      <c r="E629" t="s">
        <v>1033</v>
      </c>
      <c r="F629" t="s">
        <v>277</v>
      </c>
      <c r="G629" t="s">
        <v>362</v>
      </c>
      <c r="H629" t="s">
        <v>590</v>
      </c>
      <c r="I629" t="s">
        <v>279</v>
      </c>
      <c r="J629" t="s">
        <v>1042</v>
      </c>
      <c r="K629" t="s">
        <v>363</v>
      </c>
      <c r="L629" t="s">
        <v>820</v>
      </c>
      <c r="M629" t="s">
        <v>28</v>
      </c>
      <c r="N629" s="1">
        <f t="shared" si="138"/>
        <v>0</v>
      </c>
      <c r="O629" s="1">
        <f t="shared" si="139"/>
        <v>1</v>
      </c>
      <c r="P629" s="1">
        <f t="shared" si="140"/>
        <v>1</v>
      </c>
      <c r="Q629" s="1">
        <f t="shared" si="141"/>
        <v>1</v>
      </c>
      <c r="R629" s="1">
        <f t="shared" si="142"/>
        <v>1</v>
      </c>
      <c r="S629" s="1">
        <f t="shared" si="143"/>
        <v>1</v>
      </c>
      <c r="T629" s="1">
        <f t="shared" si="144"/>
        <v>1</v>
      </c>
      <c r="U629" s="26">
        <f t="shared" si="145"/>
        <v>0</v>
      </c>
      <c r="V629" s="26">
        <f t="shared" si="146"/>
        <v>0</v>
      </c>
      <c r="W629" s="1">
        <f t="shared" si="147"/>
        <v>1</v>
      </c>
      <c r="X629" s="26">
        <f t="shared" si="148"/>
        <v>1</v>
      </c>
      <c r="Y629" s="26">
        <f t="shared" si="149"/>
        <v>0</v>
      </c>
      <c r="Z629" s="1">
        <f t="shared" si="150"/>
        <v>0</v>
      </c>
      <c r="AA629"/>
      <c r="AB629"/>
    </row>
    <row r="630" spans="1:28" x14ac:dyDescent="0.55000000000000004">
      <c r="A630" s="1">
        <f t="shared" si="137"/>
        <v>630</v>
      </c>
      <c r="B630" t="s">
        <v>33</v>
      </c>
      <c r="C630" t="s">
        <v>153</v>
      </c>
      <c r="D630" t="s">
        <v>177</v>
      </c>
      <c r="E630" t="s">
        <v>1033</v>
      </c>
      <c r="F630" t="s">
        <v>290</v>
      </c>
      <c r="G630" t="s">
        <v>360</v>
      </c>
      <c r="H630" t="s">
        <v>573</v>
      </c>
      <c r="I630" t="s">
        <v>285</v>
      </c>
      <c r="J630" t="s">
        <v>1043</v>
      </c>
      <c r="K630" t="s">
        <v>371</v>
      </c>
      <c r="L630" t="s">
        <v>1044</v>
      </c>
      <c r="M630" t="s">
        <v>28</v>
      </c>
      <c r="N630" s="1">
        <f t="shared" si="138"/>
        <v>2</v>
      </c>
      <c r="O630" s="1">
        <f t="shared" si="139"/>
        <v>0</v>
      </c>
      <c r="P630" s="1">
        <f t="shared" si="140"/>
        <v>2</v>
      </c>
      <c r="Q630" s="1">
        <f t="shared" si="141"/>
        <v>1</v>
      </c>
      <c r="R630" s="1">
        <f t="shared" si="142"/>
        <v>1</v>
      </c>
      <c r="S630" s="1">
        <f t="shared" si="143"/>
        <v>1</v>
      </c>
      <c r="T630" s="1">
        <f t="shared" si="144"/>
        <v>1</v>
      </c>
      <c r="U630" s="26">
        <f t="shared" si="145"/>
        <v>1</v>
      </c>
      <c r="V630" s="26">
        <f t="shared" si="146"/>
        <v>1</v>
      </c>
      <c r="W630" s="1">
        <f t="shared" si="147"/>
        <v>1</v>
      </c>
      <c r="X630" s="26">
        <f t="shared" si="148"/>
        <v>0</v>
      </c>
      <c r="Y630" s="26">
        <f t="shared" si="149"/>
        <v>0</v>
      </c>
      <c r="Z630" s="1">
        <f t="shared" si="150"/>
        <v>1</v>
      </c>
      <c r="AA630"/>
      <c r="AB630"/>
    </row>
    <row r="631" spans="1:28" x14ac:dyDescent="0.55000000000000004">
      <c r="A631" s="1">
        <f t="shared" si="137"/>
        <v>631</v>
      </c>
      <c r="B631" t="s">
        <v>39</v>
      </c>
      <c r="C631" t="s">
        <v>104</v>
      </c>
      <c r="D631" t="s">
        <v>177</v>
      </c>
      <c r="E631" t="s">
        <v>1033</v>
      </c>
      <c r="F631" t="s">
        <v>218</v>
      </c>
      <c r="G631" t="s">
        <v>226</v>
      </c>
      <c r="H631" t="s">
        <v>590</v>
      </c>
      <c r="I631" t="s">
        <v>219</v>
      </c>
      <c r="J631" t="s">
        <v>1147</v>
      </c>
      <c r="K631" t="s">
        <v>241</v>
      </c>
      <c r="L631" t="s">
        <v>1140</v>
      </c>
      <c r="M631" t="s">
        <v>28</v>
      </c>
      <c r="N631" s="1">
        <f t="shared" si="138"/>
        <v>0</v>
      </c>
      <c r="O631" s="1">
        <f t="shared" si="139"/>
        <v>1</v>
      </c>
      <c r="P631" s="1">
        <f t="shared" si="140"/>
        <v>1</v>
      </c>
      <c r="Q631" s="1">
        <f t="shared" si="141"/>
        <v>1</v>
      </c>
      <c r="R631" s="1">
        <f t="shared" si="142"/>
        <v>1</v>
      </c>
      <c r="S631" s="1">
        <f t="shared" si="143"/>
        <v>1</v>
      </c>
      <c r="T631" s="1">
        <f t="shared" si="144"/>
        <v>1</v>
      </c>
      <c r="U631" s="26">
        <f t="shared" si="145"/>
        <v>0</v>
      </c>
      <c r="V631" s="26">
        <f t="shared" si="146"/>
        <v>0</v>
      </c>
      <c r="W631" s="1">
        <f t="shared" si="147"/>
        <v>1</v>
      </c>
      <c r="X631" s="26">
        <f t="shared" si="148"/>
        <v>1</v>
      </c>
      <c r="Y631" s="26">
        <f t="shared" si="149"/>
        <v>0</v>
      </c>
      <c r="Z631" s="1">
        <f t="shared" si="150"/>
        <v>0</v>
      </c>
      <c r="AA631"/>
      <c r="AB631"/>
    </row>
    <row r="632" spans="1:28" x14ac:dyDescent="0.55000000000000004">
      <c r="A632" s="1">
        <f t="shared" si="137"/>
        <v>632</v>
      </c>
      <c r="B632" t="s">
        <v>39</v>
      </c>
      <c r="C632" t="s">
        <v>104</v>
      </c>
      <c r="D632" t="s">
        <v>177</v>
      </c>
      <c r="E632" t="s">
        <v>1033</v>
      </c>
      <c r="F632" t="s">
        <v>218</v>
      </c>
      <c r="G632" t="s">
        <v>229</v>
      </c>
      <c r="H632" t="s">
        <v>575</v>
      </c>
      <c r="I632" t="s">
        <v>231</v>
      </c>
      <c r="J632" t="s">
        <v>1148</v>
      </c>
      <c r="K632" t="s">
        <v>246</v>
      </c>
      <c r="L632" t="s">
        <v>1012</v>
      </c>
      <c r="M632" t="s">
        <v>28</v>
      </c>
      <c r="N632" s="1">
        <f t="shared" si="138"/>
        <v>1</v>
      </c>
      <c r="O632" s="1">
        <f t="shared" si="139"/>
        <v>0</v>
      </c>
      <c r="P632" s="1">
        <f t="shared" si="140"/>
        <v>1</v>
      </c>
      <c r="Q632" s="1">
        <f t="shared" si="141"/>
        <v>1</v>
      </c>
      <c r="R632" s="1">
        <f t="shared" si="142"/>
        <v>1</v>
      </c>
      <c r="S632" s="1">
        <f t="shared" si="143"/>
        <v>1</v>
      </c>
      <c r="T632" s="1">
        <f t="shared" si="144"/>
        <v>1</v>
      </c>
      <c r="U632" s="26">
        <f t="shared" si="145"/>
        <v>1</v>
      </c>
      <c r="V632" s="26">
        <f t="shared" si="146"/>
        <v>0</v>
      </c>
      <c r="W632" s="1">
        <f t="shared" si="147"/>
        <v>1</v>
      </c>
      <c r="X632" s="26">
        <f t="shared" si="148"/>
        <v>0</v>
      </c>
      <c r="Y632" s="26">
        <f t="shared" si="149"/>
        <v>0</v>
      </c>
      <c r="Z632" s="1">
        <f t="shared" si="150"/>
        <v>0</v>
      </c>
      <c r="AA632"/>
      <c r="AB632"/>
    </row>
    <row r="633" spans="1:28" x14ac:dyDescent="0.55000000000000004">
      <c r="A633" s="1">
        <f t="shared" si="137"/>
        <v>633</v>
      </c>
      <c r="B633" t="s">
        <v>39</v>
      </c>
      <c r="C633" t="s">
        <v>104</v>
      </c>
      <c r="D633" t="s">
        <v>177</v>
      </c>
      <c r="E633" t="s">
        <v>1033</v>
      </c>
      <c r="F633" t="s">
        <v>218</v>
      </c>
      <c r="G633" t="s">
        <v>235</v>
      </c>
      <c r="H633" t="s">
        <v>608</v>
      </c>
      <c r="I633" t="s">
        <v>222</v>
      </c>
      <c r="J633" t="s">
        <v>1149</v>
      </c>
      <c r="K633" t="s">
        <v>242</v>
      </c>
      <c r="L633" t="s">
        <v>1000</v>
      </c>
      <c r="M633" t="s">
        <v>28</v>
      </c>
      <c r="N633" s="1">
        <f t="shared" si="138"/>
        <v>1</v>
      </c>
      <c r="O633" s="1">
        <f t="shared" si="139"/>
        <v>1</v>
      </c>
      <c r="P633" s="1">
        <f t="shared" si="140"/>
        <v>2</v>
      </c>
      <c r="Q633" s="1">
        <f t="shared" si="141"/>
        <v>0</v>
      </c>
      <c r="R633" s="1">
        <f t="shared" si="142"/>
        <v>1</v>
      </c>
      <c r="S633" s="1">
        <f t="shared" si="143"/>
        <v>0</v>
      </c>
      <c r="T633" s="1">
        <f t="shared" si="144"/>
        <v>1</v>
      </c>
      <c r="U633" s="26">
        <f t="shared" si="145"/>
        <v>1</v>
      </c>
      <c r="V633" s="26">
        <f t="shared" si="146"/>
        <v>0</v>
      </c>
      <c r="W633" s="1">
        <f t="shared" si="147"/>
        <v>1</v>
      </c>
      <c r="X633" s="26">
        <f t="shared" si="148"/>
        <v>1</v>
      </c>
      <c r="Y633" s="26">
        <f t="shared" si="149"/>
        <v>0</v>
      </c>
      <c r="Z633" s="1">
        <f t="shared" si="150"/>
        <v>1</v>
      </c>
      <c r="AA633"/>
      <c r="AB633"/>
    </row>
    <row r="634" spans="1:28" x14ac:dyDescent="0.55000000000000004">
      <c r="A634" s="1">
        <f t="shared" si="137"/>
        <v>634</v>
      </c>
      <c r="B634" t="s">
        <v>40</v>
      </c>
      <c r="C634" t="s">
        <v>117</v>
      </c>
      <c r="D634" t="s">
        <v>177</v>
      </c>
      <c r="E634" t="s">
        <v>1033</v>
      </c>
      <c r="F634" t="s">
        <v>247</v>
      </c>
      <c r="G634" t="s">
        <v>261</v>
      </c>
      <c r="H634" t="s">
        <v>683</v>
      </c>
      <c r="I634" t="s">
        <v>266</v>
      </c>
      <c r="J634" t="s">
        <v>1155</v>
      </c>
      <c r="K634" t="s">
        <v>393</v>
      </c>
      <c r="L634" t="s">
        <v>1030</v>
      </c>
      <c r="M634" t="s">
        <v>28</v>
      </c>
      <c r="N634" s="1">
        <f t="shared" si="138"/>
        <v>3</v>
      </c>
      <c r="O634" s="1">
        <f t="shared" si="139"/>
        <v>2</v>
      </c>
      <c r="P634" s="1">
        <f t="shared" si="140"/>
        <v>5</v>
      </c>
      <c r="Q634" s="1">
        <f t="shared" si="141"/>
        <v>1</v>
      </c>
      <c r="R634" s="1">
        <f t="shared" si="142"/>
        <v>0</v>
      </c>
      <c r="S634" s="1">
        <f t="shared" si="143"/>
        <v>0</v>
      </c>
      <c r="T634" s="1">
        <f t="shared" si="144"/>
        <v>0</v>
      </c>
      <c r="U634" s="26">
        <f t="shared" si="145"/>
        <v>1</v>
      </c>
      <c r="V634" s="26">
        <f t="shared" si="146"/>
        <v>1</v>
      </c>
      <c r="W634" s="1">
        <f t="shared" si="147"/>
        <v>1</v>
      </c>
      <c r="X634" s="26">
        <f t="shared" si="148"/>
        <v>1</v>
      </c>
      <c r="Y634" s="26">
        <f t="shared" si="149"/>
        <v>1</v>
      </c>
      <c r="Z634" s="1">
        <f t="shared" si="150"/>
        <v>1</v>
      </c>
      <c r="AA634"/>
      <c r="AB634"/>
    </row>
    <row r="635" spans="1:28" x14ac:dyDescent="0.55000000000000004">
      <c r="A635" s="1">
        <f t="shared" si="137"/>
        <v>635</v>
      </c>
      <c r="B635" t="s">
        <v>30</v>
      </c>
      <c r="C635" t="s">
        <v>199</v>
      </c>
      <c r="D635" t="s">
        <v>189</v>
      </c>
      <c r="E635" t="s">
        <v>765</v>
      </c>
      <c r="F635" t="s">
        <v>181</v>
      </c>
      <c r="G635" t="s">
        <v>45</v>
      </c>
      <c r="H635" t="s">
        <v>608</v>
      </c>
      <c r="I635" t="s">
        <v>64</v>
      </c>
      <c r="J635" t="s">
        <v>766</v>
      </c>
      <c r="K635" t="s">
        <v>74</v>
      </c>
      <c r="L635" t="s">
        <v>767</v>
      </c>
      <c r="M635" t="s">
        <v>28</v>
      </c>
      <c r="N635" s="1">
        <f t="shared" si="138"/>
        <v>1</v>
      </c>
      <c r="O635" s="1">
        <f t="shared" si="139"/>
        <v>1</v>
      </c>
      <c r="P635" s="1">
        <f t="shared" si="140"/>
        <v>2</v>
      </c>
      <c r="Q635" s="1">
        <f t="shared" si="141"/>
        <v>0</v>
      </c>
      <c r="R635" s="1">
        <f t="shared" si="142"/>
        <v>1</v>
      </c>
      <c r="S635" s="1">
        <f t="shared" si="143"/>
        <v>0</v>
      </c>
      <c r="T635" s="1">
        <f t="shared" si="144"/>
        <v>1</v>
      </c>
      <c r="U635" s="26">
        <f t="shared" si="145"/>
        <v>1</v>
      </c>
      <c r="V635" s="26">
        <f t="shared" si="146"/>
        <v>0</v>
      </c>
      <c r="W635" s="1">
        <f t="shared" si="147"/>
        <v>1</v>
      </c>
      <c r="X635" s="26">
        <f t="shared" si="148"/>
        <v>1</v>
      </c>
      <c r="Y635" s="26">
        <f t="shared" si="149"/>
        <v>0</v>
      </c>
      <c r="Z635" s="1">
        <f t="shared" si="150"/>
        <v>1</v>
      </c>
      <c r="AA635"/>
      <c r="AB635"/>
    </row>
    <row r="636" spans="1:28" x14ac:dyDescent="0.55000000000000004">
      <c r="A636" s="1">
        <f t="shared" si="137"/>
        <v>636</v>
      </c>
      <c r="B636" t="s">
        <v>30</v>
      </c>
      <c r="C636" t="s">
        <v>199</v>
      </c>
      <c r="D636" t="s">
        <v>189</v>
      </c>
      <c r="E636" t="s">
        <v>765</v>
      </c>
      <c r="F636" t="s">
        <v>181</v>
      </c>
      <c r="G636" t="s">
        <v>66</v>
      </c>
      <c r="H636" t="s">
        <v>565</v>
      </c>
      <c r="I636" t="s">
        <v>48</v>
      </c>
      <c r="J636" t="s">
        <v>768</v>
      </c>
      <c r="K636" t="s">
        <v>68</v>
      </c>
      <c r="L636" t="s">
        <v>769</v>
      </c>
      <c r="M636" t="s">
        <v>28</v>
      </c>
      <c r="N636" s="1">
        <f t="shared" si="138"/>
        <v>2</v>
      </c>
      <c r="O636" s="1">
        <f t="shared" si="139"/>
        <v>3</v>
      </c>
      <c r="P636" s="1">
        <f t="shared" si="140"/>
        <v>5</v>
      </c>
      <c r="Q636" s="1">
        <f t="shared" si="141"/>
        <v>1</v>
      </c>
      <c r="R636" s="1">
        <f t="shared" si="142"/>
        <v>0</v>
      </c>
      <c r="S636" s="1">
        <f t="shared" si="143"/>
        <v>0</v>
      </c>
      <c r="T636" s="1">
        <f t="shared" si="144"/>
        <v>1</v>
      </c>
      <c r="U636" s="26">
        <f t="shared" si="145"/>
        <v>1</v>
      </c>
      <c r="V636" s="26">
        <f t="shared" si="146"/>
        <v>1</v>
      </c>
      <c r="W636" s="1">
        <f t="shared" si="147"/>
        <v>0</v>
      </c>
      <c r="X636" s="26">
        <f t="shared" si="148"/>
        <v>1</v>
      </c>
      <c r="Y636" s="26">
        <f t="shared" si="149"/>
        <v>1</v>
      </c>
      <c r="Z636" s="1">
        <f t="shared" si="150"/>
        <v>1</v>
      </c>
      <c r="AA636"/>
      <c r="AB636"/>
    </row>
    <row r="637" spans="1:28" x14ac:dyDescent="0.55000000000000004">
      <c r="A637" s="1">
        <f t="shared" si="137"/>
        <v>637</v>
      </c>
      <c r="B637" t="s">
        <v>30</v>
      </c>
      <c r="C637" t="s">
        <v>199</v>
      </c>
      <c r="D637" t="s">
        <v>189</v>
      </c>
      <c r="E637" t="s">
        <v>765</v>
      </c>
      <c r="F637" t="s">
        <v>181</v>
      </c>
      <c r="G637" t="s">
        <v>44</v>
      </c>
      <c r="H637" t="s">
        <v>579</v>
      </c>
      <c r="I637" t="s">
        <v>63</v>
      </c>
      <c r="J637" t="s">
        <v>770</v>
      </c>
      <c r="K637" t="s">
        <v>46</v>
      </c>
      <c r="L637" t="s">
        <v>757</v>
      </c>
      <c r="M637" t="s">
        <v>28</v>
      </c>
      <c r="N637" s="1">
        <f t="shared" si="138"/>
        <v>2</v>
      </c>
      <c r="O637" s="1">
        <f t="shared" si="139"/>
        <v>1</v>
      </c>
      <c r="P637" s="1">
        <f t="shared" si="140"/>
        <v>3</v>
      </c>
      <c r="Q637" s="1">
        <f t="shared" si="141"/>
        <v>1</v>
      </c>
      <c r="R637" s="1">
        <f t="shared" si="142"/>
        <v>1</v>
      </c>
      <c r="S637" s="1">
        <f t="shared" si="143"/>
        <v>1</v>
      </c>
      <c r="T637" s="1">
        <f t="shared" si="144"/>
        <v>1</v>
      </c>
      <c r="U637" s="26">
        <f t="shared" si="145"/>
        <v>1</v>
      </c>
      <c r="V637" s="26">
        <f t="shared" si="146"/>
        <v>1</v>
      </c>
      <c r="W637" s="1">
        <f t="shared" si="147"/>
        <v>1</v>
      </c>
      <c r="X637" s="26">
        <f t="shared" si="148"/>
        <v>1</v>
      </c>
      <c r="Y637" s="26">
        <f t="shared" si="149"/>
        <v>0</v>
      </c>
      <c r="Z637" s="1">
        <f t="shared" si="150"/>
        <v>1</v>
      </c>
      <c r="AA637"/>
      <c r="AB637"/>
    </row>
    <row r="638" spans="1:28" x14ac:dyDescent="0.55000000000000004">
      <c r="A638" s="1">
        <f t="shared" si="137"/>
        <v>638</v>
      </c>
      <c r="B638" t="s">
        <v>30</v>
      </c>
      <c r="C638" t="s">
        <v>199</v>
      </c>
      <c r="D638" t="s">
        <v>189</v>
      </c>
      <c r="E638" t="s">
        <v>765</v>
      </c>
      <c r="F638" t="s">
        <v>182</v>
      </c>
      <c r="G638" t="s">
        <v>61</v>
      </c>
      <c r="H638" t="s">
        <v>708</v>
      </c>
      <c r="I638" t="s">
        <v>55</v>
      </c>
      <c r="J638" t="s">
        <v>771</v>
      </c>
      <c r="K638" t="s">
        <v>62</v>
      </c>
      <c r="L638" t="s">
        <v>759</v>
      </c>
      <c r="M638" t="s">
        <v>28</v>
      </c>
      <c r="N638" s="1">
        <f t="shared" si="138"/>
        <v>0</v>
      </c>
      <c r="O638" s="1">
        <f t="shared" si="139"/>
        <v>0</v>
      </c>
      <c r="P638" s="1">
        <f t="shared" si="140"/>
        <v>0</v>
      </c>
      <c r="Q638" s="1">
        <f t="shared" si="141"/>
        <v>0</v>
      </c>
      <c r="R638" s="1">
        <f t="shared" si="142"/>
        <v>1</v>
      </c>
      <c r="S638" s="1">
        <f t="shared" si="143"/>
        <v>0</v>
      </c>
      <c r="T638" s="1">
        <f t="shared" si="144"/>
        <v>1</v>
      </c>
      <c r="U638" s="26">
        <f t="shared" si="145"/>
        <v>0</v>
      </c>
      <c r="V638" s="26">
        <f t="shared" si="146"/>
        <v>0</v>
      </c>
      <c r="W638" s="1">
        <f t="shared" si="147"/>
        <v>1</v>
      </c>
      <c r="X638" s="26">
        <f t="shared" si="148"/>
        <v>0</v>
      </c>
      <c r="Y638" s="26">
        <f t="shared" si="149"/>
        <v>0</v>
      </c>
      <c r="Z638" s="1">
        <f t="shared" si="150"/>
        <v>0</v>
      </c>
      <c r="AA638"/>
      <c r="AB638"/>
    </row>
    <row r="639" spans="1:28" x14ac:dyDescent="0.55000000000000004">
      <c r="A639" s="1">
        <f t="shared" si="137"/>
        <v>639</v>
      </c>
      <c r="B639" t="s">
        <v>37</v>
      </c>
      <c r="C639" t="s">
        <v>116</v>
      </c>
      <c r="D639" t="s">
        <v>174</v>
      </c>
      <c r="E639" t="s">
        <v>1283</v>
      </c>
      <c r="F639" t="s">
        <v>315</v>
      </c>
      <c r="G639" t="s">
        <v>321</v>
      </c>
      <c r="H639" t="s">
        <v>608</v>
      </c>
      <c r="I639" t="s">
        <v>326</v>
      </c>
      <c r="J639" t="s">
        <v>1284</v>
      </c>
      <c r="K639" t="s">
        <v>323</v>
      </c>
      <c r="L639" t="s">
        <v>593</v>
      </c>
      <c r="M639" t="s">
        <v>28</v>
      </c>
      <c r="N639" s="1">
        <f t="shared" si="138"/>
        <v>1</v>
      </c>
      <c r="O639" s="1">
        <f t="shared" si="139"/>
        <v>1</v>
      </c>
      <c r="P639" s="1">
        <f t="shared" si="140"/>
        <v>2</v>
      </c>
      <c r="Q639" s="1">
        <f t="shared" si="141"/>
        <v>0</v>
      </c>
      <c r="R639" s="1">
        <f t="shared" si="142"/>
        <v>1</v>
      </c>
      <c r="S639" s="1">
        <f t="shared" si="143"/>
        <v>0</v>
      </c>
      <c r="T639" s="1">
        <f t="shared" si="144"/>
        <v>1</v>
      </c>
      <c r="U639" s="26">
        <f t="shared" si="145"/>
        <v>1</v>
      </c>
      <c r="V639" s="26">
        <f t="shared" si="146"/>
        <v>0</v>
      </c>
      <c r="W639" s="1">
        <f t="shared" si="147"/>
        <v>1</v>
      </c>
      <c r="X639" s="26">
        <f t="shared" si="148"/>
        <v>1</v>
      </c>
      <c r="Y639" s="26">
        <f t="shared" si="149"/>
        <v>0</v>
      </c>
      <c r="Z639" s="1">
        <f t="shared" si="150"/>
        <v>1</v>
      </c>
      <c r="AA639"/>
      <c r="AB639"/>
    </row>
    <row r="640" spans="1:28" x14ac:dyDescent="0.55000000000000004">
      <c r="A640" s="1">
        <f t="shared" si="137"/>
        <v>640</v>
      </c>
      <c r="B640" t="s">
        <v>37</v>
      </c>
      <c r="C640" t="s">
        <v>116</v>
      </c>
      <c r="D640" t="s">
        <v>174</v>
      </c>
      <c r="E640" t="s">
        <v>1283</v>
      </c>
      <c r="F640" t="s">
        <v>315</v>
      </c>
      <c r="G640" t="s">
        <v>328</v>
      </c>
      <c r="H640" t="s">
        <v>1285</v>
      </c>
      <c r="I640" t="s">
        <v>318</v>
      </c>
      <c r="J640" t="s">
        <v>1286</v>
      </c>
      <c r="K640" t="s">
        <v>329</v>
      </c>
      <c r="L640" t="s">
        <v>888</v>
      </c>
      <c r="M640" t="s">
        <v>28</v>
      </c>
      <c r="N640" s="1">
        <f t="shared" si="138"/>
        <v>3</v>
      </c>
      <c r="O640" s="1">
        <f t="shared" si="139"/>
        <v>4</v>
      </c>
      <c r="P640" s="1">
        <f t="shared" si="140"/>
        <v>7</v>
      </c>
      <c r="Q640" s="1">
        <f t="shared" si="141"/>
        <v>1</v>
      </c>
      <c r="R640" s="1">
        <f t="shared" si="142"/>
        <v>0</v>
      </c>
      <c r="S640" s="1">
        <f t="shared" si="143"/>
        <v>0</v>
      </c>
      <c r="T640" s="1">
        <f t="shared" si="144"/>
        <v>0</v>
      </c>
      <c r="U640" s="26">
        <f t="shared" si="145"/>
        <v>1</v>
      </c>
      <c r="V640" s="26">
        <f t="shared" si="146"/>
        <v>1</v>
      </c>
      <c r="W640" s="1">
        <f t="shared" si="147"/>
        <v>0</v>
      </c>
      <c r="X640" s="26">
        <f t="shared" si="148"/>
        <v>0</v>
      </c>
      <c r="Y640" s="26">
        <f t="shared" si="149"/>
        <v>1</v>
      </c>
      <c r="Z640" s="1">
        <f t="shared" si="150"/>
        <v>1</v>
      </c>
      <c r="AA640"/>
      <c r="AB640"/>
    </row>
    <row r="641" spans="1:28" x14ac:dyDescent="0.55000000000000004">
      <c r="A641" s="1">
        <f t="shared" si="137"/>
        <v>641</v>
      </c>
      <c r="B641" t="s">
        <v>37</v>
      </c>
      <c r="C641" t="s">
        <v>116</v>
      </c>
      <c r="D641" t="s">
        <v>174</v>
      </c>
      <c r="E641" t="s">
        <v>1283</v>
      </c>
      <c r="F641" t="s">
        <v>315</v>
      </c>
      <c r="G641" t="s">
        <v>312</v>
      </c>
      <c r="H641" t="s">
        <v>570</v>
      </c>
      <c r="I641" t="s">
        <v>322</v>
      </c>
      <c r="J641" t="s">
        <v>1287</v>
      </c>
      <c r="K641" t="s">
        <v>314</v>
      </c>
      <c r="L641" t="s">
        <v>875</v>
      </c>
      <c r="M641" t="s">
        <v>28</v>
      </c>
      <c r="N641" s="1">
        <f t="shared" si="138"/>
        <v>3</v>
      </c>
      <c r="O641" s="1">
        <f t="shared" si="139"/>
        <v>1</v>
      </c>
      <c r="P641" s="1">
        <f t="shared" si="140"/>
        <v>4</v>
      </c>
      <c r="Q641" s="1">
        <f t="shared" si="141"/>
        <v>1</v>
      </c>
      <c r="R641" s="1">
        <f t="shared" si="142"/>
        <v>1</v>
      </c>
      <c r="S641" s="1">
        <f t="shared" si="143"/>
        <v>1</v>
      </c>
      <c r="T641" s="1">
        <f t="shared" si="144"/>
        <v>0</v>
      </c>
      <c r="U641" s="26">
        <f t="shared" si="145"/>
        <v>1</v>
      </c>
      <c r="V641" s="26">
        <f t="shared" si="146"/>
        <v>1</v>
      </c>
      <c r="W641" s="1">
        <f t="shared" si="147"/>
        <v>1</v>
      </c>
      <c r="X641" s="26">
        <f t="shared" si="148"/>
        <v>1</v>
      </c>
      <c r="Y641" s="26">
        <f t="shared" si="149"/>
        <v>0</v>
      </c>
      <c r="Z641" s="1">
        <f t="shared" si="150"/>
        <v>1</v>
      </c>
      <c r="AA641"/>
      <c r="AB641"/>
    </row>
    <row r="642" spans="1:28" x14ac:dyDescent="0.55000000000000004">
      <c r="A642" s="1">
        <f t="shared" si="137"/>
        <v>642</v>
      </c>
      <c r="B642" t="s">
        <v>37</v>
      </c>
      <c r="C642" t="s">
        <v>116</v>
      </c>
      <c r="D642" t="s">
        <v>174</v>
      </c>
      <c r="E642" t="s">
        <v>1283</v>
      </c>
      <c r="F642" t="s">
        <v>311</v>
      </c>
      <c r="G642" t="s">
        <v>324</v>
      </c>
      <c r="H642" t="s">
        <v>575</v>
      </c>
      <c r="I642" t="s">
        <v>319</v>
      </c>
      <c r="J642" t="s">
        <v>1288</v>
      </c>
      <c r="K642" t="s">
        <v>885</v>
      </c>
      <c r="L642" t="s">
        <v>589</v>
      </c>
      <c r="M642" t="s">
        <v>28</v>
      </c>
      <c r="N642" s="1">
        <f t="shared" si="138"/>
        <v>1</v>
      </c>
      <c r="O642" s="1">
        <f t="shared" si="139"/>
        <v>0</v>
      </c>
      <c r="P642" s="1">
        <f t="shared" si="140"/>
        <v>1</v>
      </c>
      <c r="Q642" s="1">
        <f t="shared" si="141"/>
        <v>1</v>
      </c>
      <c r="R642" s="1">
        <f t="shared" si="142"/>
        <v>1</v>
      </c>
      <c r="S642" s="1">
        <f t="shared" si="143"/>
        <v>1</v>
      </c>
      <c r="T642" s="1">
        <f t="shared" si="144"/>
        <v>1</v>
      </c>
      <c r="U642" s="26">
        <f t="shared" si="145"/>
        <v>1</v>
      </c>
      <c r="V642" s="26">
        <f t="shared" si="146"/>
        <v>0</v>
      </c>
      <c r="W642" s="1">
        <f t="shared" si="147"/>
        <v>1</v>
      </c>
      <c r="X642" s="26">
        <f t="shared" si="148"/>
        <v>0</v>
      </c>
      <c r="Y642" s="26">
        <f t="shared" si="149"/>
        <v>0</v>
      </c>
      <c r="Z642" s="1">
        <f t="shared" si="150"/>
        <v>0</v>
      </c>
      <c r="AA642"/>
      <c r="AB642"/>
    </row>
    <row r="643" spans="1:28" x14ac:dyDescent="0.55000000000000004">
      <c r="A643" s="1">
        <f t="shared" ref="A643:A706" si="151">A642+1</f>
        <v>643</v>
      </c>
      <c r="B643" t="s">
        <v>40</v>
      </c>
      <c r="C643" t="s">
        <v>199</v>
      </c>
      <c r="D643" t="s">
        <v>174</v>
      </c>
      <c r="E643" t="s">
        <v>1283</v>
      </c>
      <c r="F643" t="s">
        <v>247</v>
      </c>
      <c r="G643" t="s">
        <v>248</v>
      </c>
      <c r="H643" t="s">
        <v>608</v>
      </c>
      <c r="I643" t="s">
        <v>258</v>
      </c>
      <c r="J643" t="s">
        <v>1369</v>
      </c>
      <c r="K643" t="s">
        <v>250</v>
      </c>
      <c r="L643" t="s">
        <v>595</v>
      </c>
      <c r="M643" t="s">
        <v>28</v>
      </c>
      <c r="N643" s="1">
        <f t="shared" ref="N643:N706" si="152">VALUE(LEFT(H643,1))</f>
        <v>1</v>
      </c>
      <c r="O643" s="1">
        <f t="shared" ref="O643:O706" si="153">VALUE(RIGHT(H643,1))</f>
        <v>1</v>
      </c>
      <c r="P643" s="1">
        <f t="shared" ref="P643:P706" si="154">SUM(N643,O643)</f>
        <v>2</v>
      </c>
      <c r="Q643" s="1">
        <f t="shared" ref="Q643:Q706" si="155">IF(N643&lt;&gt;O643, 1, 0)</f>
        <v>0</v>
      </c>
      <c r="R643" s="1">
        <f t="shared" ref="R643:R706" si="156">IF(P643&lt;=4,1,0)</f>
        <v>1</v>
      </c>
      <c r="S643" s="1">
        <f t="shared" ref="S643:S706" si="157">IF(AND(Q643=1,R643=1),1,0)</f>
        <v>0</v>
      </c>
      <c r="T643" s="1">
        <f t="shared" ref="T643:T706" si="158">IF(N643&lt;=2,1,0)</f>
        <v>1</v>
      </c>
      <c r="U643" s="26">
        <f t="shared" ref="U643:U706" si="159">IF(AND(N643&gt;=1,N643&lt;=3),1,0)</f>
        <v>1</v>
      </c>
      <c r="V643" s="26">
        <f t="shared" ref="V643:V706" si="160">IF(AND(N643&gt;=2,N643&lt;=5),1,0)</f>
        <v>0</v>
      </c>
      <c r="W643" s="1">
        <f t="shared" ref="W643:W706" si="161">IF(O643&lt;=2,1,0)</f>
        <v>1</v>
      </c>
      <c r="X643" s="26">
        <f t="shared" ref="X643:X706" si="162">IF(AND(O643&gt;=1,O643&lt;=3),1,0)</f>
        <v>1</v>
      </c>
      <c r="Y643" s="26">
        <f t="shared" ref="Y643:Y706" si="163">IF(AND(O643&gt;=2,O643&lt;=5),1,0)</f>
        <v>0</v>
      </c>
      <c r="Z643" s="1">
        <f t="shared" ref="Z643:Z706" si="164">IF(P643&gt;=2,1,0)</f>
        <v>1</v>
      </c>
      <c r="AA643"/>
      <c r="AB643"/>
    </row>
    <row r="644" spans="1:28" x14ac:dyDescent="0.55000000000000004">
      <c r="A644" s="1">
        <f t="shared" si="151"/>
        <v>644</v>
      </c>
      <c r="B644" t="s">
        <v>40</v>
      </c>
      <c r="C644" t="s">
        <v>199</v>
      </c>
      <c r="D644" t="s">
        <v>174</v>
      </c>
      <c r="E644" t="s">
        <v>1283</v>
      </c>
      <c r="F644" t="s">
        <v>247</v>
      </c>
      <c r="G644" t="s">
        <v>263</v>
      </c>
      <c r="H644" t="s">
        <v>683</v>
      </c>
      <c r="I644" t="s">
        <v>249</v>
      </c>
      <c r="J644" t="s">
        <v>1370</v>
      </c>
      <c r="K644" t="s">
        <v>264</v>
      </c>
      <c r="L644" t="s">
        <v>1016</v>
      </c>
      <c r="M644" t="s">
        <v>28</v>
      </c>
      <c r="N644" s="1">
        <f t="shared" si="152"/>
        <v>3</v>
      </c>
      <c r="O644" s="1">
        <f t="shared" si="153"/>
        <v>2</v>
      </c>
      <c r="P644" s="1">
        <f t="shared" si="154"/>
        <v>5</v>
      </c>
      <c r="Q644" s="1">
        <f t="shared" si="155"/>
        <v>1</v>
      </c>
      <c r="R644" s="1">
        <f t="shared" si="156"/>
        <v>0</v>
      </c>
      <c r="S644" s="1">
        <f t="shared" si="157"/>
        <v>0</v>
      </c>
      <c r="T644" s="1">
        <f t="shared" si="158"/>
        <v>0</v>
      </c>
      <c r="U644" s="26">
        <f t="shared" si="159"/>
        <v>1</v>
      </c>
      <c r="V644" s="26">
        <f t="shared" si="160"/>
        <v>1</v>
      </c>
      <c r="W644" s="1">
        <f t="shared" si="161"/>
        <v>1</v>
      </c>
      <c r="X644" s="26">
        <f t="shared" si="162"/>
        <v>1</v>
      </c>
      <c r="Y644" s="26">
        <f t="shared" si="163"/>
        <v>1</v>
      </c>
      <c r="Z644" s="1">
        <f t="shared" si="164"/>
        <v>1</v>
      </c>
      <c r="AA644"/>
      <c r="AB644"/>
    </row>
    <row r="645" spans="1:28" x14ac:dyDescent="0.55000000000000004">
      <c r="A645" s="1">
        <f t="shared" si="151"/>
        <v>645</v>
      </c>
      <c r="B645" t="s">
        <v>40</v>
      </c>
      <c r="C645" t="s">
        <v>199</v>
      </c>
      <c r="D645" t="s">
        <v>174</v>
      </c>
      <c r="E645" t="s">
        <v>1283</v>
      </c>
      <c r="F645" t="s">
        <v>251</v>
      </c>
      <c r="G645" t="s">
        <v>255</v>
      </c>
      <c r="H645" t="s">
        <v>608</v>
      </c>
      <c r="I645" t="s">
        <v>265</v>
      </c>
      <c r="J645" t="s">
        <v>1371</v>
      </c>
      <c r="K645" t="s">
        <v>257</v>
      </c>
      <c r="L645" t="s">
        <v>1014</v>
      </c>
      <c r="M645" t="s">
        <v>28</v>
      </c>
      <c r="N645" s="1">
        <f t="shared" si="152"/>
        <v>1</v>
      </c>
      <c r="O645" s="1">
        <f t="shared" si="153"/>
        <v>1</v>
      </c>
      <c r="P645" s="1">
        <f t="shared" si="154"/>
        <v>2</v>
      </c>
      <c r="Q645" s="1">
        <f t="shared" si="155"/>
        <v>0</v>
      </c>
      <c r="R645" s="1">
        <f t="shared" si="156"/>
        <v>1</v>
      </c>
      <c r="S645" s="1">
        <f t="shared" si="157"/>
        <v>0</v>
      </c>
      <c r="T645" s="1">
        <f t="shared" si="158"/>
        <v>1</v>
      </c>
      <c r="U645" s="26">
        <f t="shared" si="159"/>
        <v>1</v>
      </c>
      <c r="V645" s="26">
        <f t="shared" si="160"/>
        <v>0</v>
      </c>
      <c r="W645" s="1">
        <f t="shared" si="161"/>
        <v>1</v>
      </c>
      <c r="X645" s="26">
        <f t="shared" si="162"/>
        <v>1</v>
      </c>
      <c r="Y645" s="26">
        <f t="shared" si="163"/>
        <v>0</v>
      </c>
      <c r="Z645" s="1">
        <f t="shared" si="164"/>
        <v>1</v>
      </c>
      <c r="AA645"/>
      <c r="AB645"/>
    </row>
    <row r="646" spans="1:28" x14ac:dyDescent="0.55000000000000004">
      <c r="A646" s="1">
        <f t="shared" si="151"/>
        <v>646</v>
      </c>
      <c r="B646" t="s">
        <v>33</v>
      </c>
      <c r="C646" t="s">
        <v>84</v>
      </c>
      <c r="D646" t="s">
        <v>133</v>
      </c>
      <c r="E646" t="s">
        <v>1768</v>
      </c>
      <c r="F646" t="s">
        <v>364</v>
      </c>
      <c r="G646" t="s">
        <v>367</v>
      </c>
      <c r="H646" t="s">
        <v>687</v>
      </c>
      <c r="I646" t="s">
        <v>296</v>
      </c>
      <c r="J646" t="s">
        <v>1769</v>
      </c>
      <c r="K646" t="s">
        <v>368</v>
      </c>
      <c r="L646" t="s">
        <v>1097</v>
      </c>
      <c r="M646" t="s">
        <v>28</v>
      </c>
      <c r="N646" s="1">
        <f t="shared" si="152"/>
        <v>4</v>
      </c>
      <c r="O646" s="1">
        <f t="shared" si="153"/>
        <v>0</v>
      </c>
      <c r="P646" s="1">
        <f t="shared" si="154"/>
        <v>4</v>
      </c>
      <c r="Q646" s="1">
        <f t="shared" si="155"/>
        <v>1</v>
      </c>
      <c r="R646" s="1">
        <f t="shared" si="156"/>
        <v>1</v>
      </c>
      <c r="S646" s="1">
        <f t="shared" si="157"/>
        <v>1</v>
      </c>
      <c r="T646" s="1">
        <f t="shared" si="158"/>
        <v>0</v>
      </c>
      <c r="U646" s="26">
        <f t="shared" si="159"/>
        <v>0</v>
      </c>
      <c r="V646" s="26">
        <f t="shared" si="160"/>
        <v>1</v>
      </c>
      <c r="W646" s="1">
        <f t="shared" si="161"/>
        <v>1</v>
      </c>
      <c r="X646" s="26">
        <f t="shared" si="162"/>
        <v>0</v>
      </c>
      <c r="Y646" s="26">
        <f t="shared" si="163"/>
        <v>0</v>
      </c>
      <c r="Z646" s="1">
        <f t="shared" si="164"/>
        <v>1</v>
      </c>
      <c r="AA646"/>
      <c r="AB646"/>
    </row>
    <row r="647" spans="1:28" x14ac:dyDescent="0.55000000000000004">
      <c r="A647" s="1">
        <f t="shared" si="151"/>
        <v>647</v>
      </c>
      <c r="B647" t="s">
        <v>33</v>
      </c>
      <c r="C647" t="s">
        <v>84</v>
      </c>
      <c r="D647" t="s">
        <v>133</v>
      </c>
      <c r="E647" t="s">
        <v>1768</v>
      </c>
      <c r="F647" t="s">
        <v>277</v>
      </c>
      <c r="G647" t="s">
        <v>281</v>
      </c>
      <c r="H647" t="s">
        <v>798</v>
      </c>
      <c r="I647" t="s">
        <v>299</v>
      </c>
      <c r="J647" t="s">
        <v>1770</v>
      </c>
      <c r="K647" t="s">
        <v>283</v>
      </c>
      <c r="L647" t="s">
        <v>826</v>
      </c>
      <c r="M647" t="s">
        <v>28</v>
      </c>
      <c r="N647" s="1">
        <f t="shared" si="152"/>
        <v>2</v>
      </c>
      <c r="O647" s="1">
        <f t="shared" si="153"/>
        <v>4</v>
      </c>
      <c r="P647" s="1">
        <f t="shared" si="154"/>
        <v>6</v>
      </c>
      <c r="Q647" s="1">
        <f t="shared" si="155"/>
        <v>1</v>
      </c>
      <c r="R647" s="1">
        <f t="shared" si="156"/>
        <v>0</v>
      </c>
      <c r="S647" s="1">
        <f t="shared" si="157"/>
        <v>0</v>
      </c>
      <c r="T647" s="1">
        <f t="shared" si="158"/>
        <v>1</v>
      </c>
      <c r="U647" s="26">
        <f t="shared" si="159"/>
        <v>1</v>
      </c>
      <c r="V647" s="26">
        <f t="shared" si="160"/>
        <v>1</v>
      </c>
      <c r="W647" s="1">
        <f t="shared" si="161"/>
        <v>0</v>
      </c>
      <c r="X647" s="26">
        <f t="shared" si="162"/>
        <v>0</v>
      </c>
      <c r="Y647" s="26">
        <f t="shared" si="163"/>
        <v>1</v>
      </c>
      <c r="Z647" s="1">
        <f t="shared" si="164"/>
        <v>1</v>
      </c>
      <c r="AA647"/>
      <c r="AB647"/>
    </row>
    <row r="648" spans="1:28" x14ac:dyDescent="0.55000000000000004">
      <c r="A648" s="1">
        <f t="shared" si="151"/>
        <v>648</v>
      </c>
      <c r="B648" t="s">
        <v>33</v>
      </c>
      <c r="C648" t="s">
        <v>84</v>
      </c>
      <c r="D648" t="s">
        <v>133</v>
      </c>
      <c r="E648" t="s">
        <v>1768</v>
      </c>
      <c r="F648" t="s">
        <v>290</v>
      </c>
      <c r="G648" t="s">
        <v>288</v>
      </c>
      <c r="H648" t="s">
        <v>687</v>
      </c>
      <c r="I648" t="s">
        <v>287</v>
      </c>
      <c r="J648" t="s">
        <v>1771</v>
      </c>
      <c r="K648" t="s">
        <v>361</v>
      </c>
      <c r="L648" t="s">
        <v>1059</v>
      </c>
      <c r="M648" t="s">
        <v>28</v>
      </c>
      <c r="N648" s="1">
        <f t="shared" si="152"/>
        <v>4</v>
      </c>
      <c r="O648" s="1">
        <f t="shared" si="153"/>
        <v>0</v>
      </c>
      <c r="P648" s="1">
        <f t="shared" si="154"/>
        <v>4</v>
      </c>
      <c r="Q648" s="1">
        <f t="shared" si="155"/>
        <v>1</v>
      </c>
      <c r="R648" s="1">
        <f t="shared" si="156"/>
        <v>1</v>
      </c>
      <c r="S648" s="1">
        <f t="shared" si="157"/>
        <v>1</v>
      </c>
      <c r="T648" s="1">
        <f t="shared" si="158"/>
        <v>0</v>
      </c>
      <c r="U648" s="26">
        <f t="shared" si="159"/>
        <v>0</v>
      </c>
      <c r="V648" s="26">
        <f t="shared" si="160"/>
        <v>1</v>
      </c>
      <c r="W648" s="1">
        <f t="shared" si="161"/>
        <v>1</v>
      </c>
      <c r="X648" s="26">
        <f t="shared" si="162"/>
        <v>0</v>
      </c>
      <c r="Y648" s="26">
        <f t="shared" si="163"/>
        <v>0</v>
      </c>
      <c r="Z648" s="1">
        <f t="shared" si="164"/>
        <v>1</v>
      </c>
      <c r="AA648"/>
      <c r="AB648"/>
    </row>
    <row r="649" spans="1:28" x14ac:dyDescent="0.55000000000000004">
      <c r="A649" s="1">
        <f t="shared" si="151"/>
        <v>649</v>
      </c>
      <c r="B649" t="s">
        <v>35</v>
      </c>
      <c r="C649" t="s">
        <v>132</v>
      </c>
      <c r="D649" t="s">
        <v>133</v>
      </c>
      <c r="E649" t="s">
        <v>1768</v>
      </c>
      <c r="F649" t="s">
        <v>376</v>
      </c>
      <c r="G649" t="s">
        <v>211</v>
      </c>
      <c r="H649" t="s">
        <v>581</v>
      </c>
      <c r="I649" t="s">
        <v>208</v>
      </c>
      <c r="J649" t="s">
        <v>1813</v>
      </c>
      <c r="K649" t="s">
        <v>309</v>
      </c>
      <c r="L649" t="s">
        <v>677</v>
      </c>
      <c r="M649" t="s">
        <v>28</v>
      </c>
      <c r="N649" s="1">
        <f t="shared" si="152"/>
        <v>1</v>
      </c>
      <c r="O649" s="1">
        <f t="shared" si="153"/>
        <v>2</v>
      </c>
      <c r="P649" s="1">
        <f t="shared" si="154"/>
        <v>3</v>
      </c>
      <c r="Q649" s="1">
        <f t="shared" si="155"/>
        <v>1</v>
      </c>
      <c r="R649" s="1">
        <f t="shared" si="156"/>
        <v>1</v>
      </c>
      <c r="S649" s="1">
        <f t="shared" si="157"/>
        <v>1</v>
      </c>
      <c r="T649" s="1">
        <f t="shared" si="158"/>
        <v>1</v>
      </c>
      <c r="U649" s="26">
        <f t="shared" si="159"/>
        <v>1</v>
      </c>
      <c r="V649" s="26">
        <f t="shared" si="160"/>
        <v>0</v>
      </c>
      <c r="W649" s="1">
        <f t="shared" si="161"/>
        <v>1</v>
      </c>
      <c r="X649" s="26">
        <f t="shared" si="162"/>
        <v>1</v>
      </c>
      <c r="Y649" s="26">
        <f t="shared" si="163"/>
        <v>1</v>
      </c>
      <c r="Z649" s="1">
        <f t="shared" si="164"/>
        <v>1</v>
      </c>
      <c r="AA649"/>
      <c r="AB649"/>
    </row>
    <row r="650" spans="1:28" x14ac:dyDescent="0.55000000000000004">
      <c r="A650" s="1">
        <f t="shared" si="151"/>
        <v>650</v>
      </c>
      <c r="B650" t="s">
        <v>35</v>
      </c>
      <c r="C650" t="s">
        <v>132</v>
      </c>
      <c r="D650" t="s">
        <v>133</v>
      </c>
      <c r="E650" t="s">
        <v>1768</v>
      </c>
      <c r="F650" t="s">
        <v>375</v>
      </c>
      <c r="G650" t="s">
        <v>210</v>
      </c>
      <c r="H650" t="s">
        <v>608</v>
      </c>
      <c r="I650" t="s">
        <v>384</v>
      </c>
      <c r="J650" t="s">
        <v>1814</v>
      </c>
      <c r="K650" t="s">
        <v>212</v>
      </c>
      <c r="L650" t="s">
        <v>576</v>
      </c>
      <c r="M650" t="s">
        <v>28</v>
      </c>
      <c r="N650" s="1">
        <f t="shared" si="152"/>
        <v>1</v>
      </c>
      <c r="O650" s="1">
        <f t="shared" si="153"/>
        <v>1</v>
      </c>
      <c r="P650" s="1">
        <f t="shared" si="154"/>
        <v>2</v>
      </c>
      <c r="Q650" s="1">
        <f t="shared" si="155"/>
        <v>0</v>
      </c>
      <c r="R650" s="1">
        <f t="shared" si="156"/>
        <v>1</v>
      </c>
      <c r="S650" s="1">
        <f t="shared" si="157"/>
        <v>0</v>
      </c>
      <c r="T650" s="1">
        <f t="shared" si="158"/>
        <v>1</v>
      </c>
      <c r="U650" s="26">
        <f t="shared" si="159"/>
        <v>1</v>
      </c>
      <c r="V650" s="26">
        <f t="shared" si="160"/>
        <v>0</v>
      </c>
      <c r="W650" s="1">
        <f t="shared" si="161"/>
        <v>1</v>
      </c>
      <c r="X650" s="26">
        <f t="shared" si="162"/>
        <v>1</v>
      </c>
      <c r="Y650" s="26">
        <f t="shared" si="163"/>
        <v>0</v>
      </c>
      <c r="Z650" s="1">
        <f t="shared" si="164"/>
        <v>1</v>
      </c>
      <c r="AA650"/>
      <c r="AB650"/>
    </row>
    <row r="651" spans="1:28" x14ac:dyDescent="0.55000000000000004">
      <c r="A651" s="1">
        <f t="shared" si="151"/>
        <v>651</v>
      </c>
      <c r="B651" t="s">
        <v>37</v>
      </c>
      <c r="C651" t="s">
        <v>116</v>
      </c>
      <c r="D651" t="s">
        <v>133</v>
      </c>
      <c r="E651" t="s">
        <v>1768</v>
      </c>
      <c r="F651" t="s">
        <v>315</v>
      </c>
      <c r="G651" t="s">
        <v>316</v>
      </c>
      <c r="H651" t="s">
        <v>573</v>
      </c>
      <c r="I651" t="s">
        <v>313</v>
      </c>
      <c r="J651" t="s">
        <v>1835</v>
      </c>
      <c r="K651" t="s">
        <v>341</v>
      </c>
      <c r="L651" t="s">
        <v>870</v>
      </c>
      <c r="M651" t="s">
        <v>28</v>
      </c>
      <c r="N651" s="1">
        <f t="shared" si="152"/>
        <v>2</v>
      </c>
      <c r="O651" s="1">
        <f t="shared" si="153"/>
        <v>0</v>
      </c>
      <c r="P651" s="1">
        <f t="shared" si="154"/>
        <v>2</v>
      </c>
      <c r="Q651" s="1">
        <f t="shared" si="155"/>
        <v>1</v>
      </c>
      <c r="R651" s="1">
        <f t="shared" si="156"/>
        <v>1</v>
      </c>
      <c r="S651" s="1">
        <f t="shared" si="157"/>
        <v>1</v>
      </c>
      <c r="T651" s="1">
        <f t="shared" si="158"/>
        <v>1</v>
      </c>
      <c r="U651" s="26">
        <f t="shared" si="159"/>
        <v>1</v>
      </c>
      <c r="V651" s="26">
        <f t="shared" si="160"/>
        <v>1</v>
      </c>
      <c r="W651" s="1">
        <f t="shared" si="161"/>
        <v>1</v>
      </c>
      <c r="X651" s="26">
        <f t="shared" si="162"/>
        <v>0</v>
      </c>
      <c r="Y651" s="26">
        <f t="shared" si="163"/>
        <v>0</v>
      </c>
      <c r="Z651" s="1">
        <f t="shared" si="164"/>
        <v>1</v>
      </c>
      <c r="AA651"/>
      <c r="AB651"/>
    </row>
    <row r="652" spans="1:28" x14ac:dyDescent="0.55000000000000004">
      <c r="A652" s="1">
        <f t="shared" si="151"/>
        <v>652</v>
      </c>
      <c r="B652" t="s">
        <v>39</v>
      </c>
      <c r="C652" t="s">
        <v>111</v>
      </c>
      <c r="D652" t="s">
        <v>133</v>
      </c>
      <c r="E652" t="s">
        <v>1768</v>
      </c>
      <c r="F652" t="s">
        <v>342</v>
      </c>
      <c r="G652" t="s">
        <v>220</v>
      </c>
      <c r="H652" t="s">
        <v>581</v>
      </c>
      <c r="I652" t="s">
        <v>228</v>
      </c>
      <c r="J652" t="s">
        <v>1862</v>
      </c>
      <c r="K652" t="s">
        <v>240</v>
      </c>
      <c r="L652" t="s">
        <v>998</v>
      </c>
      <c r="M652" t="s">
        <v>28</v>
      </c>
      <c r="N652" s="1">
        <f t="shared" si="152"/>
        <v>1</v>
      </c>
      <c r="O652" s="1">
        <f t="shared" si="153"/>
        <v>2</v>
      </c>
      <c r="P652" s="1">
        <f t="shared" si="154"/>
        <v>3</v>
      </c>
      <c r="Q652" s="1">
        <f t="shared" si="155"/>
        <v>1</v>
      </c>
      <c r="R652" s="1">
        <f t="shared" si="156"/>
        <v>1</v>
      </c>
      <c r="S652" s="1">
        <f t="shared" si="157"/>
        <v>1</v>
      </c>
      <c r="T652" s="1">
        <f t="shared" si="158"/>
        <v>1</v>
      </c>
      <c r="U652" s="26">
        <f t="shared" si="159"/>
        <v>1</v>
      </c>
      <c r="V652" s="26">
        <f t="shared" si="160"/>
        <v>0</v>
      </c>
      <c r="W652" s="1">
        <f t="shared" si="161"/>
        <v>1</v>
      </c>
      <c r="X652" s="26">
        <f t="shared" si="162"/>
        <v>1</v>
      </c>
      <c r="Y652" s="26">
        <f t="shared" si="163"/>
        <v>1</v>
      </c>
      <c r="Z652" s="1">
        <f t="shared" si="164"/>
        <v>1</v>
      </c>
      <c r="AA652"/>
      <c r="AB652"/>
    </row>
    <row r="653" spans="1:28" x14ac:dyDescent="0.55000000000000004">
      <c r="A653" s="1">
        <f t="shared" si="151"/>
        <v>653</v>
      </c>
      <c r="B653" t="s">
        <v>39</v>
      </c>
      <c r="C653" t="s">
        <v>111</v>
      </c>
      <c r="D653" t="s">
        <v>133</v>
      </c>
      <c r="E653" t="s">
        <v>1768</v>
      </c>
      <c r="F653" t="s">
        <v>343</v>
      </c>
      <c r="G653" t="s">
        <v>234</v>
      </c>
      <c r="H653" t="s">
        <v>568</v>
      </c>
      <c r="I653" t="s">
        <v>232</v>
      </c>
      <c r="J653" t="s">
        <v>1863</v>
      </c>
      <c r="K653" t="s">
        <v>236</v>
      </c>
      <c r="L653" t="s">
        <v>1000</v>
      </c>
      <c r="M653" t="s">
        <v>28</v>
      </c>
      <c r="N653" s="1">
        <f t="shared" si="152"/>
        <v>0</v>
      </c>
      <c r="O653" s="1">
        <f t="shared" si="153"/>
        <v>2</v>
      </c>
      <c r="P653" s="1">
        <f t="shared" si="154"/>
        <v>2</v>
      </c>
      <c r="Q653" s="1">
        <f t="shared" si="155"/>
        <v>1</v>
      </c>
      <c r="R653" s="1">
        <f t="shared" si="156"/>
        <v>1</v>
      </c>
      <c r="S653" s="1">
        <f t="shared" si="157"/>
        <v>1</v>
      </c>
      <c r="T653" s="1">
        <f t="shared" si="158"/>
        <v>1</v>
      </c>
      <c r="U653" s="26">
        <f t="shared" si="159"/>
        <v>0</v>
      </c>
      <c r="V653" s="26">
        <f t="shared" si="160"/>
        <v>0</v>
      </c>
      <c r="W653" s="1">
        <f t="shared" si="161"/>
        <v>1</v>
      </c>
      <c r="X653" s="26">
        <f t="shared" si="162"/>
        <v>1</v>
      </c>
      <c r="Y653" s="26">
        <f t="shared" si="163"/>
        <v>1</v>
      </c>
      <c r="Z653" s="1">
        <f t="shared" si="164"/>
        <v>1</v>
      </c>
      <c r="AA653"/>
      <c r="AB653"/>
    </row>
    <row r="654" spans="1:28" x14ac:dyDescent="0.55000000000000004">
      <c r="A654" s="1">
        <f t="shared" si="151"/>
        <v>654</v>
      </c>
      <c r="B654" t="s">
        <v>39</v>
      </c>
      <c r="C654" t="s">
        <v>111</v>
      </c>
      <c r="D654" t="s">
        <v>133</v>
      </c>
      <c r="E654" t="s">
        <v>1768</v>
      </c>
      <c r="F654" t="s">
        <v>343</v>
      </c>
      <c r="G654" t="s">
        <v>223</v>
      </c>
      <c r="H654" t="s">
        <v>575</v>
      </c>
      <c r="I654" t="s">
        <v>219</v>
      </c>
      <c r="J654" t="s">
        <v>1864</v>
      </c>
      <c r="K654" t="s">
        <v>244</v>
      </c>
      <c r="L654" t="s">
        <v>1540</v>
      </c>
      <c r="M654" t="s">
        <v>28</v>
      </c>
      <c r="N654" s="1">
        <f t="shared" si="152"/>
        <v>1</v>
      </c>
      <c r="O654" s="1">
        <f t="shared" si="153"/>
        <v>0</v>
      </c>
      <c r="P654" s="1">
        <f t="shared" si="154"/>
        <v>1</v>
      </c>
      <c r="Q654" s="1">
        <f t="shared" si="155"/>
        <v>1</v>
      </c>
      <c r="R654" s="1">
        <f t="shared" si="156"/>
        <v>1</v>
      </c>
      <c r="S654" s="1">
        <f t="shared" si="157"/>
        <v>1</v>
      </c>
      <c r="T654" s="1">
        <f t="shared" si="158"/>
        <v>1</v>
      </c>
      <c r="U654" s="26">
        <f t="shared" si="159"/>
        <v>1</v>
      </c>
      <c r="V654" s="26">
        <f t="shared" si="160"/>
        <v>0</v>
      </c>
      <c r="W654" s="1">
        <f t="shared" si="161"/>
        <v>1</v>
      </c>
      <c r="X654" s="26">
        <f t="shared" si="162"/>
        <v>0</v>
      </c>
      <c r="Y654" s="26">
        <f t="shared" si="163"/>
        <v>0</v>
      </c>
      <c r="Z654" s="1">
        <f t="shared" si="164"/>
        <v>0</v>
      </c>
      <c r="AA654"/>
      <c r="AB654"/>
    </row>
    <row r="655" spans="1:28" x14ac:dyDescent="0.55000000000000004">
      <c r="A655" s="1">
        <f t="shared" si="151"/>
        <v>655</v>
      </c>
      <c r="B655" t="s">
        <v>40</v>
      </c>
      <c r="C655" t="s">
        <v>199</v>
      </c>
      <c r="D655" t="s">
        <v>133</v>
      </c>
      <c r="E655" t="s">
        <v>1768</v>
      </c>
      <c r="F655" t="s">
        <v>394</v>
      </c>
      <c r="G655" t="s">
        <v>253</v>
      </c>
      <c r="H655" t="s">
        <v>579</v>
      </c>
      <c r="I655" t="s">
        <v>266</v>
      </c>
      <c r="J655" t="s">
        <v>1901</v>
      </c>
      <c r="K655" t="s">
        <v>395</v>
      </c>
      <c r="L655" t="s">
        <v>1027</v>
      </c>
      <c r="M655" t="s">
        <v>28</v>
      </c>
      <c r="N655" s="1">
        <f t="shared" si="152"/>
        <v>2</v>
      </c>
      <c r="O655" s="1">
        <f t="shared" si="153"/>
        <v>1</v>
      </c>
      <c r="P655" s="1">
        <f t="shared" si="154"/>
        <v>3</v>
      </c>
      <c r="Q655" s="1">
        <f t="shared" si="155"/>
        <v>1</v>
      </c>
      <c r="R655" s="1">
        <f t="shared" si="156"/>
        <v>1</v>
      </c>
      <c r="S655" s="1">
        <f t="shared" si="157"/>
        <v>1</v>
      </c>
      <c r="T655" s="1">
        <f t="shared" si="158"/>
        <v>1</v>
      </c>
      <c r="U655" s="26">
        <f t="shared" si="159"/>
        <v>1</v>
      </c>
      <c r="V655" s="26">
        <f t="shared" si="160"/>
        <v>1</v>
      </c>
      <c r="W655" s="1">
        <f t="shared" si="161"/>
        <v>1</v>
      </c>
      <c r="X655" s="26">
        <f t="shared" si="162"/>
        <v>1</v>
      </c>
      <c r="Y655" s="26">
        <f t="shared" si="163"/>
        <v>0</v>
      </c>
      <c r="Z655" s="1">
        <f t="shared" si="164"/>
        <v>1</v>
      </c>
      <c r="AA655"/>
      <c r="AB655"/>
    </row>
    <row r="656" spans="1:28" x14ac:dyDescent="0.55000000000000004">
      <c r="A656" s="1">
        <f t="shared" si="151"/>
        <v>656</v>
      </c>
      <c r="B656" t="s">
        <v>40</v>
      </c>
      <c r="C656" t="s">
        <v>199</v>
      </c>
      <c r="D656" t="s">
        <v>133</v>
      </c>
      <c r="E656" t="s">
        <v>1768</v>
      </c>
      <c r="F656" t="s">
        <v>392</v>
      </c>
      <c r="G656" t="s">
        <v>260</v>
      </c>
      <c r="H656" t="s">
        <v>575</v>
      </c>
      <c r="I656" t="s">
        <v>252</v>
      </c>
      <c r="J656" t="s">
        <v>1902</v>
      </c>
      <c r="K656" t="s">
        <v>250</v>
      </c>
      <c r="L656" t="s">
        <v>1018</v>
      </c>
      <c r="M656" t="s">
        <v>28</v>
      </c>
      <c r="N656" s="1">
        <f t="shared" si="152"/>
        <v>1</v>
      </c>
      <c r="O656" s="1">
        <f t="shared" si="153"/>
        <v>0</v>
      </c>
      <c r="P656" s="1">
        <f t="shared" si="154"/>
        <v>1</v>
      </c>
      <c r="Q656" s="1">
        <f t="shared" si="155"/>
        <v>1</v>
      </c>
      <c r="R656" s="1">
        <f t="shared" si="156"/>
        <v>1</v>
      </c>
      <c r="S656" s="1">
        <f t="shared" si="157"/>
        <v>1</v>
      </c>
      <c r="T656" s="1">
        <f t="shared" si="158"/>
        <v>1</v>
      </c>
      <c r="U656" s="26">
        <f t="shared" si="159"/>
        <v>1</v>
      </c>
      <c r="V656" s="26">
        <f t="shared" si="160"/>
        <v>0</v>
      </c>
      <c r="W656" s="1">
        <f t="shared" si="161"/>
        <v>1</v>
      </c>
      <c r="X656" s="26">
        <f t="shared" si="162"/>
        <v>0</v>
      </c>
      <c r="Y656" s="26">
        <f t="shared" si="163"/>
        <v>0</v>
      </c>
      <c r="Z656" s="1">
        <f t="shared" si="164"/>
        <v>0</v>
      </c>
      <c r="AA656"/>
      <c r="AB656"/>
    </row>
    <row r="657" spans="1:28" x14ac:dyDescent="0.55000000000000004">
      <c r="A657" s="1">
        <f t="shared" si="151"/>
        <v>657</v>
      </c>
      <c r="B657" t="s">
        <v>30</v>
      </c>
      <c r="C657" t="s">
        <v>200</v>
      </c>
      <c r="D657" t="s">
        <v>42</v>
      </c>
      <c r="E657" t="s">
        <v>1388</v>
      </c>
      <c r="F657" t="s">
        <v>380</v>
      </c>
      <c r="G657" t="s">
        <v>52</v>
      </c>
      <c r="H657" t="s">
        <v>608</v>
      </c>
      <c r="I657" t="s">
        <v>58</v>
      </c>
      <c r="J657" t="s">
        <v>1389</v>
      </c>
      <c r="K657" t="s">
        <v>71</v>
      </c>
      <c r="L657" t="s">
        <v>566</v>
      </c>
      <c r="M657" t="s">
        <v>28</v>
      </c>
      <c r="N657" s="1">
        <f t="shared" si="152"/>
        <v>1</v>
      </c>
      <c r="O657" s="1">
        <f t="shared" si="153"/>
        <v>1</v>
      </c>
      <c r="P657" s="1">
        <f t="shared" si="154"/>
        <v>2</v>
      </c>
      <c r="Q657" s="1">
        <f t="shared" si="155"/>
        <v>0</v>
      </c>
      <c r="R657" s="1">
        <f t="shared" si="156"/>
        <v>1</v>
      </c>
      <c r="S657" s="1">
        <f t="shared" si="157"/>
        <v>0</v>
      </c>
      <c r="T657" s="1">
        <f t="shared" si="158"/>
        <v>1</v>
      </c>
      <c r="U657" s="26">
        <f t="shared" si="159"/>
        <v>1</v>
      </c>
      <c r="V657" s="26">
        <f t="shared" si="160"/>
        <v>0</v>
      </c>
      <c r="W657" s="1">
        <f t="shared" si="161"/>
        <v>1</v>
      </c>
      <c r="X657" s="26">
        <f t="shared" si="162"/>
        <v>1</v>
      </c>
      <c r="Y657" s="26">
        <f t="shared" si="163"/>
        <v>0</v>
      </c>
      <c r="Z657" s="1">
        <f t="shared" si="164"/>
        <v>1</v>
      </c>
      <c r="AA657"/>
      <c r="AB657"/>
    </row>
    <row r="658" spans="1:28" x14ac:dyDescent="0.55000000000000004">
      <c r="A658" s="1">
        <f t="shared" si="151"/>
        <v>658</v>
      </c>
      <c r="B658" t="s">
        <v>30</v>
      </c>
      <c r="C658" t="s">
        <v>200</v>
      </c>
      <c r="D658" t="s">
        <v>42</v>
      </c>
      <c r="E658" t="s">
        <v>1388</v>
      </c>
      <c r="F658" t="s">
        <v>398</v>
      </c>
      <c r="G658" t="s">
        <v>51</v>
      </c>
      <c r="H658" t="s">
        <v>581</v>
      </c>
      <c r="I658" t="s">
        <v>54</v>
      </c>
      <c r="J658" t="s">
        <v>1390</v>
      </c>
      <c r="K658" t="s">
        <v>53</v>
      </c>
      <c r="L658" t="s">
        <v>757</v>
      </c>
      <c r="M658" t="s">
        <v>28</v>
      </c>
      <c r="N658" s="1">
        <f t="shared" si="152"/>
        <v>1</v>
      </c>
      <c r="O658" s="1">
        <f t="shared" si="153"/>
        <v>2</v>
      </c>
      <c r="P658" s="1">
        <f t="shared" si="154"/>
        <v>3</v>
      </c>
      <c r="Q658" s="1">
        <f t="shared" si="155"/>
        <v>1</v>
      </c>
      <c r="R658" s="1">
        <f t="shared" si="156"/>
        <v>1</v>
      </c>
      <c r="S658" s="1">
        <f t="shared" si="157"/>
        <v>1</v>
      </c>
      <c r="T658" s="1">
        <f t="shared" si="158"/>
        <v>1</v>
      </c>
      <c r="U658" s="26">
        <f t="shared" si="159"/>
        <v>1</v>
      </c>
      <c r="V658" s="26">
        <f t="shared" si="160"/>
        <v>0</v>
      </c>
      <c r="W658" s="1">
        <f t="shared" si="161"/>
        <v>1</v>
      </c>
      <c r="X658" s="26">
        <f t="shared" si="162"/>
        <v>1</v>
      </c>
      <c r="Y658" s="26">
        <f t="shared" si="163"/>
        <v>1</v>
      </c>
      <c r="Z658" s="1">
        <f t="shared" si="164"/>
        <v>1</v>
      </c>
      <c r="AA658"/>
      <c r="AB658"/>
    </row>
    <row r="659" spans="1:28" x14ac:dyDescent="0.55000000000000004">
      <c r="A659" s="1">
        <f t="shared" si="151"/>
        <v>659</v>
      </c>
      <c r="B659" t="s">
        <v>30</v>
      </c>
      <c r="C659" t="s">
        <v>200</v>
      </c>
      <c r="D659" t="s">
        <v>42</v>
      </c>
      <c r="E659" t="s">
        <v>1388</v>
      </c>
      <c r="F659" t="s">
        <v>400</v>
      </c>
      <c r="G659" t="s">
        <v>64</v>
      </c>
      <c r="H659" t="s">
        <v>664</v>
      </c>
      <c r="I659" t="s">
        <v>61</v>
      </c>
      <c r="J659" t="s">
        <v>1391</v>
      </c>
      <c r="K659" t="s">
        <v>62</v>
      </c>
      <c r="L659" t="s">
        <v>794</v>
      </c>
      <c r="M659" t="s">
        <v>28</v>
      </c>
      <c r="N659" s="1">
        <f t="shared" si="152"/>
        <v>2</v>
      </c>
      <c r="O659" s="1">
        <f t="shared" si="153"/>
        <v>2</v>
      </c>
      <c r="P659" s="1">
        <f t="shared" si="154"/>
        <v>4</v>
      </c>
      <c r="Q659" s="1">
        <f t="shared" si="155"/>
        <v>0</v>
      </c>
      <c r="R659" s="1">
        <f t="shared" si="156"/>
        <v>1</v>
      </c>
      <c r="S659" s="1">
        <f t="shared" si="157"/>
        <v>0</v>
      </c>
      <c r="T659" s="1">
        <f t="shared" si="158"/>
        <v>1</v>
      </c>
      <c r="U659" s="26">
        <f t="shared" si="159"/>
        <v>1</v>
      </c>
      <c r="V659" s="26">
        <f t="shared" si="160"/>
        <v>1</v>
      </c>
      <c r="W659" s="1">
        <f t="shared" si="161"/>
        <v>1</v>
      </c>
      <c r="X659" s="26">
        <f t="shared" si="162"/>
        <v>1</v>
      </c>
      <c r="Y659" s="26">
        <f t="shared" si="163"/>
        <v>1</v>
      </c>
      <c r="Z659" s="1">
        <f t="shared" si="164"/>
        <v>1</v>
      </c>
      <c r="AA659"/>
      <c r="AB659"/>
    </row>
    <row r="660" spans="1:28" x14ac:dyDescent="0.55000000000000004">
      <c r="A660" s="1">
        <f t="shared" si="151"/>
        <v>660</v>
      </c>
      <c r="B660" t="s">
        <v>33</v>
      </c>
      <c r="C660" t="s">
        <v>84</v>
      </c>
      <c r="D660" t="s">
        <v>42</v>
      </c>
      <c r="E660" t="s">
        <v>1388</v>
      </c>
      <c r="F660" t="s">
        <v>372</v>
      </c>
      <c r="G660" t="s">
        <v>285</v>
      </c>
      <c r="H660" t="s">
        <v>817</v>
      </c>
      <c r="I660" t="s">
        <v>284</v>
      </c>
      <c r="J660" t="s">
        <v>1440</v>
      </c>
      <c r="K660" t="s">
        <v>359</v>
      </c>
      <c r="L660" t="s">
        <v>820</v>
      </c>
      <c r="M660" t="s">
        <v>28</v>
      </c>
      <c r="N660" s="1">
        <f t="shared" si="152"/>
        <v>4</v>
      </c>
      <c r="O660" s="1">
        <f t="shared" si="153"/>
        <v>1</v>
      </c>
      <c r="P660" s="1">
        <f t="shared" si="154"/>
        <v>5</v>
      </c>
      <c r="Q660" s="1">
        <f t="shared" si="155"/>
        <v>1</v>
      </c>
      <c r="R660" s="1">
        <f t="shared" si="156"/>
        <v>0</v>
      </c>
      <c r="S660" s="1">
        <f t="shared" si="157"/>
        <v>0</v>
      </c>
      <c r="T660" s="1">
        <f t="shared" si="158"/>
        <v>0</v>
      </c>
      <c r="U660" s="26">
        <f t="shared" si="159"/>
        <v>0</v>
      </c>
      <c r="V660" s="26">
        <f t="shared" si="160"/>
        <v>1</v>
      </c>
      <c r="W660" s="1">
        <f t="shared" si="161"/>
        <v>1</v>
      </c>
      <c r="X660" s="26">
        <f t="shared" si="162"/>
        <v>1</v>
      </c>
      <c r="Y660" s="26">
        <f t="shared" si="163"/>
        <v>0</v>
      </c>
      <c r="Z660" s="1">
        <f t="shared" si="164"/>
        <v>1</v>
      </c>
      <c r="AA660"/>
      <c r="AB660"/>
    </row>
    <row r="661" spans="1:28" x14ac:dyDescent="0.55000000000000004">
      <c r="A661" s="1">
        <f t="shared" si="151"/>
        <v>661</v>
      </c>
      <c r="B661" t="s">
        <v>33</v>
      </c>
      <c r="C661" t="s">
        <v>84</v>
      </c>
      <c r="D661" t="s">
        <v>42</v>
      </c>
      <c r="E661" t="s">
        <v>1388</v>
      </c>
      <c r="F661" t="s">
        <v>364</v>
      </c>
      <c r="G661" t="s">
        <v>292</v>
      </c>
      <c r="H661" t="s">
        <v>608</v>
      </c>
      <c r="I661" t="s">
        <v>291</v>
      </c>
      <c r="J661" t="s">
        <v>1441</v>
      </c>
      <c r="K661" t="s">
        <v>408</v>
      </c>
      <c r="L661" t="s">
        <v>1183</v>
      </c>
      <c r="M661" t="s">
        <v>28</v>
      </c>
      <c r="N661" s="1">
        <f t="shared" si="152"/>
        <v>1</v>
      </c>
      <c r="O661" s="1">
        <f t="shared" si="153"/>
        <v>1</v>
      </c>
      <c r="P661" s="1">
        <f t="shared" si="154"/>
        <v>2</v>
      </c>
      <c r="Q661" s="1">
        <f t="shared" si="155"/>
        <v>0</v>
      </c>
      <c r="R661" s="1">
        <f t="shared" si="156"/>
        <v>1</v>
      </c>
      <c r="S661" s="1">
        <f t="shared" si="157"/>
        <v>0</v>
      </c>
      <c r="T661" s="1">
        <f t="shared" si="158"/>
        <v>1</v>
      </c>
      <c r="U661" s="26">
        <f t="shared" si="159"/>
        <v>1</v>
      </c>
      <c r="V661" s="26">
        <f t="shared" si="160"/>
        <v>0</v>
      </c>
      <c r="W661" s="1">
        <f t="shared" si="161"/>
        <v>1</v>
      </c>
      <c r="X661" s="26">
        <f t="shared" si="162"/>
        <v>1</v>
      </c>
      <c r="Y661" s="26">
        <f t="shared" si="163"/>
        <v>0</v>
      </c>
      <c r="Z661" s="1">
        <f t="shared" si="164"/>
        <v>1</v>
      </c>
      <c r="AA661"/>
      <c r="AB661"/>
    </row>
    <row r="662" spans="1:28" x14ac:dyDescent="0.55000000000000004">
      <c r="A662" s="1">
        <f t="shared" si="151"/>
        <v>662</v>
      </c>
      <c r="B662" t="s">
        <v>33</v>
      </c>
      <c r="C662" t="s">
        <v>84</v>
      </c>
      <c r="D662" t="s">
        <v>42</v>
      </c>
      <c r="E662" t="s">
        <v>1388</v>
      </c>
      <c r="F662" t="s">
        <v>364</v>
      </c>
      <c r="G662" t="s">
        <v>282</v>
      </c>
      <c r="H662" t="s">
        <v>575</v>
      </c>
      <c r="I662" t="s">
        <v>362</v>
      </c>
      <c r="J662" t="s">
        <v>1442</v>
      </c>
      <c r="K662" t="s">
        <v>295</v>
      </c>
      <c r="L662" t="s">
        <v>1443</v>
      </c>
      <c r="M662" t="s">
        <v>28</v>
      </c>
      <c r="N662" s="1">
        <f t="shared" si="152"/>
        <v>1</v>
      </c>
      <c r="O662" s="1">
        <f t="shared" si="153"/>
        <v>0</v>
      </c>
      <c r="P662" s="1">
        <f t="shared" si="154"/>
        <v>1</v>
      </c>
      <c r="Q662" s="1">
        <f t="shared" si="155"/>
        <v>1</v>
      </c>
      <c r="R662" s="1">
        <f t="shared" si="156"/>
        <v>1</v>
      </c>
      <c r="S662" s="1">
        <f t="shared" si="157"/>
        <v>1</v>
      </c>
      <c r="T662" s="1">
        <f t="shared" si="158"/>
        <v>1</v>
      </c>
      <c r="U662" s="26">
        <f t="shared" si="159"/>
        <v>1</v>
      </c>
      <c r="V662" s="26">
        <f t="shared" si="160"/>
        <v>0</v>
      </c>
      <c r="W662" s="1">
        <f t="shared" si="161"/>
        <v>1</v>
      </c>
      <c r="X662" s="26">
        <f t="shared" si="162"/>
        <v>0</v>
      </c>
      <c r="Y662" s="26">
        <f t="shared" si="163"/>
        <v>0</v>
      </c>
      <c r="Z662" s="1">
        <f t="shared" si="164"/>
        <v>0</v>
      </c>
      <c r="AA662"/>
      <c r="AB662"/>
    </row>
    <row r="663" spans="1:28" x14ac:dyDescent="0.55000000000000004">
      <c r="A663" s="1">
        <f t="shared" si="151"/>
        <v>663</v>
      </c>
      <c r="B663" t="s">
        <v>33</v>
      </c>
      <c r="C663" t="s">
        <v>84</v>
      </c>
      <c r="D663" t="s">
        <v>42</v>
      </c>
      <c r="E663" t="s">
        <v>1388</v>
      </c>
      <c r="F663" t="s">
        <v>277</v>
      </c>
      <c r="G663" t="s">
        <v>279</v>
      </c>
      <c r="H663" t="s">
        <v>577</v>
      </c>
      <c r="I663" t="s">
        <v>365</v>
      </c>
      <c r="J663" t="s">
        <v>1444</v>
      </c>
      <c r="K663" t="s">
        <v>294</v>
      </c>
      <c r="L663" t="s">
        <v>1445</v>
      </c>
      <c r="M663" t="s">
        <v>28</v>
      </c>
      <c r="N663" s="1">
        <f t="shared" si="152"/>
        <v>1</v>
      </c>
      <c r="O663" s="1">
        <f t="shared" si="153"/>
        <v>3</v>
      </c>
      <c r="P663" s="1">
        <f t="shared" si="154"/>
        <v>4</v>
      </c>
      <c r="Q663" s="1">
        <f t="shared" si="155"/>
        <v>1</v>
      </c>
      <c r="R663" s="1">
        <f t="shared" si="156"/>
        <v>1</v>
      </c>
      <c r="S663" s="1">
        <f t="shared" si="157"/>
        <v>1</v>
      </c>
      <c r="T663" s="1">
        <f t="shared" si="158"/>
        <v>1</v>
      </c>
      <c r="U663" s="26">
        <f t="shared" si="159"/>
        <v>1</v>
      </c>
      <c r="V663" s="26">
        <f t="shared" si="160"/>
        <v>0</v>
      </c>
      <c r="W663" s="1">
        <f t="shared" si="161"/>
        <v>0</v>
      </c>
      <c r="X663" s="26">
        <f t="shared" si="162"/>
        <v>1</v>
      </c>
      <c r="Y663" s="26">
        <f t="shared" si="163"/>
        <v>1</v>
      </c>
      <c r="Z663" s="1">
        <f t="shared" si="164"/>
        <v>1</v>
      </c>
      <c r="AA663"/>
      <c r="AB663"/>
    </row>
    <row r="664" spans="1:28" x14ac:dyDescent="0.55000000000000004">
      <c r="A664" s="1">
        <f t="shared" si="151"/>
        <v>664</v>
      </c>
      <c r="B664" t="s">
        <v>33</v>
      </c>
      <c r="C664" t="s">
        <v>84</v>
      </c>
      <c r="D664" t="s">
        <v>42</v>
      </c>
      <c r="E664" t="s">
        <v>1388</v>
      </c>
      <c r="F664" t="s">
        <v>290</v>
      </c>
      <c r="G664" t="s">
        <v>278</v>
      </c>
      <c r="H664" t="s">
        <v>739</v>
      </c>
      <c r="I664" t="s">
        <v>360</v>
      </c>
      <c r="J664" t="s">
        <v>1446</v>
      </c>
      <c r="K664" t="s">
        <v>280</v>
      </c>
      <c r="L664" t="s">
        <v>806</v>
      </c>
      <c r="M664" t="s">
        <v>28</v>
      </c>
      <c r="N664" s="1">
        <f t="shared" si="152"/>
        <v>0</v>
      </c>
      <c r="O664" s="1">
        <f t="shared" si="153"/>
        <v>3</v>
      </c>
      <c r="P664" s="1">
        <f t="shared" si="154"/>
        <v>3</v>
      </c>
      <c r="Q664" s="1">
        <f t="shared" si="155"/>
        <v>1</v>
      </c>
      <c r="R664" s="1">
        <f t="shared" si="156"/>
        <v>1</v>
      </c>
      <c r="S664" s="1">
        <f t="shared" si="157"/>
        <v>1</v>
      </c>
      <c r="T664" s="1">
        <f t="shared" si="158"/>
        <v>1</v>
      </c>
      <c r="U664" s="26">
        <f t="shared" si="159"/>
        <v>0</v>
      </c>
      <c r="V664" s="26">
        <f t="shared" si="160"/>
        <v>0</v>
      </c>
      <c r="W664" s="1">
        <f t="shared" si="161"/>
        <v>0</v>
      </c>
      <c r="X664" s="26">
        <f t="shared" si="162"/>
        <v>1</v>
      </c>
      <c r="Y664" s="26">
        <f t="shared" si="163"/>
        <v>1</v>
      </c>
      <c r="Z664" s="1">
        <f t="shared" si="164"/>
        <v>1</v>
      </c>
      <c r="AA664"/>
      <c r="AB664"/>
    </row>
    <row r="665" spans="1:28" x14ac:dyDescent="0.55000000000000004">
      <c r="A665" s="1">
        <f t="shared" si="151"/>
        <v>665</v>
      </c>
      <c r="B665" t="s">
        <v>35</v>
      </c>
      <c r="C665" t="s">
        <v>132</v>
      </c>
      <c r="D665" t="s">
        <v>42</v>
      </c>
      <c r="E665" t="s">
        <v>1388</v>
      </c>
      <c r="F665" t="s">
        <v>411</v>
      </c>
      <c r="G665" t="s">
        <v>383</v>
      </c>
      <c r="H665" t="s">
        <v>678</v>
      </c>
      <c r="I665" t="s">
        <v>214</v>
      </c>
      <c r="J665" t="s">
        <v>1486</v>
      </c>
      <c r="K665" t="s">
        <v>387</v>
      </c>
      <c r="L665" t="s">
        <v>574</v>
      </c>
      <c r="M665" t="s">
        <v>28</v>
      </c>
      <c r="N665" s="1">
        <f t="shared" si="152"/>
        <v>5</v>
      </c>
      <c r="O665" s="1">
        <f t="shared" si="153"/>
        <v>1</v>
      </c>
      <c r="P665" s="1">
        <f t="shared" si="154"/>
        <v>6</v>
      </c>
      <c r="Q665" s="1">
        <f t="shared" si="155"/>
        <v>1</v>
      </c>
      <c r="R665" s="1">
        <f t="shared" si="156"/>
        <v>0</v>
      </c>
      <c r="S665" s="1">
        <f t="shared" si="157"/>
        <v>0</v>
      </c>
      <c r="T665" s="1">
        <f t="shared" si="158"/>
        <v>0</v>
      </c>
      <c r="U665" s="26">
        <f t="shared" si="159"/>
        <v>0</v>
      </c>
      <c r="V665" s="26">
        <f t="shared" si="160"/>
        <v>1</v>
      </c>
      <c r="W665" s="1">
        <f t="shared" si="161"/>
        <v>1</v>
      </c>
      <c r="X665" s="26">
        <f t="shared" si="162"/>
        <v>1</v>
      </c>
      <c r="Y665" s="26">
        <f t="shared" si="163"/>
        <v>0</v>
      </c>
      <c r="Z665" s="1">
        <f t="shared" si="164"/>
        <v>1</v>
      </c>
      <c r="AA665"/>
      <c r="AB665"/>
    </row>
    <row r="666" spans="1:28" x14ac:dyDescent="0.55000000000000004">
      <c r="A666" s="1">
        <f t="shared" si="151"/>
        <v>666</v>
      </c>
      <c r="B666" t="s">
        <v>35</v>
      </c>
      <c r="C666" t="s">
        <v>132</v>
      </c>
      <c r="D666" t="s">
        <v>42</v>
      </c>
      <c r="E666" t="s">
        <v>1388</v>
      </c>
      <c r="F666" t="s">
        <v>357</v>
      </c>
      <c r="G666" t="s">
        <v>306</v>
      </c>
      <c r="H666" t="s">
        <v>608</v>
      </c>
      <c r="I666" t="s">
        <v>377</v>
      </c>
      <c r="J666" t="s">
        <v>1487</v>
      </c>
      <c r="K666" t="s">
        <v>308</v>
      </c>
      <c r="L666" t="s">
        <v>580</v>
      </c>
      <c r="M666" t="s">
        <v>28</v>
      </c>
      <c r="N666" s="1">
        <f t="shared" si="152"/>
        <v>1</v>
      </c>
      <c r="O666" s="1">
        <f t="shared" si="153"/>
        <v>1</v>
      </c>
      <c r="P666" s="1">
        <f t="shared" si="154"/>
        <v>2</v>
      </c>
      <c r="Q666" s="1">
        <f t="shared" si="155"/>
        <v>0</v>
      </c>
      <c r="R666" s="1">
        <f t="shared" si="156"/>
        <v>1</v>
      </c>
      <c r="S666" s="1">
        <f t="shared" si="157"/>
        <v>0</v>
      </c>
      <c r="T666" s="1">
        <f t="shared" si="158"/>
        <v>1</v>
      </c>
      <c r="U666" s="26">
        <f t="shared" si="159"/>
        <v>1</v>
      </c>
      <c r="V666" s="26">
        <f t="shared" si="160"/>
        <v>0</v>
      </c>
      <c r="W666" s="1">
        <f t="shared" si="161"/>
        <v>1</v>
      </c>
      <c r="X666" s="26">
        <f t="shared" si="162"/>
        <v>1</v>
      </c>
      <c r="Y666" s="26">
        <f t="shared" si="163"/>
        <v>0</v>
      </c>
      <c r="Z666" s="1">
        <f t="shared" si="164"/>
        <v>1</v>
      </c>
      <c r="AA666"/>
      <c r="AB666"/>
    </row>
    <row r="667" spans="1:28" x14ac:dyDescent="0.55000000000000004">
      <c r="A667" s="1">
        <f t="shared" si="151"/>
        <v>667</v>
      </c>
      <c r="B667" t="s">
        <v>35</v>
      </c>
      <c r="C667" t="s">
        <v>132</v>
      </c>
      <c r="D667" t="s">
        <v>42</v>
      </c>
      <c r="E667" t="s">
        <v>1388</v>
      </c>
      <c r="F667" t="s">
        <v>357</v>
      </c>
      <c r="G667" t="s">
        <v>386</v>
      </c>
      <c r="H667" t="s">
        <v>570</v>
      </c>
      <c r="I667" t="s">
        <v>303</v>
      </c>
      <c r="J667" t="s">
        <v>1488</v>
      </c>
      <c r="K667" t="s">
        <v>418</v>
      </c>
      <c r="L667" t="s">
        <v>582</v>
      </c>
      <c r="M667" t="s">
        <v>28</v>
      </c>
      <c r="N667" s="1">
        <f t="shared" si="152"/>
        <v>3</v>
      </c>
      <c r="O667" s="1">
        <f t="shared" si="153"/>
        <v>1</v>
      </c>
      <c r="P667" s="1">
        <f t="shared" si="154"/>
        <v>4</v>
      </c>
      <c r="Q667" s="1">
        <f t="shared" si="155"/>
        <v>1</v>
      </c>
      <c r="R667" s="1">
        <f t="shared" si="156"/>
        <v>1</v>
      </c>
      <c r="S667" s="1">
        <f t="shared" si="157"/>
        <v>1</v>
      </c>
      <c r="T667" s="1">
        <f t="shared" si="158"/>
        <v>0</v>
      </c>
      <c r="U667" s="26">
        <f t="shared" si="159"/>
        <v>1</v>
      </c>
      <c r="V667" s="26">
        <f t="shared" si="160"/>
        <v>1</v>
      </c>
      <c r="W667" s="1">
        <f t="shared" si="161"/>
        <v>1</v>
      </c>
      <c r="X667" s="26">
        <f t="shared" si="162"/>
        <v>1</v>
      </c>
      <c r="Y667" s="26">
        <f t="shared" si="163"/>
        <v>0</v>
      </c>
      <c r="Z667" s="1">
        <f t="shared" si="164"/>
        <v>1</v>
      </c>
      <c r="AA667"/>
      <c r="AB667"/>
    </row>
    <row r="668" spans="1:28" x14ac:dyDescent="0.55000000000000004">
      <c r="A668" s="1">
        <f t="shared" si="151"/>
        <v>668</v>
      </c>
      <c r="B668" t="s">
        <v>35</v>
      </c>
      <c r="C668" t="s">
        <v>132</v>
      </c>
      <c r="D668" t="s">
        <v>42</v>
      </c>
      <c r="E668" t="s">
        <v>1388</v>
      </c>
      <c r="F668" t="s">
        <v>357</v>
      </c>
      <c r="G668" t="s">
        <v>304</v>
      </c>
      <c r="H668" t="s">
        <v>575</v>
      </c>
      <c r="I668" t="s">
        <v>213</v>
      </c>
      <c r="J668" t="s">
        <v>1489</v>
      </c>
      <c r="K668" t="s">
        <v>382</v>
      </c>
      <c r="L668" t="s">
        <v>845</v>
      </c>
      <c r="M668" t="s">
        <v>28</v>
      </c>
      <c r="N668" s="1">
        <f t="shared" si="152"/>
        <v>1</v>
      </c>
      <c r="O668" s="1">
        <f t="shared" si="153"/>
        <v>0</v>
      </c>
      <c r="P668" s="1">
        <f t="shared" si="154"/>
        <v>1</v>
      </c>
      <c r="Q668" s="1">
        <f t="shared" si="155"/>
        <v>1</v>
      </c>
      <c r="R668" s="1">
        <f t="shared" si="156"/>
        <v>1</v>
      </c>
      <c r="S668" s="1">
        <f t="shared" si="157"/>
        <v>1</v>
      </c>
      <c r="T668" s="1">
        <f t="shared" si="158"/>
        <v>1</v>
      </c>
      <c r="U668" s="26">
        <f t="shared" si="159"/>
        <v>1</v>
      </c>
      <c r="V668" s="26">
        <f t="shared" si="160"/>
        <v>0</v>
      </c>
      <c r="W668" s="1">
        <f t="shared" si="161"/>
        <v>1</v>
      </c>
      <c r="X668" s="26">
        <f t="shared" si="162"/>
        <v>0</v>
      </c>
      <c r="Y668" s="26">
        <f t="shared" si="163"/>
        <v>0</v>
      </c>
      <c r="Z668" s="1">
        <f t="shared" si="164"/>
        <v>0</v>
      </c>
      <c r="AA668"/>
      <c r="AB668"/>
    </row>
    <row r="669" spans="1:28" x14ac:dyDescent="0.55000000000000004">
      <c r="A669" s="1">
        <f t="shared" si="151"/>
        <v>669</v>
      </c>
      <c r="B669" t="s">
        <v>35</v>
      </c>
      <c r="C669" t="s">
        <v>132</v>
      </c>
      <c r="D669" t="s">
        <v>42</v>
      </c>
      <c r="E669" t="s">
        <v>1388</v>
      </c>
      <c r="F669" t="s">
        <v>357</v>
      </c>
      <c r="G669" t="s">
        <v>205</v>
      </c>
      <c r="H669" t="s">
        <v>579</v>
      </c>
      <c r="I669" t="s">
        <v>307</v>
      </c>
      <c r="J669" t="s">
        <v>1490</v>
      </c>
      <c r="K669" t="s">
        <v>417</v>
      </c>
      <c r="L669" t="s">
        <v>839</v>
      </c>
      <c r="M669" t="s">
        <v>28</v>
      </c>
      <c r="N669" s="1">
        <f t="shared" si="152"/>
        <v>2</v>
      </c>
      <c r="O669" s="1">
        <f t="shared" si="153"/>
        <v>1</v>
      </c>
      <c r="P669" s="1">
        <f t="shared" si="154"/>
        <v>3</v>
      </c>
      <c r="Q669" s="1">
        <f t="shared" si="155"/>
        <v>1</v>
      </c>
      <c r="R669" s="1">
        <f t="shared" si="156"/>
        <v>1</v>
      </c>
      <c r="S669" s="1">
        <f t="shared" si="157"/>
        <v>1</v>
      </c>
      <c r="T669" s="1">
        <f t="shared" si="158"/>
        <v>1</v>
      </c>
      <c r="U669" s="26">
        <f t="shared" si="159"/>
        <v>1</v>
      </c>
      <c r="V669" s="26">
        <f t="shared" si="160"/>
        <v>1</v>
      </c>
      <c r="W669" s="1">
        <f t="shared" si="161"/>
        <v>1</v>
      </c>
      <c r="X669" s="26">
        <f t="shared" si="162"/>
        <v>1</v>
      </c>
      <c r="Y669" s="26">
        <f t="shared" si="163"/>
        <v>0</v>
      </c>
      <c r="Z669" s="1">
        <f t="shared" si="164"/>
        <v>1</v>
      </c>
      <c r="AA669"/>
      <c r="AB669"/>
    </row>
    <row r="670" spans="1:28" x14ac:dyDescent="0.55000000000000004">
      <c r="A670" s="1">
        <f t="shared" si="151"/>
        <v>670</v>
      </c>
      <c r="B670" t="s">
        <v>35</v>
      </c>
      <c r="C670" t="s">
        <v>132</v>
      </c>
      <c r="D670" t="s">
        <v>42</v>
      </c>
      <c r="E670" t="s">
        <v>1388</v>
      </c>
      <c r="F670" t="s">
        <v>412</v>
      </c>
      <c r="G670" t="s">
        <v>207</v>
      </c>
      <c r="H670" t="s">
        <v>568</v>
      </c>
      <c r="I670" t="s">
        <v>204</v>
      </c>
      <c r="J670" t="s">
        <v>1491</v>
      </c>
      <c r="K670" t="s">
        <v>209</v>
      </c>
      <c r="L670" t="s">
        <v>831</v>
      </c>
      <c r="M670" t="s">
        <v>28</v>
      </c>
      <c r="N670" s="1">
        <f t="shared" si="152"/>
        <v>0</v>
      </c>
      <c r="O670" s="1">
        <f t="shared" si="153"/>
        <v>2</v>
      </c>
      <c r="P670" s="1">
        <f t="shared" si="154"/>
        <v>2</v>
      </c>
      <c r="Q670" s="1">
        <f t="shared" si="155"/>
        <v>1</v>
      </c>
      <c r="R670" s="1">
        <f t="shared" si="156"/>
        <v>1</v>
      </c>
      <c r="S670" s="1">
        <f t="shared" si="157"/>
        <v>1</v>
      </c>
      <c r="T670" s="1">
        <f t="shared" si="158"/>
        <v>1</v>
      </c>
      <c r="U670" s="26">
        <f t="shared" si="159"/>
        <v>0</v>
      </c>
      <c r="V670" s="26">
        <f t="shared" si="160"/>
        <v>0</v>
      </c>
      <c r="W670" s="1">
        <f t="shared" si="161"/>
        <v>1</v>
      </c>
      <c r="X670" s="26">
        <f t="shared" si="162"/>
        <v>1</v>
      </c>
      <c r="Y670" s="26">
        <f t="shared" si="163"/>
        <v>1</v>
      </c>
      <c r="Z670" s="1">
        <f t="shared" si="164"/>
        <v>1</v>
      </c>
      <c r="AA670"/>
      <c r="AB670"/>
    </row>
    <row r="671" spans="1:28" x14ac:dyDescent="0.55000000000000004">
      <c r="A671" s="1">
        <f t="shared" si="151"/>
        <v>671</v>
      </c>
      <c r="B671" t="s">
        <v>39</v>
      </c>
      <c r="C671" t="s">
        <v>111</v>
      </c>
      <c r="D671" t="s">
        <v>42</v>
      </c>
      <c r="E671" t="s">
        <v>1388</v>
      </c>
      <c r="F671" t="s">
        <v>342</v>
      </c>
      <c r="G671" t="s">
        <v>225</v>
      </c>
      <c r="H671" t="s">
        <v>683</v>
      </c>
      <c r="I671" t="s">
        <v>229</v>
      </c>
      <c r="J671" t="s">
        <v>1532</v>
      </c>
      <c r="K671" t="s">
        <v>227</v>
      </c>
      <c r="L671" t="s">
        <v>991</v>
      </c>
      <c r="M671" t="s">
        <v>28</v>
      </c>
      <c r="N671" s="1">
        <f t="shared" si="152"/>
        <v>3</v>
      </c>
      <c r="O671" s="1">
        <f t="shared" si="153"/>
        <v>2</v>
      </c>
      <c r="P671" s="1">
        <f t="shared" si="154"/>
        <v>5</v>
      </c>
      <c r="Q671" s="1">
        <f t="shared" si="155"/>
        <v>1</v>
      </c>
      <c r="R671" s="1">
        <f t="shared" si="156"/>
        <v>0</v>
      </c>
      <c r="S671" s="1">
        <f t="shared" si="157"/>
        <v>0</v>
      </c>
      <c r="T671" s="1">
        <f t="shared" si="158"/>
        <v>0</v>
      </c>
      <c r="U671" s="26">
        <f t="shared" si="159"/>
        <v>1</v>
      </c>
      <c r="V671" s="26">
        <f t="shared" si="160"/>
        <v>1</v>
      </c>
      <c r="W671" s="1">
        <f t="shared" si="161"/>
        <v>1</v>
      </c>
      <c r="X671" s="26">
        <f t="shared" si="162"/>
        <v>1</v>
      </c>
      <c r="Y671" s="26">
        <f t="shared" si="163"/>
        <v>1</v>
      </c>
      <c r="Z671" s="1">
        <f t="shared" si="164"/>
        <v>1</v>
      </c>
      <c r="AA671"/>
      <c r="AB671"/>
    </row>
    <row r="672" spans="1:28" x14ac:dyDescent="0.55000000000000004">
      <c r="A672" s="1">
        <f t="shared" si="151"/>
        <v>672</v>
      </c>
      <c r="B672" t="s">
        <v>39</v>
      </c>
      <c r="C672" t="s">
        <v>111</v>
      </c>
      <c r="D672" t="s">
        <v>42</v>
      </c>
      <c r="E672" t="s">
        <v>1388</v>
      </c>
      <c r="F672" t="s">
        <v>343</v>
      </c>
      <c r="G672" t="s">
        <v>231</v>
      </c>
      <c r="H672" t="s">
        <v>1340</v>
      </c>
      <c r="I672" t="s">
        <v>235</v>
      </c>
      <c r="J672" t="s">
        <v>1533</v>
      </c>
      <c r="K672" t="s">
        <v>233</v>
      </c>
      <c r="L672" t="s">
        <v>1142</v>
      </c>
      <c r="M672" t="s">
        <v>28</v>
      </c>
      <c r="N672" s="1">
        <f t="shared" si="152"/>
        <v>2</v>
      </c>
      <c r="O672" s="1">
        <f t="shared" si="153"/>
        <v>5</v>
      </c>
      <c r="P672" s="1">
        <f t="shared" si="154"/>
        <v>7</v>
      </c>
      <c r="Q672" s="1">
        <f t="shared" si="155"/>
        <v>1</v>
      </c>
      <c r="R672" s="1">
        <f t="shared" si="156"/>
        <v>0</v>
      </c>
      <c r="S672" s="1">
        <f t="shared" si="157"/>
        <v>0</v>
      </c>
      <c r="T672" s="1">
        <f t="shared" si="158"/>
        <v>1</v>
      </c>
      <c r="U672" s="26">
        <f t="shared" si="159"/>
        <v>1</v>
      </c>
      <c r="V672" s="26">
        <f t="shared" si="160"/>
        <v>1</v>
      </c>
      <c r="W672" s="1">
        <f t="shared" si="161"/>
        <v>0</v>
      </c>
      <c r="X672" s="26">
        <f t="shared" si="162"/>
        <v>0</v>
      </c>
      <c r="Y672" s="26">
        <f t="shared" si="163"/>
        <v>1</v>
      </c>
      <c r="Z672" s="1">
        <f t="shared" si="164"/>
        <v>1</v>
      </c>
      <c r="AA672"/>
      <c r="AB672"/>
    </row>
    <row r="673" spans="1:28" x14ac:dyDescent="0.55000000000000004">
      <c r="A673" s="1">
        <f t="shared" si="151"/>
        <v>673</v>
      </c>
      <c r="B673" t="s">
        <v>39</v>
      </c>
      <c r="C673" t="s">
        <v>111</v>
      </c>
      <c r="D673" t="s">
        <v>42</v>
      </c>
      <c r="E673" t="s">
        <v>1388</v>
      </c>
      <c r="F673" t="s">
        <v>343</v>
      </c>
      <c r="G673" t="s">
        <v>222</v>
      </c>
      <c r="H673" t="s">
        <v>640</v>
      </c>
      <c r="I673" t="s">
        <v>226</v>
      </c>
      <c r="J673" t="s">
        <v>1534</v>
      </c>
      <c r="K673" t="s">
        <v>224</v>
      </c>
      <c r="L673" t="s">
        <v>1007</v>
      </c>
      <c r="M673" t="s">
        <v>28</v>
      </c>
      <c r="N673" s="1">
        <f t="shared" si="152"/>
        <v>1</v>
      </c>
      <c r="O673" s="1">
        <f t="shared" si="153"/>
        <v>4</v>
      </c>
      <c r="P673" s="1">
        <f t="shared" si="154"/>
        <v>5</v>
      </c>
      <c r="Q673" s="1">
        <f t="shared" si="155"/>
        <v>1</v>
      </c>
      <c r="R673" s="1">
        <f t="shared" si="156"/>
        <v>0</v>
      </c>
      <c r="S673" s="1">
        <f t="shared" si="157"/>
        <v>0</v>
      </c>
      <c r="T673" s="1">
        <f t="shared" si="158"/>
        <v>1</v>
      </c>
      <c r="U673" s="26">
        <f t="shared" si="159"/>
        <v>1</v>
      </c>
      <c r="V673" s="26">
        <f t="shared" si="160"/>
        <v>0</v>
      </c>
      <c r="W673" s="1">
        <f t="shared" si="161"/>
        <v>0</v>
      </c>
      <c r="X673" s="26">
        <f t="shared" si="162"/>
        <v>0</v>
      </c>
      <c r="Y673" s="26">
        <f t="shared" si="163"/>
        <v>1</v>
      </c>
      <c r="Z673" s="1">
        <f t="shared" si="164"/>
        <v>1</v>
      </c>
      <c r="AA673"/>
      <c r="AB673"/>
    </row>
    <row r="674" spans="1:28" x14ac:dyDescent="0.55000000000000004">
      <c r="A674" s="1">
        <f t="shared" si="151"/>
        <v>674</v>
      </c>
      <c r="B674" t="s">
        <v>40</v>
      </c>
      <c r="C674" t="s">
        <v>199</v>
      </c>
      <c r="D674" t="s">
        <v>42</v>
      </c>
      <c r="E674" t="s">
        <v>1388</v>
      </c>
      <c r="F674" t="s">
        <v>350</v>
      </c>
      <c r="G674" t="s">
        <v>261</v>
      </c>
      <c r="H674" t="s">
        <v>608</v>
      </c>
      <c r="I674" t="s">
        <v>256</v>
      </c>
      <c r="J674" t="s">
        <v>1549</v>
      </c>
      <c r="K674" t="s">
        <v>393</v>
      </c>
      <c r="L674" t="s">
        <v>594</v>
      </c>
      <c r="M674" t="s">
        <v>28</v>
      </c>
      <c r="N674" s="1">
        <f t="shared" si="152"/>
        <v>1</v>
      </c>
      <c r="O674" s="1">
        <f t="shared" si="153"/>
        <v>1</v>
      </c>
      <c r="P674" s="1">
        <f t="shared" si="154"/>
        <v>2</v>
      </c>
      <c r="Q674" s="1">
        <f t="shared" si="155"/>
        <v>0</v>
      </c>
      <c r="R674" s="1">
        <f t="shared" si="156"/>
        <v>1</v>
      </c>
      <c r="S674" s="1">
        <f t="shared" si="157"/>
        <v>0</v>
      </c>
      <c r="T674" s="1">
        <f t="shared" si="158"/>
        <v>1</v>
      </c>
      <c r="U674" s="26">
        <f t="shared" si="159"/>
        <v>1</v>
      </c>
      <c r="V674" s="26">
        <f t="shared" si="160"/>
        <v>0</v>
      </c>
      <c r="W674" s="1">
        <f t="shared" si="161"/>
        <v>1</v>
      </c>
      <c r="X674" s="26">
        <f t="shared" si="162"/>
        <v>1</v>
      </c>
      <c r="Y674" s="26">
        <f t="shared" si="163"/>
        <v>0</v>
      </c>
      <c r="Z674" s="1">
        <f t="shared" si="164"/>
        <v>1</v>
      </c>
      <c r="AA674"/>
      <c r="AB674"/>
    </row>
    <row r="675" spans="1:28" x14ac:dyDescent="0.55000000000000004">
      <c r="A675" s="1">
        <f t="shared" si="151"/>
        <v>675</v>
      </c>
      <c r="B675" t="s">
        <v>30</v>
      </c>
      <c r="C675" t="s">
        <v>200</v>
      </c>
      <c r="D675" t="s">
        <v>179</v>
      </c>
      <c r="E675" t="s">
        <v>772</v>
      </c>
      <c r="F675" t="s">
        <v>181</v>
      </c>
      <c r="G675" t="s">
        <v>45</v>
      </c>
      <c r="H675" t="s">
        <v>579</v>
      </c>
      <c r="I675" t="s">
        <v>49</v>
      </c>
      <c r="J675" t="s">
        <v>773</v>
      </c>
      <c r="K675" t="s">
        <v>74</v>
      </c>
      <c r="L675" t="s">
        <v>774</v>
      </c>
      <c r="M675" t="s">
        <v>28</v>
      </c>
      <c r="N675" s="1">
        <f t="shared" si="152"/>
        <v>2</v>
      </c>
      <c r="O675" s="1">
        <f t="shared" si="153"/>
        <v>1</v>
      </c>
      <c r="P675" s="1">
        <f t="shared" si="154"/>
        <v>3</v>
      </c>
      <c r="Q675" s="1">
        <f t="shared" si="155"/>
        <v>1</v>
      </c>
      <c r="R675" s="1">
        <f t="shared" si="156"/>
        <v>1</v>
      </c>
      <c r="S675" s="1">
        <f t="shared" si="157"/>
        <v>1</v>
      </c>
      <c r="T675" s="1">
        <f t="shared" si="158"/>
        <v>1</v>
      </c>
      <c r="U675" s="26">
        <f t="shared" si="159"/>
        <v>1</v>
      </c>
      <c r="V675" s="26">
        <f t="shared" si="160"/>
        <v>1</v>
      </c>
      <c r="W675" s="1">
        <f t="shared" si="161"/>
        <v>1</v>
      </c>
      <c r="X675" s="26">
        <f t="shared" si="162"/>
        <v>1</v>
      </c>
      <c r="Y675" s="26">
        <f t="shared" si="163"/>
        <v>0</v>
      </c>
      <c r="Z675" s="1">
        <f t="shared" si="164"/>
        <v>1</v>
      </c>
      <c r="AA675"/>
      <c r="AB675"/>
    </row>
    <row r="676" spans="1:28" x14ac:dyDescent="0.55000000000000004">
      <c r="A676" s="1">
        <f t="shared" si="151"/>
        <v>676</v>
      </c>
      <c r="B676" t="s">
        <v>30</v>
      </c>
      <c r="C676" t="s">
        <v>200</v>
      </c>
      <c r="D676" t="s">
        <v>179</v>
      </c>
      <c r="E676" t="s">
        <v>772</v>
      </c>
      <c r="F676" t="s">
        <v>181</v>
      </c>
      <c r="G676" t="s">
        <v>67</v>
      </c>
      <c r="H676" t="s">
        <v>664</v>
      </c>
      <c r="I676" t="s">
        <v>48</v>
      </c>
      <c r="J676" t="s">
        <v>775</v>
      </c>
      <c r="K676" t="s">
        <v>73</v>
      </c>
      <c r="L676" t="s">
        <v>761</v>
      </c>
      <c r="M676" t="s">
        <v>28</v>
      </c>
      <c r="N676" s="1">
        <f t="shared" si="152"/>
        <v>2</v>
      </c>
      <c r="O676" s="1">
        <f t="shared" si="153"/>
        <v>2</v>
      </c>
      <c r="P676" s="1">
        <f t="shared" si="154"/>
        <v>4</v>
      </c>
      <c r="Q676" s="1">
        <f t="shared" si="155"/>
        <v>0</v>
      </c>
      <c r="R676" s="1">
        <f t="shared" si="156"/>
        <v>1</v>
      </c>
      <c r="S676" s="1">
        <f t="shared" si="157"/>
        <v>0</v>
      </c>
      <c r="T676" s="1">
        <f t="shared" si="158"/>
        <v>1</v>
      </c>
      <c r="U676" s="26">
        <f t="shared" si="159"/>
        <v>1</v>
      </c>
      <c r="V676" s="26">
        <f t="shared" si="160"/>
        <v>1</v>
      </c>
      <c r="W676" s="1">
        <f t="shared" si="161"/>
        <v>1</v>
      </c>
      <c r="X676" s="26">
        <f t="shared" si="162"/>
        <v>1</v>
      </c>
      <c r="Y676" s="26">
        <f t="shared" si="163"/>
        <v>1</v>
      </c>
      <c r="Z676" s="1">
        <f t="shared" si="164"/>
        <v>1</v>
      </c>
      <c r="AA676"/>
      <c r="AB676"/>
    </row>
    <row r="677" spans="1:28" x14ac:dyDescent="0.55000000000000004">
      <c r="A677" s="1">
        <f t="shared" si="151"/>
        <v>677</v>
      </c>
      <c r="B677" t="s">
        <v>30</v>
      </c>
      <c r="C677" t="s">
        <v>200</v>
      </c>
      <c r="D677" t="s">
        <v>179</v>
      </c>
      <c r="E677" t="s">
        <v>772</v>
      </c>
      <c r="F677" t="s">
        <v>181</v>
      </c>
      <c r="G677" t="s">
        <v>63</v>
      </c>
      <c r="H677" t="s">
        <v>590</v>
      </c>
      <c r="I677" t="s">
        <v>66</v>
      </c>
      <c r="J677" t="s">
        <v>776</v>
      </c>
      <c r="K677" t="s">
        <v>65</v>
      </c>
      <c r="L677" t="s">
        <v>777</v>
      </c>
      <c r="M677" t="s">
        <v>28</v>
      </c>
      <c r="N677" s="1">
        <f t="shared" si="152"/>
        <v>0</v>
      </c>
      <c r="O677" s="1">
        <f t="shared" si="153"/>
        <v>1</v>
      </c>
      <c r="P677" s="1">
        <f t="shared" si="154"/>
        <v>1</v>
      </c>
      <c r="Q677" s="1">
        <f t="shared" si="155"/>
        <v>1</v>
      </c>
      <c r="R677" s="1">
        <f t="shared" si="156"/>
        <v>1</v>
      </c>
      <c r="S677" s="1">
        <f t="shared" si="157"/>
        <v>1</v>
      </c>
      <c r="T677" s="1">
        <f t="shared" si="158"/>
        <v>1</v>
      </c>
      <c r="U677" s="26">
        <f t="shared" si="159"/>
        <v>0</v>
      </c>
      <c r="V677" s="26">
        <f t="shared" si="160"/>
        <v>0</v>
      </c>
      <c r="W677" s="1">
        <f t="shared" si="161"/>
        <v>1</v>
      </c>
      <c r="X677" s="26">
        <f t="shared" si="162"/>
        <v>1</v>
      </c>
      <c r="Y677" s="26">
        <f t="shared" si="163"/>
        <v>0</v>
      </c>
      <c r="Z677" s="1">
        <f t="shared" si="164"/>
        <v>0</v>
      </c>
      <c r="AA677"/>
      <c r="AB677"/>
    </row>
    <row r="678" spans="1:28" x14ac:dyDescent="0.55000000000000004">
      <c r="A678" s="1">
        <f t="shared" si="151"/>
        <v>678</v>
      </c>
      <c r="B678" t="s">
        <v>30</v>
      </c>
      <c r="C678" t="s">
        <v>200</v>
      </c>
      <c r="D678" t="s">
        <v>179</v>
      </c>
      <c r="E678" t="s">
        <v>772</v>
      </c>
      <c r="F678" t="s">
        <v>181</v>
      </c>
      <c r="G678" t="s">
        <v>55</v>
      </c>
      <c r="H678" t="s">
        <v>573</v>
      </c>
      <c r="I678" t="s">
        <v>57</v>
      </c>
      <c r="J678" t="s">
        <v>778</v>
      </c>
      <c r="K678" t="s">
        <v>75</v>
      </c>
      <c r="L678" t="s">
        <v>779</v>
      </c>
      <c r="M678" t="s">
        <v>28</v>
      </c>
      <c r="N678" s="1">
        <f t="shared" si="152"/>
        <v>2</v>
      </c>
      <c r="O678" s="1">
        <f t="shared" si="153"/>
        <v>0</v>
      </c>
      <c r="P678" s="1">
        <f t="shared" si="154"/>
        <v>2</v>
      </c>
      <c r="Q678" s="1">
        <f t="shared" si="155"/>
        <v>1</v>
      </c>
      <c r="R678" s="1">
        <f t="shared" si="156"/>
        <v>1</v>
      </c>
      <c r="S678" s="1">
        <f t="shared" si="157"/>
        <v>1</v>
      </c>
      <c r="T678" s="1">
        <f t="shared" si="158"/>
        <v>1</v>
      </c>
      <c r="U678" s="26">
        <f t="shared" si="159"/>
        <v>1</v>
      </c>
      <c r="V678" s="26">
        <f t="shared" si="160"/>
        <v>1</v>
      </c>
      <c r="W678" s="1">
        <f t="shared" si="161"/>
        <v>1</v>
      </c>
      <c r="X678" s="26">
        <f t="shared" si="162"/>
        <v>0</v>
      </c>
      <c r="Y678" s="26">
        <f t="shared" si="163"/>
        <v>0</v>
      </c>
      <c r="Z678" s="1">
        <f t="shared" si="164"/>
        <v>1</v>
      </c>
      <c r="AA678"/>
      <c r="AB678"/>
    </row>
    <row r="679" spans="1:28" x14ac:dyDescent="0.55000000000000004">
      <c r="A679" s="1">
        <f t="shared" si="151"/>
        <v>679</v>
      </c>
      <c r="B679" t="s">
        <v>30</v>
      </c>
      <c r="C679" t="s">
        <v>200</v>
      </c>
      <c r="D679" t="s">
        <v>179</v>
      </c>
      <c r="E679" t="s">
        <v>772</v>
      </c>
      <c r="F679" t="s">
        <v>182</v>
      </c>
      <c r="G679" t="s">
        <v>60</v>
      </c>
      <c r="H679" t="s">
        <v>608</v>
      </c>
      <c r="I679" t="s">
        <v>44</v>
      </c>
      <c r="J679" t="s">
        <v>780</v>
      </c>
      <c r="K679" t="s">
        <v>62</v>
      </c>
      <c r="L679" t="s">
        <v>781</v>
      </c>
      <c r="M679" t="s">
        <v>28</v>
      </c>
      <c r="N679" s="1">
        <f t="shared" si="152"/>
        <v>1</v>
      </c>
      <c r="O679" s="1">
        <f t="shared" si="153"/>
        <v>1</v>
      </c>
      <c r="P679" s="1">
        <f t="shared" si="154"/>
        <v>2</v>
      </c>
      <c r="Q679" s="1">
        <f t="shared" si="155"/>
        <v>0</v>
      </c>
      <c r="R679" s="1">
        <f t="shared" si="156"/>
        <v>1</v>
      </c>
      <c r="S679" s="1">
        <f t="shared" si="157"/>
        <v>0</v>
      </c>
      <c r="T679" s="1">
        <f t="shared" si="158"/>
        <v>1</v>
      </c>
      <c r="U679" s="26">
        <f t="shared" si="159"/>
        <v>1</v>
      </c>
      <c r="V679" s="26">
        <f t="shared" si="160"/>
        <v>0</v>
      </c>
      <c r="W679" s="1">
        <f t="shared" si="161"/>
        <v>1</v>
      </c>
      <c r="X679" s="26">
        <f t="shared" si="162"/>
        <v>1</v>
      </c>
      <c r="Y679" s="26">
        <f t="shared" si="163"/>
        <v>0</v>
      </c>
      <c r="Z679" s="1">
        <f t="shared" si="164"/>
        <v>1</v>
      </c>
      <c r="AA679"/>
      <c r="AB679"/>
    </row>
    <row r="680" spans="1:28" x14ac:dyDescent="0.55000000000000004">
      <c r="A680" s="1">
        <f t="shared" si="151"/>
        <v>680</v>
      </c>
      <c r="B680" t="s">
        <v>35</v>
      </c>
      <c r="C680" t="s">
        <v>120</v>
      </c>
      <c r="D680" t="s">
        <v>177</v>
      </c>
      <c r="E680" t="s">
        <v>1063</v>
      </c>
      <c r="F680" t="s">
        <v>181</v>
      </c>
      <c r="G680" t="s">
        <v>386</v>
      </c>
      <c r="H680" t="s">
        <v>1064</v>
      </c>
      <c r="I680" t="s">
        <v>384</v>
      </c>
      <c r="J680" t="s">
        <v>1065</v>
      </c>
      <c r="K680" t="s">
        <v>418</v>
      </c>
      <c r="L680" t="s">
        <v>677</v>
      </c>
      <c r="M680" t="s">
        <v>28</v>
      </c>
      <c r="N680" s="1">
        <f t="shared" si="152"/>
        <v>0</v>
      </c>
      <c r="O680" s="1">
        <f t="shared" si="153"/>
        <v>5</v>
      </c>
      <c r="P680" s="1">
        <f t="shared" si="154"/>
        <v>5</v>
      </c>
      <c r="Q680" s="1">
        <f t="shared" si="155"/>
        <v>1</v>
      </c>
      <c r="R680" s="1">
        <f t="shared" si="156"/>
        <v>0</v>
      </c>
      <c r="S680" s="1">
        <f t="shared" si="157"/>
        <v>0</v>
      </c>
      <c r="T680" s="1">
        <f t="shared" si="158"/>
        <v>1</v>
      </c>
      <c r="U680" s="26">
        <f t="shared" si="159"/>
        <v>0</v>
      </c>
      <c r="V680" s="26">
        <f t="shared" si="160"/>
        <v>0</v>
      </c>
      <c r="W680" s="1">
        <f t="shared" si="161"/>
        <v>0</v>
      </c>
      <c r="X680" s="26">
        <f t="shared" si="162"/>
        <v>0</v>
      </c>
      <c r="Y680" s="26">
        <f t="shared" si="163"/>
        <v>1</v>
      </c>
      <c r="Z680" s="1">
        <f t="shared" si="164"/>
        <v>1</v>
      </c>
      <c r="AA680"/>
      <c r="AB680"/>
    </row>
    <row r="681" spans="1:28" x14ac:dyDescent="0.55000000000000004">
      <c r="A681" s="1">
        <f t="shared" si="151"/>
        <v>681</v>
      </c>
      <c r="B681" t="s">
        <v>40</v>
      </c>
      <c r="C681" t="s">
        <v>117</v>
      </c>
      <c r="D681" t="s">
        <v>177</v>
      </c>
      <c r="E681" t="s">
        <v>1063</v>
      </c>
      <c r="F681" t="s">
        <v>251</v>
      </c>
      <c r="G681" t="s">
        <v>260</v>
      </c>
      <c r="H681" t="s">
        <v>608</v>
      </c>
      <c r="I681" t="s">
        <v>256</v>
      </c>
      <c r="J681" t="s">
        <v>1156</v>
      </c>
      <c r="K681" t="s">
        <v>250</v>
      </c>
      <c r="L681" t="s">
        <v>1027</v>
      </c>
      <c r="M681" t="s">
        <v>28</v>
      </c>
      <c r="N681" s="1">
        <f t="shared" si="152"/>
        <v>1</v>
      </c>
      <c r="O681" s="1">
        <f t="shared" si="153"/>
        <v>1</v>
      </c>
      <c r="P681" s="1">
        <f t="shared" si="154"/>
        <v>2</v>
      </c>
      <c r="Q681" s="1">
        <f t="shared" si="155"/>
        <v>0</v>
      </c>
      <c r="R681" s="1">
        <f t="shared" si="156"/>
        <v>1</v>
      </c>
      <c r="S681" s="1">
        <f t="shared" si="157"/>
        <v>0</v>
      </c>
      <c r="T681" s="1">
        <f t="shared" si="158"/>
        <v>1</v>
      </c>
      <c r="U681" s="26">
        <f t="shared" si="159"/>
        <v>1</v>
      </c>
      <c r="V681" s="26">
        <f t="shared" si="160"/>
        <v>0</v>
      </c>
      <c r="W681" s="1">
        <f t="shared" si="161"/>
        <v>1</v>
      </c>
      <c r="X681" s="26">
        <f t="shared" si="162"/>
        <v>1</v>
      </c>
      <c r="Y681" s="26">
        <f t="shared" si="163"/>
        <v>0</v>
      </c>
      <c r="Z681" s="1">
        <f t="shared" si="164"/>
        <v>1</v>
      </c>
      <c r="AA681"/>
      <c r="AB681"/>
    </row>
    <row r="682" spans="1:28" x14ac:dyDescent="0.55000000000000004">
      <c r="A682" s="1">
        <f t="shared" si="151"/>
        <v>682</v>
      </c>
      <c r="B682" t="s">
        <v>35</v>
      </c>
      <c r="C682" t="s">
        <v>122</v>
      </c>
      <c r="D682" t="s">
        <v>189</v>
      </c>
      <c r="E682" t="s">
        <v>846</v>
      </c>
      <c r="F682" t="s">
        <v>181</v>
      </c>
      <c r="G682" t="s">
        <v>204</v>
      </c>
      <c r="H682" t="s">
        <v>847</v>
      </c>
      <c r="I682" t="s">
        <v>307</v>
      </c>
      <c r="J682" t="s">
        <v>848</v>
      </c>
      <c r="K682" t="s">
        <v>206</v>
      </c>
      <c r="L682" t="s">
        <v>580</v>
      </c>
      <c r="M682" t="s">
        <v>28</v>
      </c>
      <c r="N682" s="1">
        <f t="shared" si="152"/>
        <v>5</v>
      </c>
      <c r="O682" s="1">
        <f t="shared" si="153"/>
        <v>0</v>
      </c>
      <c r="P682" s="1">
        <f t="shared" si="154"/>
        <v>5</v>
      </c>
      <c r="Q682" s="1">
        <f t="shared" si="155"/>
        <v>1</v>
      </c>
      <c r="R682" s="1">
        <f t="shared" si="156"/>
        <v>0</v>
      </c>
      <c r="S682" s="1">
        <f t="shared" si="157"/>
        <v>0</v>
      </c>
      <c r="T682" s="1">
        <f t="shared" si="158"/>
        <v>0</v>
      </c>
      <c r="U682" s="26">
        <f t="shared" si="159"/>
        <v>0</v>
      </c>
      <c r="V682" s="26">
        <f t="shared" si="160"/>
        <v>1</v>
      </c>
      <c r="W682" s="1">
        <f t="shared" si="161"/>
        <v>1</v>
      </c>
      <c r="X682" s="26">
        <f t="shared" si="162"/>
        <v>0</v>
      </c>
      <c r="Y682" s="26">
        <f t="shared" si="163"/>
        <v>0</v>
      </c>
      <c r="Z682" s="1">
        <f t="shared" si="164"/>
        <v>1</v>
      </c>
      <c r="AA682"/>
      <c r="AB682"/>
    </row>
    <row r="683" spans="1:28" x14ac:dyDescent="0.55000000000000004">
      <c r="A683" s="1">
        <f t="shared" si="151"/>
        <v>683</v>
      </c>
      <c r="B683" t="s">
        <v>37</v>
      </c>
      <c r="C683" t="s">
        <v>117</v>
      </c>
      <c r="D683" t="s">
        <v>174</v>
      </c>
      <c r="E683" t="s">
        <v>592</v>
      </c>
      <c r="F683" t="s">
        <v>315</v>
      </c>
      <c r="G683" t="s">
        <v>313</v>
      </c>
      <c r="H683" t="s">
        <v>581</v>
      </c>
      <c r="I683" t="s">
        <v>328</v>
      </c>
      <c r="K683" t="s">
        <v>317</v>
      </c>
      <c r="L683" t="s">
        <v>593</v>
      </c>
      <c r="M683" t="s">
        <v>28</v>
      </c>
      <c r="N683" s="1">
        <f t="shared" si="152"/>
        <v>1</v>
      </c>
      <c r="O683" s="1">
        <f t="shared" si="153"/>
        <v>2</v>
      </c>
      <c r="P683" s="1">
        <f t="shared" si="154"/>
        <v>3</v>
      </c>
      <c r="Q683" s="1">
        <f t="shared" si="155"/>
        <v>1</v>
      </c>
      <c r="R683" s="1">
        <f t="shared" si="156"/>
        <v>1</v>
      </c>
      <c r="S683" s="1">
        <f t="shared" si="157"/>
        <v>1</v>
      </c>
      <c r="T683" s="1">
        <f t="shared" si="158"/>
        <v>1</v>
      </c>
      <c r="U683" s="26">
        <f t="shared" si="159"/>
        <v>1</v>
      </c>
      <c r="V683" s="26">
        <f t="shared" si="160"/>
        <v>0</v>
      </c>
      <c r="W683" s="1">
        <f t="shared" si="161"/>
        <v>1</v>
      </c>
      <c r="X683" s="26">
        <f t="shared" si="162"/>
        <v>1</v>
      </c>
      <c r="Y683" s="26">
        <f t="shared" si="163"/>
        <v>1</v>
      </c>
      <c r="Z683" s="1">
        <f t="shared" si="164"/>
        <v>1</v>
      </c>
      <c r="AA683"/>
      <c r="AB683"/>
    </row>
    <row r="684" spans="1:28" x14ac:dyDescent="0.55000000000000004">
      <c r="A684" s="1">
        <f t="shared" si="151"/>
        <v>684</v>
      </c>
      <c r="B684" t="s">
        <v>33</v>
      </c>
      <c r="C684" t="s">
        <v>104</v>
      </c>
      <c r="D684" t="s">
        <v>174</v>
      </c>
      <c r="E684" t="s">
        <v>592</v>
      </c>
      <c r="F684" t="s">
        <v>364</v>
      </c>
      <c r="G684" t="s">
        <v>279</v>
      </c>
      <c r="H684" t="s">
        <v>575</v>
      </c>
      <c r="I684" t="s">
        <v>292</v>
      </c>
      <c r="J684" t="s">
        <v>1201</v>
      </c>
      <c r="K684" t="s">
        <v>294</v>
      </c>
      <c r="L684" t="s">
        <v>569</v>
      </c>
      <c r="M684" t="s">
        <v>28</v>
      </c>
      <c r="N684" s="1">
        <f t="shared" si="152"/>
        <v>1</v>
      </c>
      <c r="O684" s="1">
        <f t="shared" si="153"/>
        <v>0</v>
      </c>
      <c r="P684" s="1">
        <f t="shared" si="154"/>
        <v>1</v>
      </c>
      <c r="Q684" s="1">
        <f t="shared" si="155"/>
        <v>1</v>
      </c>
      <c r="R684" s="1">
        <f t="shared" si="156"/>
        <v>1</v>
      </c>
      <c r="S684" s="1">
        <f t="shared" si="157"/>
        <v>1</v>
      </c>
      <c r="T684" s="1">
        <f t="shared" si="158"/>
        <v>1</v>
      </c>
      <c r="U684" s="26">
        <f t="shared" si="159"/>
        <v>1</v>
      </c>
      <c r="V684" s="26">
        <f t="shared" si="160"/>
        <v>0</v>
      </c>
      <c r="W684" s="1">
        <f t="shared" si="161"/>
        <v>1</v>
      </c>
      <c r="X684" s="26">
        <f t="shared" si="162"/>
        <v>0</v>
      </c>
      <c r="Y684" s="26">
        <f t="shared" si="163"/>
        <v>0</v>
      </c>
      <c r="Z684" s="1">
        <f t="shared" si="164"/>
        <v>0</v>
      </c>
      <c r="AA684"/>
      <c r="AB684"/>
    </row>
    <row r="685" spans="1:28" x14ac:dyDescent="0.55000000000000004">
      <c r="A685" s="1">
        <f t="shared" si="151"/>
        <v>685</v>
      </c>
      <c r="B685" t="s">
        <v>33</v>
      </c>
      <c r="C685" t="s">
        <v>104</v>
      </c>
      <c r="D685" t="s">
        <v>174</v>
      </c>
      <c r="E685" t="s">
        <v>592</v>
      </c>
      <c r="F685" t="s">
        <v>364</v>
      </c>
      <c r="G685" t="s">
        <v>278</v>
      </c>
      <c r="H685" t="s">
        <v>687</v>
      </c>
      <c r="I685" t="s">
        <v>362</v>
      </c>
      <c r="J685" t="s">
        <v>1202</v>
      </c>
      <c r="K685" t="s">
        <v>280</v>
      </c>
      <c r="L685" t="s">
        <v>1203</v>
      </c>
      <c r="M685" t="s">
        <v>28</v>
      </c>
      <c r="N685" s="1">
        <f t="shared" si="152"/>
        <v>4</v>
      </c>
      <c r="O685" s="1">
        <f t="shared" si="153"/>
        <v>0</v>
      </c>
      <c r="P685" s="1">
        <f t="shared" si="154"/>
        <v>4</v>
      </c>
      <c r="Q685" s="1">
        <f t="shared" si="155"/>
        <v>1</v>
      </c>
      <c r="R685" s="1">
        <f t="shared" si="156"/>
        <v>1</v>
      </c>
      <c r="S685" s="1">
        <f t="shared" si="157"/>
        <v>1</v>
      </c>
      <c r="T685" s="1">
        <f t="shared" si="158"/>
        <v>0</v>
      </c>
      <c r="U685" s="26">
        <f t="shared" si="159"/>
        <v>0</v>
      </c>
      <c r="V685" s="26">
        <f t="shared" si="160"/>
        <v>1</v>
      </c>
      <c r="W685" s="1">
        <f t="shared" si="161"/>
        <v>1</v>
      </c>
      <c r="X685" s="26">
        <f t="shared" si="162"/>
        <v>0</v>
      </c>
      <c r="Y685" s="26">
        <f t="shared" si="163"/>
        <v>0</v>
      </c>
      <c r="Z685" s="1">
        <f t="shared" si="164"/>
        <v>1</v>
      </c>
      <c r="AA685"/>
      <c r="AB685"/>
    </row>
    <row r="686" spans="1:28" x14ac:dyDescent="0.55000000000000004">
      <c r="A686" s="1">
        <f t="shared" si="151"/>
        <v>686</v>
      </c>
      <c r="B686" t="s">
        <v>33</v>
      </c>
      <c r="C686" t="s">
        <v>104</v>
      </c>
      <c r="D686" t="s">
        <v>174</v>
      </c>
      <c r="E686" t="s">
        <v>592</v>
      </c>
      <c r="F686" t="s">
        <v>277</v>
      </c>
      <c r="G686" t="s">
        <v>284</v>
      </c>
      <c r="H686" t="s">
        <v>608</v>
      </c>
      <c r="I686" t="s">
        <v>291</v>
      </c>
      <c r="J686" t="s">
        <v>1204</v>
      </c>
      <c r="K686" t="s">
        <v>286</v>
      </c>
      <c r="L686" t="s">
        <v>571</v>
      </c>
      <c r="M686" t="s">
        <v>28</v>
      </c>
      <c r="N686" s="1">
        <f t="shared" si="152"/>
        <v>1</v>
      </c>
      <c r="O686" s="1">
        <f t="shared" si="153"/>
        <v>1</v>
      </c>
      <c r="P686" s="1">
        <f t="shared" si="154"/>
        <v>2</v>
      </c>
      <c r="Q686" s="1">
        <f t="shared" si="155"/>
        <v>0</v>
      </c>
      <c r="R686" s="1">
        <f t="shared" si="156"/>
        <v>1</v>
      </c>
      <c r="S686" s="1">
        <f t="shared" si="157"/>
        <v>0</v>
      </c>
      <c r="T686" s="1">
        <f t="shared" si="158"/>
        <v>1</v>
      </c>
      <c r="U686" s="26">
        <f t="shared" si="159"/>
        <v>1</v>
      </c>
      <c r="V686" s="26">
        <f t="shared" si="160"/>
        <v>0</v>
      </c>
      <c r="W686" s="1">
        <f t="shared" si="161"/>
        <v>1</v>
      </c>
      <c r="X686" s="26">
        <f t="shared" si="162"/>
        <v>1</v>
      </c>
      <c r="Y686" s="26">
        <f t="shared" si="163"/>
        <v>0</v>
      </c>
      <c r="Z686" s="1">
        <f t="shared" si="164"/>
        <v>1</v>
      </c>
      <c r="AA686"/>
      <c r="AB686"/>
    </row>
    <row r="687" spans="1:28" x14ac:dyDescent="0.55000000000000004">
      <c r="A687" s="1">
        <f t="shared" si="151"/>
        <v>687</v>
      </c>
      <c r="B687" t="s">
        <v>33</v>
      </c>
      <c r="C687" t="s">
        <v>104</v>
      </c>
      <c r="D687" t="s">
        <v>174</v>
      </c>
      <c r="E687" t="s">
        <v>592</v>
      </c>
      <c r="F687" t="s">
        <v>277</v>
      </c>
      <c r="G687" t="s">
        <v>299</v>
      </c>
      <c r="H687" t="s">
        <v>664</v>
      </c>
      <c r="I687" t="s">
        <v>287</v>
      </c>
      <c r="J687" t="s">
        <v>1205</v>
      </c>
      <c r="K687" t="s">
        <v>366</v>
      </c>
      <c r="L687" t="s">
        <v>1206</v>
      </c>
      <c r="M687" t="s">
        <v>28</v>
      </c>
      <c r="N687" s="1">
        <f t="shared" si="152"/>
        <v>2</v>
      </c>
      <c r="O687" s="1">
        <f t="shared" si="153"/>
        <v>2</v>
      </c>
      <c r="P687" s="1">
        <f t="shared" si="154"/>
        <v>4</v>
      </c>
      <c r="Q687" s="1">
        <f t="shared" si="155"/>
        <v>0</v>
      </c>
      <c r="R687" s="1">
        <f t="shared" si="156"/>
        <v>1</v>
      </c>
      <c r="S687" s="1">
        <f t="shared" si="157"/>
        <v>0</v>
      </c>
      <c r="T687" s="1">
        <f t="shared" si="158"/>
        <v>1</v>
      </c>
      <c r="U687" s="26">
        <f t="shared" si="159"/>
        <v>1</v>
      </c>
      <c r="V687" s="26">
        <f t="shared" si="160"/>
        <v>1</v>
      </c>
      <c r="W687" s="1">
        <f t="shared" si="161"/>
        <v>1</v>
      </c>
      <c r="X687" s="26">
        <f t="shared" si="162"/>
        <v>1</v>
      </c>
      <c r="Y687" s="26">
        <f t="shared" si="163"/>
        <v>1</v>
      </c>
      <c r="Z687" s="1">
        <f t="shared" si="164"/>
        <v>1</v>
      </c>
      <c r="AA687"/>
      <c r="AB687"/>
    </row>
    <row r="688" spans="1:28" x14ac:dyDescent="0.55000000000000004">
      <c r="A688" s="1">
        <f t="shared" si="151"/>
        <v>688</v>
      </c>
      <c r="B688" t="s">
        <v>33</v>
      </c>
      <c r="C688" t="s">
        <v>104</v>
      </c>
      <c r="D688" t="s">
        <v>174</v>
      </c>
      <c r="E688" t="s">
        <v>592</v>
      </c>
      <c r="F688" t="s">
        <v>290</v>
      </c>
      <c r="G688" t="s">
        <v>360</v>
      </c>
      <c r="H688" t="s">
        <v>565</v>
      </c>
      <c r="I688" t="s">
        <v>367</v>
      </c>
      <c r="J688" t="s">
        <v>1207</v>
      </c>
      <c r="K688" t="s">
        <v>371</v>
      </c>
      <c r="L688" t="s">
        <v>1208</v>
      </c>
      <c r="M688" t="s">
        <v>28</v>
      </c>
      <c r="N688" s="1">
        <f t="shared" si="152"/>
        <v>2</v>
      </c>
      <c r="O688" s="1">
        <f t="shared" si="153"/>
        <v>3</v>
      </c>
      <c r="P688" s="1">
        <f t="shared" si="154"/>
        <v>5</v>
      </c>
      <c r="Q688" s="1">
        <f t="shared" si="155"/>
        <v>1</v>
      </c>
      <c r="R688" s="1">
        <f t="shared" si="156"/>
        <v>0</v>
      </c>
      <c r="S688" s="1">
        <f t="shared" si="157"/>
        <v>0</v>
      </c>
      <c r="T688" s="1">
        <f t="shared" si="158"/>
        <v>1</v>
      </c>
      <c r="U688" s="26">
        <f t="shared" si="159"/>
        <v>1</v>
      </c>
      <c r="V688" s="26">
        <f t="shared" si="160"/>
        <v>1</v>
      </c>
      <c r="W688" s="1">
        <f t="shared" si="161"/>
        <v>0</v>
      </c>
      <c r="X688" s="26">
        <f t="shared" si="162"/>
        <v>1</v>
      </c>
      <c r="Y688" s="26">
        <f t="shared" si="163"/>
        <v>1</v>
      </c>
      <c r="Z688" s="1">
        <f t="shared" si="164"/>
        <v>1</v>
      </c>
      <c r="AA688"/>
      <c r="AB688"/>
    </row>
    <row r="689" spans="1:28" x14ac:dyDescent="0.55000000000000004">
      <c r="A689" s="1">
        <f t="shared" si="151"/>
        <v>689</v>
      </c>
      <c r="B689" t="s">
        <v>35</v>
      </c>
      <c r="C689" t="s">
        <v>153</v>
      </c>
      <c r="D689" t="s">
        <v>174</v>
      </c>
      <c r="E689" t="s">
        <v>592</v>
      </c>
      <c r="F689" t="s">
        <v>375</v>
      </c>
      <c r="G689" t="s">
        <v>208</v>
      </c>
      <c r="H689" t="s">
        <v>722</v>
      </c>
      <c r="I689" t="s">
        <v>210</v>
      </c>
      <c r="J689" t="s">
        <v>1229</v>
      </c>
      <c r="K689" t="s">
        <v>381</v>
      </c>
      <c r="L689" t="s">
        <v>1069</v>
      </c>
      <c r="M689" t="s">
        <v>28</v>
      </c>
      <c r="N689" s="1">
        <f t="shared" si="152"/>
        <v>3</v>
      </c>
      <c r="O689" s="1">
        <f t="shared" si="153"/>
        <v>0</v>
      </c>
      <c r="P689" s="1">
        <f t="shared" si="154"/>
        <v>3</v>
      </c>
      <c r="Q689" s="1">
        <f t="shared" si="155"/>
        <v>1</v>
      </c>
      <c r="R689" s="1">
        <f t="shared" si="156"/>
        <v>1</v>
      </c>
      <c r="S689" s="1">
        <f t="shared" si="157"/>
        <v>1</v>
      </c>
      <c r="T689" s="1">
        <f t="shared" si="158"/>
        <v>0</v>
      </c>
      <c r="U689" s="26">
        <f t="shared" si="159"/>
        <v>1</v>
      </c>
      <c r="V689" s="26">
        <f t="shared" si="160"/>
        <v>1</v>
      </c>
      <c r="W689" s="1">
        <f t="shared" si="161"/>
        <v>1</v>
      </c>
      <c r="X689" s="26">
        <f t="shared" si="162"/>
        <v>0</v>
      </c>
      <c r="Y689" s="26">
        <f t="shared" si="163"/>
        <v>0</v>
      </c>
      <c r="Z689" s="1">
        <f t="shared" si="164"/>
        <v>1</v>
      </c>
      <c r="AA689"/>
      <c r="AB689"/>
    </row>
    <row r="690" spans="1:28" x14ac:dyDescent="0.55000000000000004">
      <c r="A690" s="1">
        <f t="shared" si="151"/>
        <v>690</v>
      </c>
      <c r="B690" t="s">
        <v>37</v>
      </c>
      <c r="C690" t="s">
        <v>117</v>
      </c>
      <c r="D690" t="s">
        <v>174</v>
      </c>
      <c r="E690" t="s">
        <v>592</v>
      </c>
      <c r="F690" t="s">
        <v>315</v>
      </c>
      <c r="G690" t="s">
        <v>326</v>
      </c>
      <c r="H690" t="s">
        <v>664</v>
      </c>
      <c r="I690" t="s">
        <v>312</v>
      </c>
      <c r="J690" t="s">
        <v>1289</v>
      </c>
      <c r="K690" t="s">
        <v>327</v>
      </c>
      <c r="L690" t="s">
        <v>866</v>
      </c>
      <c r="M690" t="s">
        <v>28</v>
      </c>
      <c r="N690" s="1">
        <f t="shared" si="152"/>
        <v>2</v>
      </c>
      <c r="O690" s="1">
        <f t="shared" si="153"/>
        <v>2</v>
      </c>
      <c r="P690" s="1">
        <f t="shared" si="154"/>
        <v>4</v>
      </c>
      <c r="Q690" s="1">
        <f t="shared" si="155"/>
        <v>0</v>
      </c>
      <c r="R690" s="1">
        <f t="shared" si="156"/>
        <v>1</v>
      </c>
      <c r="S690" s="1">
        <f t="shared" si="157"/>
        <v>0</v>
      </c>
      <c r="T690" s="1">
        <f t="shared" si="158"/>
        <v>1</v>
      </c>
      <c r="U690" s="26">
        <f t="shared" si="159"/>
        <v>1</v>
      </c>
      <c r="V690" s="26">
        <f t="shared" si="160"/>
        <v>1</v>
      </c>
      <c r="W690" s="1">
        <f t="shared" si="161"/>
        <v>1</v>
      </c>
      <c r="X690" s="26">
        <f t="shared" si="162"/>
        <v>1</v>
      </c>
      <c r="Y690" s="26">
        <f t="shared" si="163"/>
        <v>1</v>
      </c>
      <c r="Z690" s="1">
        <f t="shared" si="164"/>
        <v>1</v>
      </c>
      <c r="AA690"/>
      <c r="AB690"/>
    </row>
    <row r="691" spans="1:28" x14ac:dyDescent="0.55000000000000004">
      <c r="A691" s="1">
        <f t="shared" si="151"/>
        <v>691</v>
      </c>
      <c r="B691" t="s">
        <v>37</v>
      </c>
      <c r="C691" t="s">
        <v>117</v>
      </c>
      <c r="D691" t="s">
        <v>174</v>
      </c>
      <c r="E691" t="s">
        <v>592</v>
      </c>
      <c r="F691" t="s">
        <v>315</v>
      </c>
      <c r="G691" t="s">
        <v>318</v>
      </c>
      <c r="H691" t="s">
        <v>575</v>
      </c>
      <c r="I691" t="s">
        <v>316</v>
      </c>
      <c r="J691" t="s">
        <v>1290</v>
      </c>
      <c r="K691" t="s">
        <v>320</v>
      </c>
      <c r="L691" t="s">
        <v>875</v>
      </c>
      <c r="M691" t="s">
        <v>28</v>
      </c>
      <c r="N691" s="1">
        <f t="shared" si="152"/>
        <v>1</v>
      </c>
      <c r="O691" s="1">
        <f t="shared" si="153"/>
        <v>0</v>
      </c>
      <c r="P691" s="1">
        <f t="shared" si="154"/>
        <v>1</v>
      </c>
      <c r="Q691" s="1">
        <f t="shared" si="155"/>
        <v>1</v>
      </c>
      <c r="R691" s="1">
        <f t="shared" si="156"/>
        <v>1</v>
      </c>
      <c r="S691" s="1">
        <f t="shared" si="157"/>
        <v>1</v>
      </c>
      <c r="T691" s="1">
        <f t="shared" si="158"/>
        <v>1</v>
      </c>
      <c r="U691" s="26">
        <f t="shared" si="159"/>
        <v>1</v>
      </c>
      <c r="V691" s="26">
        <f t="shared" si="160"/>
        <v>0</v>
      </c>
      <c r="W691" s="1">
        <f t="shared" si="161"/>
        <v>1</v>
      </c>
      <c r="X691" s="26">
        <f t="shared" si="162"/>
        <v>0</v>
      </c>
      <c r="Y691" s="26">
        <f t="shared" si="163"/>
        <v>0</v>
      </c>
      <c r="Z691" s="1">
        <f t="shared" si="164"/>
        <v>0</v>
      </c>
      <c r="AA691"/>
      <c r="AB691"/>
    </row>
    <row r="692" spans="1:28" x14ac:dyDescent="0.55000000000000004">
      <c r="A692" s="1">
        <f t="shared" si="151"/>
        <v>692</v>
      </c>
      <c r="B692" t="s">
        <v>37</v>
      </c>
      <c r="C692" t="s">
        <v>117</v>
      </c>
      <c r="D692" t="s">
        <v>174</v>
      </c>
      <c r="E692" t="s">
        <v>592</v>
      </c>
      <c r="F692" t="s">
        <v>311</v>
      </c>
      <c r="G692" t="s">
        <v>322</v>
      </c>
      <c r="H692" t="s">
        <v>608</v>
      </c>
      <c r="I692" t="s">
        <v>324</v>
      </c>
      <c r="J692" t="s">
        <v>1291</v>
      </c>
      <c r="K692" t="s">
        <v>331</v>
      </c>
      <c r="L692" t="s">
        <v>591</v>
      </c>
      <c r="M692" t="s">
        <v>28</v>
      </c>
      <c r="N692" s="1">
        <f t="shared" si="152"/>
        <v>1</v>
      </c>
      <c r="O692" s="1">
        <f t="shared" si="153"/>
        <v>1</v>
      </c>
      <c r="P692" s="1">
        <f t="shared" si="154"/>
        <v>2</v>
      </c>
      <c r="Q692" s="1">
        <f t="shared" si="155"/>
        <v>0</v>
      </c>
      <c r="R692" s="1">
        <f t="shared" si="156"/>
        <v>1</v>
      </c>
      <c r="S692" s="1">
        <f t="shared" si="157"/>
        <v>0</v>
      </c>
      <c r="T692" s="1">
        <f t="shared" si="158"/>
        <v>1</v>
      </c>
      <c r="U692" s="26">
        <f t="shared" si="159"/>
        <v>1</v>
      </c>
      <c r="V692" s="26">
        <f t="shared" si="160"/>
        <v>0</v>
      </c>
      <c r="W692" s="1">
        <f t="shared" si="161"/>
        <v>1</v>
      </c>
      <c r="X692" s="26">
        <f t="shared" si="162"/>
        <v>1</v>
      </c>
      <c r="Y692" s="26">
        <f t="shared" si="163"/>
        <v>0</v>
      </c>
      <c r="Z692" s="1">
        <f t="shared" si="164"/>
        <v>1</v>
      </c>
      <c r="AA692"/>
      <c r="AB692"/>
    </row>
    <row r="693" spans="1:28" x14ac:dyDescent="0.55000000000000004">
      <c r="A693" s="1">
        <f t="shared" si="151"/>
        <v>693</v>
      </c>
      <c r="B693" t="s">
        <v>37</v>
      </c>
      <c r="C693" t="s">
        <v>117</v>
      </c>
      <c r="D693" t="s">
        <v>174</v>
      </c>
      <c r="E693" t="s">
        <v>592</v>
      </c>
      <c r="F693" t="s">
        <v>311</v>
      </c>
      <c r="G693" t="s">
        <v>319</v>
      </c>
      <c r="H693" t="s">
        <v>575</v>
      </c>
      <c r="I693" t="s">
        <v>321</v>
      </c>
      <c r="J693" t="s">
        <v>1292</v>
      </c>
      <c r="K693" t="s">
        <v>330</v>
      </c>
      <c r="L693" t="s">
        <v>1242</v>
      </c>
      <c r="M693" t="s">
        <v>28</v>
      </c>
      <c r="N693" s="1">
        <f t="shared" si="152"/>
        <v>1</v>
      </c>
      <c r="O693" s="1">
        <f t="shared" si="153"/>
        <v>0</v>
      </c>
      <c r="P693" s="1">
        <f t="shared" si="154"/>
        <v>1</v>
      </c>
      <c r="Q693" s="1">
        <f t="shared" si="155"/>
        <v>1</v>
      </c>
      <c r="R693" s="1">
        <f t="shared" si="156"/>
        <v>1</v>
      </c>
      <c r="S693" s="1">
        <f t="shared" si="157"/>
        <v>1</v>
      </c>
      <c r="T693" s="1">
        <f t="shared" si="158"/>
        <v>1</v>
      </c>
      <c r="U693" s="26">
        <f t="shared" si="159"/>
        <v>1</v>
      </c>
      <c r="V693" s="26">
        <f t="shared" si="160"/>
        <v>0</v>
      </c>
      <c r="W693" s="1">
        <f t="shared" si="161"/>
        <v>1</v>
      </c>
      <c r="X693" s="26">
        <f t="shared" si="162"/>
        <v>0</v>
      </c>
      <c r="Y693" s="26">
        <f t="shared" si="163"/>
        <v>0</v>
      </c>
      <c r="Z693" s="1">
        <f t="shared" si="164"/>
        <v>0</v>
      </c>
      <c r="AA693"/>
      <c r="AB693"/>
    </row>
    <row r="694" spans="1:28" x14ac:dyDescent="0.55000000000000004">
      <c r="A694" s="1">
        <f t="shared" si="151"/>
        <v>694</v>
      </c>
      <c r="B694" t="s">
        <v>30</v>
      </c>
      <c r="C694" t="s">
        <v>132</v>
      </c>
      <c r="D694" t="s">
        <v>133</v>
      </c>
      <c r="E694" t="s">
        <v>1716</v>
      </c>
      <c r="F694" t="s">
        <v>346</v>
      </c>
      <c r="G694" t="s">
        <v>48</v>
      </c>
      <c r="H694" t="s">
        <v>683</v>
      </c>
      <c r="I694" t="s">
        <v>45</v>
      </c>
      <c r="J694" t="s">
        <v>1717</v>
      </c>
      <c r="K694" t="s">
        <v>50</v>
      </c>
      <c r="L694" t="s">
        <v>779</v>
      </c>
      <c r="M694" t="s">
        <v>28</v>
      </c>
      <c r="N694" s="1">
        <f t="shared" si="152"/>
        <v>3</v>
      </c>
      <c r="O694" s="1">
        <f t="shared" si="153"/>
        <v>2</v>
      </c>
      <c r="P694" s="1">
        <f t="shared" si="154"/>
        <v>5</v>
      </c>
      <c r="Q694" s="1">
        <f t="shared" si="155"/>
        <v>1</v>
      </c>
      <c r="R694" s="1">
        <f t="shared" si="156"/>
        <v>0</v>
      </c>
      <c r="S694" s="1">
        <f t="shared" si="157"/>
        <v>0</v>
      </c>
      <c r="T694" s="1">
        <f t="shared" si="158"/>
        <v>0</v>
      </c>
      <c r="U694" s="26">
        <f t="shared" si="159"/>
        <v>1</v>
      </c>
      <c r="V694" s="26">
        <f t="shared" si="160"/>
        <v>1</v>
      </c>
      <c r="W694" s="1">
        <f t="shared" si="161"/>
        <v>1</v>
      </c>
      <c r="X694" s="26">
        <f t="shared" si="162"/>
        <v>1</v>
      </c>
      <c r="Y694" s="26">
        <f t="shared" si="163"/>
        <v>1</v>
      </c>
      <c r="Z694" s="1">
        <f t="shared" si="164"/>
        <v>1</v>
      </c>
      <c r="AA694"/>
      <c r="AB694"/>
    </row>
    <row r="695" spans="1:28" x14ac:dyDescent="0.55000000000000004">
      <c r="A695" s="1">
        <f t="shared" si="151"/>
        <v>695</v>
      </c>
      <c r="B695" t="s">
        <v>30</v>
      </c>
      <c r="C695" t="s">
        <v>132</v>
      </c>
      <c r="D695" t="s">
        <v>133</v>
      </c>
      <c r="E695" t="s">
        <v>1716</v>
      </c>
      <c r="F695" t="s">
        <v>346</v>
      </c>
      <c r="G695" t="s">
        <v>44</v>
      </c>
      <c r="H695" t="s">
        <v>608</v>
      </c>
      <c r="I695" t="s">
        <v>67</v>
      </c>
      <c r="J695" t="s">
        <v>1718</v>
      </c>
      <c r="K695" t="s">
        <v>46</v>
      </c>
      <c r="L695" t="s">
        <v>1380</v>
      </c>
      <c r="M695" t="s">
        <v>28</v>
      </c>
      <c r="N695" s="1">
        <f t="shared" si="152"/>
        <v>1</v>
      </c>
      <c r="O695" s="1">
        <f t="shared" si="153"/>
        <v>1</v>
      </c>
      <c r="P695" s="1">
        <f t="shared" si="154"/>
        <v>2</v>
      </c>
      <c r="Q695" s="1">
        <f t="shared" si="155"/>
        <v>0</v>
      </c>
      <c r="R695" s="1">
        <f t="shared" si="156"/>
        <v>1</v>
      </c>
      <c r="S695" s="1">
        <f t="shared" si="157"/>
        <v>0</v>
      </c>
      <c r="T695" s="1">
        <f t="shared" si="158"/>
        <v>1</v>
      </c>
      <c r="U695" s="26">
        <f t="shared" si="159"/>
        <v>1</v>
      </c>
      <c r="V695" s="26">
        <f t="shared" si="160"/>
        <v>0</v>
      </c>
      <c r="W695" s="1">
        <f t="shared" si="161"/>
        <v>1</v>
      </c>
      <c r="X695" s="26">
        <f t="shared" si="162"/>
        <v>1</v>
      </c>
      <c r="Y695" s="26">
        <f t="shared" si="163"/>
        <v>0</v>
      </c>
      <c r="Z695" s="1">
        <f t="shared" si="164"/>
        <v>1</v>
      </c>
      <c r="AA695"/>
      <c r="AB695"/>
    </row>
    <row r="696" spans="1:28" x14ac:dyDescent="0.55000000000000004">
      <c r="A696" s="1">
        <f t="shared" si="151"/>
        <v>696</v>
      </c>
      <c r="B696" t="s">
        <v>33</v>
      </c>
      <c r="C696" t="s">
        <v>104</v>
      </c>
      <c r="D696" t="s">
        <v>133</v>
      </c>
      <c r="E696" t="s">
        <v>1716</v>
      </c>
      <c r="F696" t="s">
        <v>364</v>
      </c>
      <c r="G696" t="s">
        <v>285</v>
      </c>
      <c r="H696" t="s">
        <v>570</v>
      </c>
      <c r="I696" t="s">
        <v>288</v>
      </c>
      <c r="J696" t="s">
        <v>1772</v>
      </c>
      <c r="K696" t="s">
        <v>359</v>
      </c>
      <c r="L696" t="s">
        <v>1773</v>
      </c>
      <c r="M696" t="s">
        <v>28</v>
      </c>
      <c r="N696" s="1">
        <f t="shared" si="152"/>
        <v>3</v>
      </c>
      <c r="O696" s="1">
        <f t="shared" si="153"/>
        <v>1</v>
      </c>
      <c r="P696" s="1">
        <f t="shared" si="154"/>
        <v>4</v>
      </c>
      <c r="Q696" s="1">
        <f t="shared" si="155"/>
        <v>1</v>
      </c>
      <c r="R696" s="1">
        <f t="shared" si="156"/>
        <v>1</v>
      </c>
      <c r="S696" s="1">
        <f t="shared" si="157"/>
        <v>1</v>
      </c>
      <c r="T696" s="1">
        <f t="shared" si="158"/>
        <v>0</v>
      </c>
      <c r="U696" s="26">
        <f t="shared" si="159"/>
        <v>1</v>
      </c>
      <c r="V696" s="26">
        <f t="shared" si="160"/>
        <v>1</v>
      </c>
      <c r="W696" s="1">
        <f t="shared" si="161"/>
        <v>1</v>
      </c>
      <c r="X696" s="26">
        <f t="shared" si="162"/>
        <v>1</v>
      </c>
      <c r="Y696" s="26">
        <f t="shared" si="163"/>
        <v>0</v>
      </c>
      <c r="Z696" s="1">
        <f t="shared" si="164"/>
        <v>1</v>
      </c>
      <c r="AA696"/>
      <c r="AB696"/>
    </row>
    <row r="697" spans="1:28" x14ac:dyDescent="0.55000000000000004">
      <c r="A697" s="1">
        <f t="shared" si="151"/>
        <v>697</v>
      </c>
      <c r="B697" t="s">
        <v>33</v>
      </c>
      <c r="C697" t="s">
        <v>104</v>
      </c>
      <c r="D697" t="s">
        <v>133</v>
      </c>
      <c r="E697" t="s">
        <v>1716</v>
      </c>
      <c r="F697" t="s">
        <v>277</v>
      </c>
      <c r="G697" t="s">
        <v>296</v>
      </c>
      <c r="H697" t="s">
        <v>579</v>
      </c>
      <c r="I697" t="s">
        <v>282</v>
      </c>
      <c r="J697" t="s">
        <v>1774</v>
      </c>
      <c r="K697" t="s">
        <v>297</v>
      </c>
      <c r="L697" t="s">
        <v>1059</v>
      </c>
      <c r="M697" t="s">
        <v>28</v>
      </c>
      <c r="N697" s="1">
        <f t="shared" si="152"/>
        <v>2</v>
      </c>
      <c r="O697" s="1">
        <f t="shared" si="153"/>
        <v>1</v>
      </c>
      <c r="P697" s="1">
        <f t="shared" si="154"/>
        <v>3</v>
      </c>
      <c r="Q697" s="1">
        <f t="shared" si="155"/>
        <v>1</v>
      </c>
      <c r="R697" s="1">
        <f t="shared" si="156"/>
        <v>1</v>
      </c>
      <c r="S697" s="1">
        <f t="shared" si="157"/>
        <v>1</v>
      </c>
      <c r="T697" s="1">
        <f t="shared" si="158"/>
        <v>1</v>
      </c>
      <c r="U697" s="26">
        <f t="shared" si="159"/>
        <v>1</v>
      </c>
      <c r="V697" s="26">
        <f t="shared" si="160"/>
        <v>1</v>
      </c>
      <c r="W697" s="1">
        <f t="shared" si="161"/>
        <v>1</v>
      </c>
      <c r="X697" s="26">
        <f t="shared" si="162"/>
        <v>1</v>
      </c>
      <c r="Y697" s="26">
        <f t="shared" si="163"/>
        <v>0</v>
      </c>
      <c r="Z697" s="1">
        <f t="shared" si="164"/>
        <v>1</v>
      </c>
      <c r="AA697"/>
      <c r="AB697"/>
    </row>
    <row r="698" spans="1:28" x14ac:dyDescent="0.55000000000000004">
      <c r="A698" s="1">
        <f t="shared" si="151"/>
        <v>698</v>
      </c>
      <c r="B698" t="s">
        <v>33</v>
      </c>
      <c r="C698" t="s">
        <v>104</v>
      </c>
      <c r="D698" t="s">
        <v>133</v>
      </c>
      <c r="E698" t="s">
        <v>1716</v>
      </c>
      <c r="F698" t="s">
        <v>290</v>
      </c>
      <c r="G698" t="s">
        <v>365</v>
      </c>
      <c r="H698" t="s">
        <v>881</v>
      </c>
      <c r="I698" t="s">
        <v>281</v>
      </c>
      <c r="J698" t="s">
        <v>1775</v>
      </c>
      <c r="K698" t="s">
        <v>369</v>
      </c>
      <c r="L698" t="s">
        <v>812</v>
      </c>
      <c r="M698" t="s">
        <v>28</v>
      </c>
      <c r="N698" s="1">
        <f t="shared" si="152"/>
        <v>3</v>
      </c>
      <c r="O698" s="1">
        <f t="shared" si="153"/>
        <v>3</v>
      </c>
      <c r="P698" s="1">
        <f t="shared" si="154"/>
        <v>6</v>
      </c>
      <c r="Q698" s="1">
        <f t="shared" si="155"/>
        <v>0</v>
      </c>
      <c r="R698" s="1">
        <f t="shared" si="156"/>
        <v>0</v>
      </c>
      <c r="S698" s="1">
        <f t="shared" si="157"/>
        <v>0</v>
      </c>
      <c r="T698" s="1">
        <f t="shared" si="158"/>
        <v>0</v>
      </c>
      <c r="U698" s="26">
        <f t="shared" si="159"/>
        <v>1</v>
      </c>
      <c r="V698" s="26">
        <f t="shared" si="160"/>
        <v>1</v>
      </c>
      <c r="W698" s="1">
        <f t="shared" si="161"/>
        <v>0</v>
      </c>
      <c r="X698" s="26">
        <f t="shared" si="162"/>
        <v>1</v>
      </c>
      <c r="Y698" s="26">
        <f t="shared" si="163"/>
        <v>1</v>
      </c>
      <c r="Z698" s="1">
        <f t="shared" si="164"/>
        <v>1</v>
      </c>
      <c r="AA698"/>
      <c r="AB698"/>
    </row>
    <row r="699" spans="1:28" x14ac:dyDescent="0.55000000000000004">
      <c r="A699" s="1">
        <f t="shared" si="151"/>
        <v>699</v>
      </c>
      <c r="B699" t="s">
        <v>35</v>
      </c>
      <c r="C699" t="s">
        <v>153</v>
      </c>
      <c r="D699" t="s">
        <v>133</v>
      </c>
      <c r="E699" t="s">
        <v>1716</v>
      </c>
      <c r="F699" t="s">
        <v>375</v>
      </c>
      <c r="G699" t="s">
        <v>384</v>
      </c>
      <c r="H699" t="s">
        <v>570</v>
      </c>
      <c r="I699" t="s">
        <v>211</v>
      </c>
      <c r="J699" t="s">
        <v>1815</v>
      </c>
      <c r="K699" t="s">
        <v>385</v>
      </c>
      <c r="L699" t="s">
        <v>835</v>
      </c>
      <c r="M699" t="s">
        <v>28</v>
      </c>
      <c r="N699" s="1">
        <f t="shared" si="152"/>
        <v>3</v>
      </c>
      <c r="O699" s="1">
        <f t="shared" si="153"/>
        <v>1</v>
      </c>
      <c r="P699" s="1">
        <f t="shared" si="154"/>
        <v>4</v>
      </c>
      <c r="Q699" s="1">
        <f t="shared" si="155"/>
        <v>1</v>
      </c>
      <c r="R699" s="1">
        <f t="shared" si="156"/>
        <v>1</v>
      </c>
      <c r="S699" s="1">
        <f t="shared" si="157"/>
        <v>1</v>
      </c>
      <c r="T699" s="1">
        <f t="shared" si="158"/>
        <v>0</v>
      </c>
      <c r="U699" s="26">
        <f t="shared" si="159"/>
        <v>1</v>
      </c>
      <c r="V699" s="26">
        <f t="shared" si="160"/>
        <v>1</v>
      </c>
      <c r="W699" s="1">
        <f t="shared" si="161"/>
        <v>1</v>
      </c>
      <c r="X699" s="26">
        <f t="shared" si="162"/>
        <v>1</v>
      </c>
      <c r="Y699" s="26">
        <f t="shared" si="163"/>
        <v>0</v>
      </c>
      <c r="Z699" s="1">
        <f t="shared" si="164"/>
        <v>1</v>
      </c>
      <c r="AA699"/>
      <c r="AB699"/>
    </row>
    <row r="700" spans="1:28" x14ac:dyDescent="0.55000000000000004">
      <c r="A700" s="1">
        <f t="shared" si="151"/>
        <v>700</v>
      </c>
      <c r="B700" t="s">
        <v>39</v>
      </c>
      <c r="C700" t="s">
        <v>114</v>
      </c>
      <c r="D700" t="s">
        <v>133</v>
      </c>
      <c r="E700" t="s">
        <v>1716</v>
      </c>
      <c r="F700" t="s">
        <v>342</v>
      </c>
      <c r="G700" t="s">
        <v>222</v>
      </c>
      <c r="H700" t="s">
        <v>590</v>
      </c>
      <c r="I700" t="s">
        <v>229</v>
      </c>
      <c r="J700" t="s">
        <v>1865</v>
      </c>
      <c r="K700" t="s">
        <v>224</v>
      </c>
      <c r="L700" t="s">
        <v>993</v>
      </c>
      <c r="M700" t="s">
        <v>28</v>
      </c>
      <c r="N700" s="1">
        <f t="shared" si="152"/>
        <v>0</v>
      </c>
      <c r="O700" s="1">
        <f t="shared" si="153"/>
        <v>1</v>
      </c>
      <c r="P700" s="1">
        <f t="shared" si="154"/>
        <v>1</v>
      </c>
      <c r="Q700" s="1">
        <f t="shared" si="155"/>
        <v>1</v>
      </c>
      <c r="R700" s="1">
        <f t="shared" si="156"/>
        <v>1</v>
      </c>
      <c r="S700" s="1">
        <f t="shared" si="157"/>
        <v>1</v>
      </c>
      <c r="T700" s="1">
        <f t="shared" si="158"/>
        <v>1</v>
      </c>
      <c r="U700" s="26">
        <f t="shared" si="159"/>
        <v>0</v>
      </c>
      <c r="V700" s="26">
        <f t="shared" si="160"/>
        <v>0</v>
      </c>
      <c r="W700" s="1">
        <f t="shared" si="161"/>
        <v>1</v>
      </c>
      <c r="X700" s="26">
        <f t="shared" si="162"/>
        <v>1</v>
      </c>
      <c r="Y700" s="26">
        <f t="shared" si="163"/>
        <v>0</v>
      </c>
      <c r="Z700" s="1">
        <f t="shared" si="164"/>
        <v>0</v>
      </c>
      <c r="AA700"/>
      <c r="AB700"/>
    </row>
    <row r="701" spans="1:28" x14ac:dyDescent="0.55000000000000004">
      <c r="A701" s="1">
        <f t="shared" si="151"/>
        <v>701</v>
      </c>
      <c r="B701" t="s">
        <v>39</v>
      </c>
      <c r="C701" t="s">
        <v>114</v>
      </c>
      <c r="D701" t="s">
        <v>133</v>
      </c>
      <c r="E701" t="s">
        <v>1716</v>
      </c>
      <c r="F701" t="s">
        <v>342</v>
      </c>
      <c r="G701" t="s">
        <v>228</v>
      </c>
      <c r="H701" t="s">
        <v>565</v>
      </c>
      <c r="I701" t="s">
        <v>232</v>
      </c>
      <c r="J701" t="s">
        <v>1866</v>
      </c>
      <c r="K701" t="s">
        <v>230</v>
      </c>
      <c r="L701" t="s">
        <v>1005</v>
      </c>
      <c r="M701" t="s">
        <v>28</v>
      </c>
      <c r="N701" s="1">
        <f t="shared" si="152"/>
        <v>2</v>
      </c>
      <c r="O701" s="1">
        <f t="shared" si="153"/>
        <v>3</v>
      </c>
      <c r="P701" s="1">
        <f t="shared" si="154"/>
        <v>5</v>
      </c>
      <c r="Q701" s="1">
        <f t="shared" si="155"/>
        <v>1</v>
      </c>
      <c r="R701" s="1">
        <f t="shared" si="156"/>
        <v>0</v>
      </c>
      <c r="S701" s="1">
        <f t="shared" si="157"/>
        <v>0</v>
      </c>
      <c r="T701" s="1">
        <f t="shared" si="158"/>
        <v>1</v>
      </c>
      <c r="U701" s="26">
        <f t="shared" si="159"/>
        <v>1</v>
      </c>
      <c r="V701" s="26">
        <f t="shared" si="160"/>
        <v>1</v>
      </c>
      <c r="W701" s="1">
        <f t="shared" si="161"/>
        <v>0</v>
      </c>
      <c r="X701" s="26">
        <f t="shared" si="162"/>
        <v>1</v>
      </c>
      <c r="Y701" s="26">
        <f t="shared" si="163"/>
        <v>1</v>
      </c>
      <c r="Z701" s="1">
        <f t="shared" si="164"/>
        <v>1</v>
      </c>
      <c r="AA701"/>
      <c r="AB701"/>
    </row>
    <row r="702" spans="1:28" x14ac:dyDescent="0.55000000000000004">
      <c r="A702" s="1">
        <f t="shared" si="151"/>
        <v>702</v>
      </c>
      <c r="B702" t="s">
        <v>39</v>
      </c>
      <c r="C702" t="s">
        <v>114</v>
      </c>
      <c r="D702" t="s">
        <v>133</v>
      </c>
      <c r="E702" t="s">
        <v>1716</v>
      </c>
      <c r="F702" t="s">
        <v>343</v>
      </c>
      <c r="G702" t="s">
        <v>223</v>
      </c>
      <c r="H702" t="s">
        <v>590</v>
      </c>
      <c r="I702" t="s">
        <v>220</v>
      </c>
      <c r="J702" t="s">
        <v>1867</v>
      </c>
      <c r="K702" t="s">
        <v>244</v>
      </c>
      <c r="L702" t="s">
        <v>1140</v>
      </c>
      <c r="M702" t="s">
        <v>28</v>
      </c>
      <c r="N702" s="1">
        <f t="shared" si="152"/>
        <v>0</v>
      </c>
      <c r="O702" s="1">
        <f t="shared" si="153"/>
        <v>1</v>
      </c>
      <c r="P702" s="1">
        <f t="shared" si="154"/>
        <v>1</v>
      </c>
      <c r="Q702" s="1">
        <f t="shared" si="155"/>
        <v>1</v>
      </c>
      <c r="R702" s="1">
        <f t="shared" si="156"/>
        <v>1</v>
      </c>
      <c r="S702" s="1">
        <f t="shared" si="157"/>
        <v>1</v>
      </c>
      <c r="T702" s="1">
        <f t="shared" si="158"/>
        <v>1</v>
      </c>
      <c r="U702" s="26">
        <f t="shared" si="159"/>
        <v>0</v>
      </c>
      <c r="V702" s="26">
        <f t="shared" si="160"/>
        <v>0</v>
      </c>
      <c r="W702" s="1">
        <f t="shared" si="161"/>
        <v>1</v>
      </c>
      <c r="X702" s="26">
        <f t="shared" si="162"/>
        <v>1</v>
      </c>
      <c r="Y702" s="26">
        <f t="shared" si="163"/>
        <v>0</v>
      </c>
      <c r="Z702" s="1">
        <f t="shared" si="164"/>
        <v>0</v>
      </c>
      <c r="AA702"/>
      <c r="AB702"/>
    </row>
    <row r="703" spans="1:28" x14ac:dyDescent="0.55000000000000004">
      <c r="A703" s="1">
        <f t="shared" si="151"/>
        <v>703</v>
      </c>
      <c r="B703" t="s">
        <v>39</v>
      </c>
      <c r="C703" t="s">
        <v>114</v>
      </c>
      <c r="D703" t="s">
        <v>133</v>
      </c>
      <c r="E703" t="s">
        <v>1716</v>
      </c>
      <c r="F703" t="s">
        <v>343</v>
      </c>
      <c r="G703" t="s">
        <v>219</v>
      </c>
      <c r="H703" t="s">
        <v>568</v>
      </c>
      <c r="I703" t="s">
        <v>225</v>
      </c>
      <c r="J703" t="s">
        <v>1868</v>
      </c>
      <c r="K703" t="s">
        <v>221</v>
      </c>
      <c r="L703" t="s">
        <v>995</v>
      </c>
      <c r="M703" t="s">
        <v>28</v>
      </c>
      <c r="N703" s="1">
        <f t="shared" si="152"/>
        <v>0</v>
      </c>
      <c r="O703" s="1">
        <f t="shared" si="153"/>
        <v>2</v>
      </c>
      <c r="P703" s="1">
        <f t="shared" si="154"/>
        <v>2</v>
      </c>
      <c r="Q703" s="1">
        <f t="shared" si="155"/>
        <v>1</v>
      </c>
      <c r="R703" s="1">
        <f t="shared" si="156"/>
        <v>1</v>
      </c>
      <c r="S703" s="1">
        <f t="shared" si="157"/>
        <v>1</v>
      </c>
      <c r="T703" s="1">
        <f t="shared" si="158"/>
        <v>1</v>
      </c>
      <c r="U703" s="26">
        <f t="shared" si="159"/>
        <v>0</v>
      </c>
      <c r="V703" s="26">
        <f t="shared" si="160"/>
        <v>0</v>
      </c>
      <c r="W703" s="1">
        <f t="shared" si="161"/>
        <v>1</v>
      </c>
      <c r="X703" s="26">
        <f t="shared" si="162"/>
        <v>1</v>
      </c>
      <c r="Y703" s="26">
        <f t="shared" si="163"/>
        <v>1</v>
      </c>
      <c r="Z703" s="1">
        <f t="shared" si="164"/>
        <v>1</v>
      </c>
      <c r="AA703"/>
      <c r="AB703"/>
    </row>
    <row r="704" spans="1:28" x14ac:dyDescent="0.55000000000000004">
      <c r="A704" s="1">
        <f t="shared" si="151"/>
        <v>704</v>
      </c>
      <c r="B704" t="s">
        <v>39</v>
      </c>
      <c r="C704" t="s">
        <v>114</v>
      </c>
      <c r="D704" t="s">
        <v>133</v>
      </c>
      <c r="E704" t="s">
        <v>1716</v>
      </c>
      <c r="F704" t="s">
        <v>390</v>
      </c>
      <c r="G704" t="s">
        <v>235</v>
      </c>
      <c r="H704" t="s">
        <v>590</v>
      </c>
      <c r="I704" t="s">
        <v>234</v>
      </c>
      <c r="J704" t="s">
        <v>1869</v>
      </c>
      <c r="K704" t="s">
        <v>242</v>
      </c>
      <c r="L704" t="s">
        <v>1012</v>
      </c>
      <c r="M704" t="s">
        <v>28</v>
      </c>
      <c r="N704" s="1">
        <f t="shared" si="152"/>
        <v>0</v>
      </c>
      <c r="O704" s="1">
        <f t="shared" si="153"/>
        <v>1</v>
      </c>
      <c r="P704" s="1">
        <f t="shared" si="154"/>
        <v>1</v>
      </c>
      <c r="Q704" s="1">
        <f t="shared" si="155"/>
        <v>1</v>
      </c>
      <c r="R704" s="1">
        <f t="shared" si="156"/>
        <v>1</v>
      </c>
      <c r="S704" s="1">
        <f t="shared" si="157"/>
        <v>1</v>
      </c>
      <c r="T704" s="1">
        <f t="shared" si="158"/>
        <v>1</v>
      </c>
      <c r="U704" s="26">
        <f t="shared" si="159"/>
        <v>0</v>
      </c>
      <c r="V704" s="26">
        <f t="shared" si="160"/>
        <v>0</v>
      </c>
      <c r="W704" s="1">
        <f t="shared" si="161"/>
        <v>1</v>
      </c>
      <c r="X704" s="26">
        <f t="shared" si="162"/>
        <v>1</v>
      </c>
      <c r="Y704" s="26">
        <f t="shared" si="163"/>
        <v>0</v>
      </c>
      <c r="Z704" s="1">
        <f t="shared" si="164"/>
        <v>0</v>
      </c>
      <c r="AA704"/>
      <c r="AB704"/>
    </row>
    <row r="705" spans="1:28" x14ac:dyDescent="0.55000000000000004">
      <c r="A705" s="1">
        <f t="shared" si="151"/>
        <v>705</v>
      </c>
      <c r="B705" t="s">
        <v>39</v>
      </c>
      <c r="C705" t="s">
        <v>114</v>
      </c>
      <c r="D705" t="s">
        <v>133</v>
      </c>
      <c r="E705" t="s">
        <v>1716</v>
      </c>
      <c r="F705" t="s">
        <v>390</v>
      </c>
      <c r="G705" t="s">
        <v>231</v>
      </c>
      <c r="H705" t="s">
        <v>1064</v>
      </c>
      <c r="I705" t="s">
        <v>226</v>
      </c>
      <c r="J705" t="s">
        <v>1870</v>
      </c>
      <c r="K705" t="s">
        <v>233</v>
      </c>
      <c r="L705" t="s">
        <v>987</v>
      </c>
      <c r="M705" t="s">
        <v>28</v>
      </c>
      <c r="N705" s="1">
        <f t="shared" si="152"/>
        <v>0</v>
      </c>
      <c r="O705" s="1">
        <f t="shared" si="153"/>
        <v>5</v>
      </c>
      <c r="P705" s="1">
        <f t="shared" si="154"/>
        <v>5</v>
      </c>
      <c r="Q705" s="1">
        <f t="shared" si="155"/>
        <v>1</v>
      </c>
      <c r="R705" s="1">
        <f t="shared" si="156"/>
        <v>0</v>
      </c>
      <c r="S705" s="1">
        <f t="shared" si="157"/>
        <v>0</v>
      </c>
      <c r="T705" s="1">
        <f t="shared" si="158"/>
        <v>1</v>
      </c>
      <c r="U705" s="26">
        <f t="shared" si="159"/>
        <v>0</v>
      </c>
      <c r="V705" s="26">
        <f t="shared" si="160"/>
        <v>0</v>
      </c>
      <c r="W705" s="1">
        <f t="shared" si="161"/>
        <v>0</v>
      </c>
      <c r="X705" s="26">
        <f t="shared" si="162"/>
        <v>0</v>
      </c>
      <c r="Y705" s="26">
        <f t="shared" si="163"/>
        <v>1</v>
      </c>
      <c r="Z705" s="1">
        <f t="shared" si="164"/>
        <v>1</v>
      </c>
      <c r="AA705"/>
      <c r="AB705"/>
    </row>
    <row r="706" spans="1:28" x14ac:dyDescent="0.55000000000000004">
      <c r="A706" s="1">
        <f t="shared" si="151"/>
        <v>706</v>
      </c>
      <c r="B706" t="s">
        <v>40</v>
      </c>
      <c r="C706" t="s">
        <v>200</v>
      </c>
      <c r="D706" t="s">
        <v>133</v>
      </c>
      <c r="E706" t="s">
        <v>1716</v>
      </c>
      <c r="F706" t="s">
        <v>394</v>
      </c>
      <c r="G706" t="s">
        <v>255</v>
      </c>
      <c r="H706" t="s">
        <v>608</v>
      </c>
      <c r="I706" t="s">
        <v>249</v>
      </c>
      <c r="J706" t="s">
        <v>1903</v>
      </c>
      <c r="K706" t="s">
        <v>257</v>
      </c>
      <c r="L706" t="s">
        <v>595</v>
      </c>
      <c r="M706" t="s">
        <v>28</v>
      </c>
      <c r="N706" s="1">
        <f t="shared" si="152"/>
        <v>1</v>
      </c>
      <c r="O706" s="1">
        <f t="shared" si="153"/>
        <v>1</v>
      </c>
      <c r="P706" s="1">
        <f t="shared" si="154"/>
        <v>2</v>
      </c>
      <c r="Q706" s="1">
        <f t="shared" si="155"/>
        <v>0</v>
      </c>
      <c r="R706" s="1">
        <f t="shared" si="156"/>
        <v>1</v>
      </c>
      <c r="S706" s="1">
        <f t="shared" si="157"/>
        <v>0</v>
      </c>
      <c r="T706" s="1">
        <f t="shared" si="158"/>
        <v>1</v>
      </c>
      <c r="U706" s="26">
        <f t="shared" si="159"/>
        <v>1</v>
      </c>
      <c r="V706" s="26">
        <f t="shared" si="160"/>
        <v>0</v>
      </c>
      <c r="W706" s="1">
        <f t="shared" si="161"/>
        <v>1</v>
      </c>
      <c r="X706" s="26">
        <f t="shared" si="162"/>
        <v>1</v>
      </c>
      <c r="Y706" s="26">
        <f t="shared" si="163"/>
        <v>0</v>
      </c>
      <c r="Z706" s="1">
        <f t="shared" si="164"/>
        <v>1</v>
      </c>
      <c r="AA706"/>
      <c r="AB706"/>
    </row>
    <row r="707" spans="1:28" x14ac:dyDescent="0.55000000000000004">
      <c r="A707" s="1">
        <f t="shared" ref="A707:A770" si="165">A706+1</f>
        <v>707</v>
      </c>
      <c r="B707" t="s">
        <v>40</v>
      </c>
      <c r="C707" t="s">
        <v>200</v>
      </c>
      <c r="D707" t="s">
        <v>133</v>
      </c>
      <c r="E707" t="s">
        <v>1716</v>
      </c>
      <c r="F707" t="s">
        <v>392</v>
      </c>
      <c r="G707" t="s">
        <v>252</v>
      </c>
      <c r="H707" t="s">
        <v>590</v>
      </c>
      <c r="I707" t="s">
        <v>263</v>
      </c>
      <c r="J707" t="s">
        <v>1904</v>
      </c>
      <c r="K707" t="s">
        <v>254</v>
      </c>
      <c r="L707" t="s">
        <v>596</v>
      </c>
      <c r="M707" t="s">
        <v>28</v>
      </c>
      <c r="N707" s="1">
        <f t="shared" ref="N707:N770" si="166">VALUE(LEFT(H707,1))</f>
        <v>0</v>
      </c>
      <c r="O707" s="1">
        <f t="shared" ref="O707:O770" si="167">VALUE(RIGHT(H707,1))</f>
        <v>1</v>
      </c>
      <c r="P707" s="1">
        <f t="shared" ref="P707:P770" si="168">SUM(N707,O707)</f>
        <v>1</v>
      </c>
      <c r="Q707" s="1">
        <f t="shared" ref="Q707:Q770" si="169">IF(N707&lt;&gt;O707, 1, 0)</f>
        <v>1</v>
      </c>
      <c r="R707" s="1">
        <f t="shared" ref="R707:R770" si="170">IF(P707&lt;=4,1,0)</f>
        <v>1</v>
      </c>
      <c r="S707" s="1">
        <f t="shared" ref="S707:S770" si="171">IF(AND(Q707=1,R707=1),1,0)</f>
        <v>1</v>
      </c>
      <c r="T707" s="1">
        <f t="shared" ref="T707:T770" si="172">IF(N707&lt;=2,1,0)</f>
        <v>1</v>
      </c>
      <c r="U707" s="26">
        <f t="shared" ref="U707:U770" si="173">IF(AND(N707&gt;=1,N707&lt;=3),1,0)</f>
        <v>0</v>
      </c>
      <c r="V707" s="26">
        <f t="shared" ref="V707:V770" si="174">IF(AND(N707&gt;=2,N707&lt;=5),1,0)</f>
        <v>0</v>
      </c>
      <c r="W707" s="1">
        <f t="shared" ref="W707:W770" si="175">IF(O707&lt;=2,1,0)</f>
        <v>1</v>
      </c>
      <c r="X707" s="26">
        <f t="shared" ref="X707:X770" si="176">IF(AND(O707&gt;=1,O707&lt;=3),1,0)</f>
        <v>1</v>
      </c>
      <c r="Y707" s="26">
        <f t="shared" ref="Y707:Y770" si="177">IF(AND(O707&gt;=2,O707&lt;=5),1,0)</f>
        <v>0</v>
      </c>
      <c r="Z707" s="1">
        <f t="shared" ref="Z707:Z770" si="178">IF(P707&gt;=2,1,0)</f>
        <v>0</v>
      </c>
      <c r="AA707"/>
      <c r="AB707"/>
    </row>
    <row r="708" spans="1:28" x14ac:dyDescent="0.55000000000000004">
      <c r="A708" s="1">
        <f t="shared" si="165"/>
        <v>708</v>
      </c>
      <c r="B708" t="s">
        <v>40</v>
      </c>
      <c r="C708" t="s">
        <v>200</v>
      </c>
      <c r="D708" t="s">
        <v>133</v>
      </c>
      <c r="E708" t="s">
        <v>1716</v>
      </c>
      <c r="F708" t="s">
        <v>392</v>
      </c>
      <c r="G708" t="s">
        <v>265</v>
      </c>
      <c r="H708" t="s">
        <v>664</v>
      </c>
      <c r="I708" t="s">
        <v>248</v>
      </c>
      <c r="J708" t="s">
        <v>1905</v>
      </c>
      <c r="K708" t="s">
        <v>344</v>
      </c>
      <c r="L708" t="s">
        <v>1030</v>
      </c>
      <c r="M708" t="s">
        <v>28</v>
      </c>
      <c r="N708" s="1">
        <f t="shared" si="166"/>
        <v>2</v>
      </c>
      <c r="O708" s="1">
        <f t="shared" si="167"/>
        <v>2</v>
      </c>
      <c r="P708" s="1">
        <f t="shared" si="168"/>
        <v>4</v>
      </c>
      <c r="Q708" s="1">
        <f t="shared" si="169"/>
        <v>0</v>
      </c>
      <c r="R708" s="1">
        <f t="shared" si="170"/>
        <v>1</v>
      </c>
      <c r="S708" s="1">
        <f t="shared" si="171"/>
        <v>0</v>
      </c>
      <c r="T708" s="1">
        <f t="shared" si="172"/>
        <v>1</v>
      </c>
      <c r="U708" s="26">
        <f t="shared" si="173"/>
        <v>1</v>
      </c>
      <c r="V708" s="26">
        <f t="shared" si="174"/>
        <v>1</v>
      </c>
      <c r="W708" s="1">
        <f t="shared" si="175"/>
        <v>1</v>
      </c>
      <c r="X708" s="26">
        <f t="shared" si="176"/>
        <v>1</v>
      </c>
      <c r="Y708" s="26">
        <f t="shared" si="177"/>
        <v>1</v>
      </c>
      <c r="Z708" s="1">
        <f t="shared" si="178"/>
        <v>1</v>
      </c>
      <c r="AA708"/>
      <c r="AB708"/>
    </row>
    <row r="709" spans="1:28" x14ac:dyDescent="0.55000000000000004">
      <c r="A709" s="1">
        <f t="shared" si="165"/>
        <v>709</v>
      </c>
      <c r="B709" t="s">
        <v>40</v>
      </c>
      <c r="C709" t="s">
        <v>200</v>
      </c>
      <c r="D709" t="s">
        <v>133</v>
      </c>
      <c r="E709" t="s">
        <v>1716</v>
      </c>
      <c r="F709" t="s">
        <v>251</v>
      </c>
      <c r="G709" t="s">
        <v>266</v>
      </c>
      <c r="H709" t="s">
        <v>573</v>
      </c>
      <c r="I709" t="s">
        <v>261</v>
      </c>
      <c r="J709" t="s">
        <v>1906</v>
      </c>
      <c r="K709" t="s">
        <v>267</v>
      </c>
      <c r="L709" t="s">
        <v>1025</v>
      </c>
      <c r="M709" t="s">
        <v>28</v>
      </c>
      <c r="N709" s="1">
        <f t="shared" si="166"/>
        <v>2</v>
      </c>
      <c r="O709" s="1">
        <f t="shared" si="167"/>
        <v>0</v>
      </c>
      <c r="P709" s="1">
        <f t="shared" si="168"/>
        <v>2</v>
      </c>
      <c r="Q709" s="1">
        <f t="shared" si="169"/>
        <v>1</v>
      </c>
      <c r="R709" s="1">
        <f t="shared" si="170"/>
        <v>1</v>
      </c>
      <c r="S709" s="1">
        <f t="shared" si="171"/>
        <v>1</v>
      </c>
      <c r="T709" s="1">
        <f t="shared" si="172"/>
        <v>1</v>
      </c>
      <c r="U709" s="26">
        <f t="shared" si="173"/>
        <v>1</v>
      </c>
      <c r="V709" s="26">
        <f t="shared" si="174"/>
        <v>1</v>
      </c>
      <c r="W709" s="1">
        <f t="shared" si="175"/>
        <v>1</v>
      </c>
      <c r="X709" s="26">
        <f t="shared" si="176"/>
        <v>0</v>
      </c>
      <c r="Y709" s="26">
        <f t="shared" si="177"/>
        <v>0</v>
      </c>
      <c r="Z709" s="1">
        <f t="shared" si="178"/>
        <v>1</v>
      </c>
      <c r="AA709"/>
      <c r="AB709"/>
    </row>
    <row r="710" spans="1:28" x14ac:dyDescent="0.55000000000000004">
      <c r="A710" s="1">
        <f t="shared" si="165"/>
        <v>710</v>
      </c>
      <c r="B710" t="s">
        <v>30</v>
      </c>
      <c r="C710" t="s">
        <v>132</v>
      </c>
      <c r="D710" t="s">
        <v>42</v>
      </c>
      <c r="E710" t="s">
        <v>1392</v>
      </c>
      <c r="F710" t="s">
        <v>380</v>
      </c>
      <c r="G710" t="s">
        <v>66</v>
      </c>
      <c r="H710" t="s">
        <v>565</v>
      </c>
      <c r="I710" t="s">
        <v>55</v>
      </c>
      <c r="J710" t="s">
        <v>1393</v>
      </c>
      <c r="K710" t="s">
        <v>68</v>
      </c>
      <c r="L710" t="s">
        <v>761</v>
      </c>
      <c r="M710" t="s">
        <v>28</v>
      </c>
      <c r="N710" s="1">
        <f t="shared" si="166"/>
        <v>2</v>
      </c>
      <c r="O710" s="1">
        <f t="shared" si="167"/>
        <v>3</v>
      </c>
      <c r="P710" s="1">
        <f t="shared" si="168"/>
        <v>5</v>
      </c>
      <c r="Q710" s="1">
        <f t="shared" si="169"/>
        <v>1</v>
      </c>
      <c r="R710" s="1">
        <f t="shared" si="170"/>
        <v>0</v>
      </c>
      <c r="S710" s="1">
        <f t="shared" si="171"/>
        <v>0</v>
      </c>
      <c r="T710" s="1">
        <f t="shared" si="172"/>
        <v>1</v>
      </c>
      <c r="U710" s="26">
        <f t="shared" si="173"/>
        <v>1</v>
      </c>
      <c r="V710" s="26">
        <f t="shared" si="174"/>
        <v>1</v>
      </c>
      <c r="W710" s="1">
        <f t="shared" si="175"/>
        <v>0</v>
      </c>
      <c r="X710" s="26">
        <f t="shared" si="176"/>
        <v>1</v>
      </c>
      <c r="Y710" s="26">
        <f t="shared" si="177"/>
        <v>1</v>
      </c>
      <c r="Z710" s="1">
        <f t="shared" si="178"/>
        <v>1</v>
      </c>
      <c r="AA710"/>
      <c r="AB710"/>
    </row>
    <row r="711" spans="1:28" x14ac:dyDescent="0.55000000000000004">
      <c r="A711" s="1">
        <f t="shared" si="165"/>
        <v>711</v>
      </c>
      <c r="B711" t="s">
        <v>30</v>
      </c>
      <c r="C711" t="s">
        <v>132</v>
      </c>
      <c r="D711" t="s">
        <v>42</v>
      </c>
      <c r="E711" t="s">
        <v>1392</v>
      </c>
      <c r="F711" t="s">
        <v>380</v>
      </c>
      <c r="G711" t="s">
        <v>58</v>
      </c>
      <c r="H711" t="s">
        <v>722</v>
      </c>
      <c r="I711" t="s">
        <v>54</v>
      </c>
      <c r="J711" t="s">
        <v>1394</v>
      </c>
      <c r="K711" t="s">
        <v>71</v>
      </c>
      <c r="L711" t="s">
        <v>794</v>
      </c>
      <c r="M711" t="s">
        <v>28</v>
      </c>
      <c r="N711" s="1">
        <f t="shared" si="166"/>
        <v>3</v>
      </c>
      <c r="O711" s="1">
        <f t="shared" si="167"/>
        <v>0</v>
      </c>
      <c r="P711" s="1">
        <f t="shared" si="168"/>
        <v>3</v>
      </c>
      <c r="Q711" s="1">
        <f t="shared" si="169"/>
        <v>1</v>
      </c>
      <c r="R711" s="1">
        <f t="shared" si="170"/>
        <v>1</v>
      </c>
      <c r="S711" s="1">
        <f t="shared" si="171"/>
        <v>1</v>
      </c>
      <c r="T711" s="1">
        <f t="shared" si="172"/>
        <v>0</v>
      </c>
      <c r="U711" s="26">
        <f t="shared" si="173"/>
        <v>1</v>
      </c>
      <c r="V711" s="26">
        <f t="shared" si="174"/>
        <v>1</v>
      </c>
      <c r="W711" s="1">
        <f t="shared" si="175"/>
        <v>1</v>
      </c>
      <c r="X711" s="26">
        <f t="shared" si="176"/>
        <v>0</v>
      </c>
      <c r="Y711" s="26">
        <f t="shared" si="177"/>
        <v>0</v>
      </c>
      <c r="Z711" s="1">
        <f t="shared" si="178"/>
        <v>1</v>
      </c>
      <c r="AA711"/>
      <c r="AB711"/>
    </row>
    <row r="712" spans="1:28" x14ac:dyDescent="0.55000000000000004">
      <c r="A712" s="1">
        <f t="shared" si="165"/>
        <v>712</v>
      </c>
      <c r="B712" t="s">
        <v>30</v>
      </c>
      <c r="C712" t="s">
        <v>132</v>
      </c>
      <c r="D712" t="s">
        <v>42</v>
      </c>
      <c r="E712" t="s">
        <v>1392</v>
      </c>
      <c r="F712" t="s">
        <v>398</v>
      </c>
      <c r="G712" t="s">
        <v>49</v>
      </c>
      <c r="H712" t="s">
        <v>608</v>
      </c>
      <c r="I712" t="s">
        <v>63</v>
      </c>
      <c r="J712" t="s">
        <v>1395</v>
      </c>
      <c r="K712" t="s">
        <v>72</v>
      </c>
      <c r="L712" t="s">
        <v>759</v>
      </c>
      <c r="M712" t="s">
        <v>28</v>
      </c>
      <c r="N712" s="1">
        <f t="shared" si="166"/>
        <v>1</v>
      </c>
      <c r="O712" s="1">
        <f t="shared" si="167"/>
        <v>1</v>
      </c>
      <c r="P712" s="1">
        <f t="shared" si="168"/>
        <v>2</v>
      </c>
      <c r="Q712" s="1">
        <f t="shared" si="169"/>
        <v>0</v>
      </c>
      <c r="R712" s="1">
        <f t="shared" si="170"/>
        <v>1</v>
      </c>
      <c r="S712" s="1">
        <f t="shared" si="171"/>
        <v>0</v>
      </c>
      <c r="T712" s="1">
        <f t="shared" si="172"/>
        <v>1</v>
      </c>
      <c r="U712" s="26">
        <f t="shared" si="173"/>
        <v>1</v>
      </c>
      <c r="V712" s="26">
        <f t="shared" si="174"/>
        <v>0</v>
      </c>
      <c r="W712" s="1">
        <f t="shared" si="175"/>
        <v>1</v>
      </c>
      <c r="X712" s="26">
        <f t="shared" si="176"/>
        <v>1</v>
      </c>
      <c r="Y712" s="26">
        <f t="shared" si="177"/>
        <v>0</v>
      </c>
      <c r="Z712" s="1">
        <f t="shared" si="178"/>
        <v>1</v>
      </c>
      <c r="AA712"/>
      <c r="AB712"/>
    </row>
    <row r="713" spans="1:28" x14ac:dyDescent="0.55000000000000004">
      <c r="A713" s="1">
        <f t="shared" si="165"/>
        <v>713</v>
      </c>
      <c r="B713" t="s">
        <v>30</v>
      </c>
      <c r="C713" t="s">
        <v>132</v>
      </c>
      <c r="D713" t="s">
        <v>42</v>
      </c>
      <c r="E713" t="s">
        <v>1392</v>
      </c>
      <c r="F713" t="s">
        <v>400</v>
      </c>
      <c r="G713" t="s">
        <v>61</v>
      </c>
      <c r="H713" t="s">
        <v>687</v>
      </c>
      <c r="I713" t="s">
        <v>60</v>
      </c>
      <c r="J713" t="s">
        <v>1396</v>
      </c>
      <c r="K713" t="s">
        <v>62</v>
      </c>
      <c r="L713" t="s">
        <v>767</v>
      </c>
      <c r="M713" t="s">
        <v>28</v>
      </c>
      <c r="N713" s="1">
        <f t="shared" si="166"/>
        <v>4</v>
      </c>
      <c r="O713" s="1">
        <f t="shared" si="167"/>
        <v>0</v>
      </c>
      <c r="P713" s="1">
        <f t="shared" si="168"/>
        <v>4</v>
      </c>
      <c r="Q713" s="1">
        <f t="shared" si="169"/>
        <v>1</v>
      </c>
      <c r="R713" s="1">
        <f t="shared" si="170"/>
        <v>1</v>
      </c>
      <c r="S713" s="1">
        <f t="shared" si="171"/>
        <v>1</v>
      </c>
      <c r="T713" s="1">
        <f t="shared" si="172"/>
        <v>0</v>
      </c>
      <c r="U713" s="26">
        <f t="shared" si="173"/>
        <v>0</v>
      </c>
      <c r="V713" s="26">
        <f t="shared" si="174"/>
        <v>1</v>
      </c>
      <c r="W713" s="1">
        <f t="shared" si="175"/>
        <v>1</v>
      </c>
      <c r="X713" s="26">
        <f t="shared" si="176"/>
        <v>0</v>
      </c>
      <c r="Y713" s="26">
        <f t="shared" si="177"/>
        <v>0</v>
      </c>
      <c r="Z713" s="1">
        <f t="shared" si="178"/>
        <v>1</v>
      </c>
      <c r="AA713"/>
      <c r="AB713"/>
    </row>
    <row r="714" spans="1:28" x14ac:dyDescent="0.55000000000000004">
      <c r="A714" s="1">
        <f t="shared" si="165"/>
        <v>714</v>
      </c>
      <c r="B714" t="s">
        <v>35</v>
      </c>
      <c r="C714" t="s">
        <v>153</v>
      </c>
      <c r="D714" t="s">
        <v>42</v>
      </c>
      <c r="E714" t="s">
        <v>1392</v>
      </c>
      <c r="F714" t="s">
        <v>411</v>
      </c>
      <c r="G714" t="s">
        <v>207</v>
      </c>
      <c r="H714" t="s">
        <v>687</v>
      </c>
      <c r="I714" t="s">
        <v>213</v>
      </c>
      <c r="J714" t="s">
        <v>1492</v>
      </c>
      <c r="K714" t="s">
        <v>209</v>
      </c>
      <c r="L714" t="s">
        <v>833</v>
      </c>
      <c r="M714" t="s">
        <v>28</v>
      </c>
      <c r="N714" s="1">
        <f t="shared" si="166"/>
        <v>4</v>
      </c>
      <c r="O714" s="1">
        <f t="shared" si="167"/>
        <v>0</v>
      </c>
      <c r="P714" s="1">
        <f t="shared" si="168"/>
        <v>4</v>
      </c>
      <c r="Q714" s="1">
        <f t="shared" si="169"/>
        <v>1</v>
      </c>
      <c r="R714" s="1">
        <f t="shared" si="170"/>
        <v>1</v>
      </c>
      <c r="S714" s="1">
        <f t="shared" si="171"/>
        <v>1</v>
      </c>
      <c r="T714" s="1">
        <f t="shared" si="172"/>
        <v>0</v>
      </c>
      <c r="U714" s="26">
        <f t="shared" si="173"/>
        <v>0</v>
      </c>
      <c r="V714" s="26">
        <f t="shared" si="174"/>
        <v>1</v>
      </c>
      <c r="W714" s="1">
        <f t="shared" si="175"/>
        <v>1</v>
      </c>
      <c r="X714" s="26">
        <f t="shared" si="176"/>
        <v>0</v>
      </c>
      <c r="Y714" s="26">
        <f t="shared" si="177"/>
        <v>0</v>
      </c>
      <c r="Z714" s="1">
        <f t="shared" si="178"/>
        <v>1</v>
      </c>
      <c r="AA714"/>
      <c r="AB714"/>
    </row>
    <row r="715" spans="1:28" x14ac:dyDescent="0.55000000000000004">
      <c r="A715" s="1">
        <f t="shared" si="165"/>
        <v>715</v>
      </c>
      <c r="B715" t="s">
        <v>35</v>
      </c>
      <c r="C715" t="s">
        <v>153</v>
      </c>
      <c r="D715" t="s">
        <v>42</v>
      </c>
      <c r="E715" t="s">
        <v>1392</v>
      </c>
      <c r="F715" t="s">
        <v>357</v>
      </c>
      <c r="G715" t="s">
        <v>307</v>
      </c>
      <c r="H715" t="s">
        <v>608</v>
      </c>
      <c r="I715" t="s">
        <v>386</v>
      </c>
      <c r="J715" t="s">
        <v>1493</v>
      </c>
      <c r="K715" t="s">
        <v>379</v>
      </c>
      <c r="L715" t="s">
        <v>1071</v>
      </c>
      <c r="M715" t="s">
        <v>28</v>
      </c>
      <c r="N715" s="1">
        <f t="shared" si="166"/>
        <v>1</v>
      </c>
      <c r="O715" s="1">
        <f t="shared" si="167"/>
        <v>1</v>
      </c>
      <c r="P715" s="1">
        <f t="shared" si="168"/>
        <v>2</v>
      </c>
      <c r="Q715" s="1">
        <f t="shared" si="169"/>
        <v>0</v>
      </c>
      <c r="R715" s="1">
        <f t="shared" si="170"/>
        <v>1</v>
      </c>
      <c r="S715" s="1">
        <f t="shared" si="171"/>
        <v>0</v>
      </c>
      <c r="T715" s="1">
        <f t="shared" si="172"/>
        <v>1</v>
      </c>
      <c r="U715" s="26">
        <f t="shared" si="173"/>
        <v>1</v>
      </c>
      <c r="V715" s="26">
        <f t="shared" si="174"/>
        <v>0</v>
      </c>
      <c r="W715" s="1">
        <f t="shared" si="175"/>
        <v>1</v>
      </c>
      <c r="X715" s="26">
        <f t="shared" si="176"/>
        <v>1</v>
      </c>
      <c r="Y715" s="26">
        <f t="shared" si="177"/>
        <v>0</v>
      </c>
      <c r="Z715" s="1">
        <f t="shared" si="178"/>
        <v>1</v>
      </c>
      <c r="AA715"/>
      <c r="AB715"/>
    </row>
    <row r="716" spans="1:28" x14ac:dyDescent="0.55000000000000004">
      <c r="A716" s="1">
        <f t="shared" si="165"/>
        <v>716</v>
      </c>
      <c r="B716" t="s">
        <v>35</v>
      </c>
      <c r="C716" t="s">
        <v>153</v>
      </c>
      <c r="D716" t="s">
        <v>42</v>
      </c>
      <c r="E716" t="s">
        <v>1392</v>
      </c>
      <c r="F716" t="s">
        <v>357</v>
      </c>
      <c r="G716" t="s">
        <v>377</v>
      </c>
      <c r="H716" t="s">
        <v>608</v>
      </c>
      <c r="I716" t="s">
        <v>205</v>
      </c>
      <c r="J716" t="s">
        <v>1494</v>
      </c>
      <c r="K716" t="s">
        <v>378</v>
      </c>
      <c r="L716" t="s">
        <v>574</v>
      </c>
      <c r="M716" t="s">
        <v>28</v>
      </c>
      <c r="N716" s="1">
        <f t="shared" si="166"/>
        <v>1</v>
      </c>
      <c r="O716" s="1">
        <f t="shared" si="167"/>
        <v>1</v>
      </c>
      <c r="P716" s="1">
        <f t="shared" si="168"/>
        <v>2</v>
      </c>
      <c r="Q716" s="1">
        <f t="shared" si="169"/>
        <v>0</v>
      </c>
      <c r="R716" s="1">
        <f t="shared" si="170"/>
        <v>1</v>
      </c>
      <c r="S716" s="1">
        <f t="shared" si="171"/>
        <v>0</v>
      </c>
      <c r="T716" s="1">
        <f t="shared" si="172"/>
        <v>1</v>
      </c>
      <c r="U716" s="26">
        <f t="shared" si="173"/>
        <v>1</v>
      </c>
      <c r="V716" s="26">
        <f t="shared" si="174"/>
        <v>0</v>
      </c>
      <c r="W716" s="1">
        <f t="shared" si="175"/>
        <v>1</v>
      </c>
      <c r="X716" s="26">
        <f t="shared" si="176"/>
        <v>1</v>
      </c>
      <c r="Y716" s="26">
        <f t="shared" si="177"/>
        <v>0</v>
      </c>
      <c r="Z716" s="1">
        <f t="shared" si="178"/>
        <v>1</v>
      </c>
      <c r="AA716"/>
      <c r="AB716"/>
    </row>
    <row r="717" spans="1:28" x14ac:dyDescent="0.55000000000000004">
      <c r="A717" s="1">
        <f t="shared" si="165"/>
        <v>717</v>
      </c>
      <c r="B717" t="s">
        <v>35</v>
      </c>
      <c r="C717" t="s">
        <v>153</v>
      </c>
      <c r="D717" t="s">
        <v>42</v>
      </c>
      <c r="E717" t="s">
        <v>1392</v>
      </c>
      <c r="F717" t="s">
        <v>357</v>
      </c>
      <c r="G717" t="s">
        <v>303</v>
      </c>
      <c r="H717" t="s">
        <v>575</v>
      </c>
      <c r="I717" t="s">
        <v>306</v>
      </c>
      <c r="J717" t="s">
        <v>1495</v>
      </c>
      <c r="K717" t="s">
        <v>305</v>
      </c>
      <c r="L717" t="s">
        <v>839</v>
      </c>
      <c r="M717" t="s">
        <v>28</v>
      </c>
      <c r="N717" s="1">
        <f t="shared" si="166"/>
        <v>1</v>
      </c>
      <c r="O717" s="1">
        <f t="shared" si="167"/>
        <v>0</v>
      </c>
      <c r="P717" s="1">
        <f t="shared" si="168"/>
        <v>1</v>
      </c>
      <c r="Q717" s="1">
        <f t="shared" si="169"/>
        <v>1</v>
      </c>
      <c r="R717" s="1">
        <f t="shared" si="170"/>
        <v>1</v>
      </c>
      <c r="S717" s="1">
        <f t="shared" si="171"/>
        <v>1</v>
      </c>
      <c r="T717" s="1">
        <f t="shared" si="172"/>
        <v>1</v>
      </c>
      <c r="U717" s="26">
        <f t="shared" si="173"/>
        <v>1</v>
      </c>
      <c r="V717" s="26">
        <f t="shared" si="174"/>
        <v>0</v>
      </c>
      <c r="W717" s="1">
        <f t="shared" si="175"/>
        <v>1</v>
      </c>
      <c r="X717" s="26">
        <f t="shared" si="176"/>
        <v>0</v>
      </c>
      <c r="Y717" s="26">
        <f t="shared" si="177"/>
        <v>0</v>
      </c>
      <c r="Z717" s="1">
        <f t="shared" si="178"/>
        <v>0</v>
      </c>
      <c r="AA717"/>
      <c r="AB717"/>
    </row>
    <row r="718" spans="1:28" x14ac:dyDescent="0.55000000000000004">
      <c r="A718" s="1">
        <f t="shared" si="165"/>
        <v>718</v>
      </c>
      <c r="B718" t="s">
        <v>35</v>
      </c>
      <c r="C718" t="s">
        <v>153</v>
      </c>
      <c r="D718" t="s">
        <v>42</v>
      </c>
      <c r="E718" t="s">
        <v>1392</v>
      </c>
      <c r="F718" t="s">
        <v>412</v>
      </c>
      <c r="G718" t="s">
        <v>214</v>
      </c>
      <c r="H718" t="s">
        <v>664</v>
      </c>
      <c r="I718" t="s">
        <v>304</v>
      </c>
      <c r="J718" t="s">
        <v>1496</v>
      </c>
      <c r="K718" t="s">
        <v>301</v>
      </c>
      <c r="L718" t="s">
        <v>578</v>
      </c>
      <c r="M718" t="s">
        <v>28</v>
      </c>
      <c r="N718" s="1">
        <f t="shared" si="166"/>
        <v>2</v>
      </c>
      <c r="O718" s="1">
        <f t="shared" si="167"/>
        <v>2</v>
      </c>
      <c r="P718" s="1">
        <f t="shared" si="168"/>
        <v>4</v>
      </c>
      <c r="Q718" s="1">
        <f t="shared" si="169"/>
        <v>0</v>
      </c>
      <c r="R718" s="1">
        <f t="shared" si="170"/>
        <v>1</v>
      </c>
      <c r="S718" s="1">
        <f t="shared" si="171"/>
        <v>0</v>
      </c>
      <c r="T718" s="1">
        <f t="shared" si="172"/>
        <v>1</v>
      </c>
      <c r="U718" s="26">
        <f t="shared" si="173"/>
        <v>1</v>
      </c>
      <c r="V718" s="26">
        <f t="shared" si="174"/>
        <v>1</v>
      </c>
      <c r="W718" s="1">
        <f t="shared" si="175"/>
        <v>1</v>
      </c>
      <c r="X718" s="26">
        <f t="shared" si="176"/>
        <v>1</v>
      </c>
      <c r="Y718" s="26">
        <f t="shared" si="177"/>
        <v>1</v>
      </c>
      <c r="Z718" s="1">
        <f t="shared" si="178"/>
        <v>1</v>
      </c>
      <c r="AA718"/>
      <c r="AB718"/>
    </row>
    <row r="719" spans="1:28" x14ac:dyDescent="0.55000000000000004">
      <c r="A719" s="1">
        <f t="shared" si="165"/>
        <v>719</v>
      </c>
      <c r="B719" t="s">
        <v>30</v>
      </c>
      <c r="C719" t="s">
        <v>132</v>
      </c>
      <c r="D719" t="s">
        <v>179</v>
      </c>
      <c r="E719" t="s">
        <v>782</v>
      </c>
      <c r="F719" t="s">
        <v>181</v>
      </c>
      <c r="G719" t="s">
        <v>57</v>
      </c>
      <c r="H719" t="s">
        <v>577</v>
      </c>
      <c r="I719" t="s">
        <v>51</v>
      </c>
      <c r="J719" t="s">
        <v>783</v>
      </c>
      <c r="K719" t="s">
        <v>59</v>
      </c>
      <c r="L719" t="s">
        <v>781</v>
      </c>
      <c r="M719" t="s">
        <v>28</v>
      </c>
      <c r="N719" s="1">
        <f t="shared" si="166"/>
        <v>1</v>
      </c>
      <c r="O719" s="1">
        <f t="shared" si="167"/>
        <v>3</v>
      </c>
      <c r="P719" s="1">
        <f t="shared" si="168"/>
        <v>4</v>
      </c>
      <c r="Q719" s="1">
        <f t="shared" si="169"/>
        <v>1</v>
      </c>
      <c r="R719" s="1">
        <f t="shared" si="170"/>
        <v>1</v>
      </c>
      <c r="S719" s="1">
        <f t="shared" si="171"/>
        <v>1</v>
      </c>
      <c r="T719" s="1">
        <f t="shared" si="172"/>
        <v>1</v>
      </c>
      <c r="U719" s="26">
        <f t="shared" si="173"/>
        <v>1</v>
      </c>
      <c r="V719" s="26">
        <f t="shared" si="174"/>
        <v>0</v>
      </c>
      <c r="W719" s="1">
        <f t="shared" si="175"/>
        <v>0</v>
      </c>
      <c r="X719" s="26">
        <f t="shared" si="176"/>
        <v>1</v>
      </c>
      <c r="Y719" s="26">
        <f t="shared" si="177"/>
        <v>1</v>
      </c>
      <c r="Z719" s="1">
        <f t="shared" si="178"/>
        <v>1</v>
      </c>
      <c r="AA719"/>
      <c r="AB719"/>
    </row>
    <row r="720" spans="1:28" x14ac:dyDescent="0.55000000000000004">
      <c r="A720" s="1">
        <f t="shared" si="165"/>
        <v>720</v>
      </c>
      <c r="B720" t="s">
        <v>30</v>
      </c>
      <c r="C720" t="s">
        <v>132</v>
      </c>
      <c r="D720" t="s">
        <v>179</v>
      </c>
      <c r="E720" t="s">
        <v>782</v>
      </c>
      <c r="F720" t="s">
        <v>181</v>
      </c>
      <c r="G720" t="s">
        <v>52</v>
      </c>
      <c r="H720" t="s">
        <v>784</v>
      </c>
      <c r="I720" t="s">
        <v>64</v>
      </c>
      <c r="J720" t="s">
        <v>785</v>
      </c>
      <c r="K720" t="s">
        <v>71</v>
      </c>
      <c r="L720" t="s">
        <v>769</v>
      </c>
      <c r="M720" t="s">
        <v>28</v>
      </c>
      <c r="N720" s="1">
        <f t="shared" si="166"/>
        <v>6</v>
      </c>
      <c r="O720" s="1">
        <f t="shared" si="167"/>
        <v>0</v>
      </c>
      <c r="P720" s="1">
        <f t="shared" si="168"/>
        <v>6</v>
      </c>
      <c r="Q720" s="1">
        <f t="shared" si="169"/>
        <v>1</v>
      </c>
      <c r="R720" s="1">
        <f t="shared" si="170"/>
        <v>0</v>
      </c>
      <c r="S720" s="1">
        <f t="shared" si="171"/>
        <v>0</v>
      </c>
      <c r="T720" s="1">
        <f t="shared" si="172"/>
        <v>0</v>
      </c>
      <c r="U720" s="26">
        <f t="shared" si="173"/>
        <v>0</v>
      </c>
      <c r="V720" s="26">
        <f t="shared" si="174"/>
        <v>0</v>
      </c>
      <c r="W720" s="1">
        <f t="shared" si="175"/>
        <v>1</v>
      </c>
      <c r="X720" s="26">
        <f t="shared" si="176"/>
        <v>0</v>
      </c>
      <c r="Y720" s="26">
        <f t="shared" si="177"/>
        <v>0</v>
      </c>
      <c r="Z720" s="1">
        <f t="shared" si="178"/>
        <v>1</v>
      </c>
      <c r="AA720"/>
      <c r="AB720"/>
    </row>
    <row r="721" spans="1:28" x14ac:dyDescent="0.55000000000000004">
      <c r="A721" s="1">
        <f t="shared" si="165"/>
        <v>721</v>
      </c>
      <c r="B721" t="s">
        <v>35</v>
      </c>
      <c r="C721" t="s">
        <v>153</v>
      </c>
      <c r="D721" t="s">
        <v>179</v>
      </c>
      <c r="E721" t="s">
        <v>782</v>
      </c>
      <c r="F721" t="s">
        <v>181</v>
      </c>
      <c r="G721" t="s">
        <v>204</v>
      </c>
      <c r="H721" t="s">
        <v>590</v>
      </c>
      <c r="I721" t="s">
        <v>383</v>
      </c>
      <c r="J721" t="s">
        <v>849</v>
      </c>
      <c r="K721" t="s">
        <v>206</v>
      </c>
      <c r="L721" t="s">
        <v>576</v>
      </c>
      <c r="M721" t="s">
        <v>28</v>
      </c>
      <c r="N721" s="1">
        <f t="shared" si="166"/>
        <v>0</v>
      </c>
      <c r="O721" s="1">
        <f t="shared" si="167"/>
        <v>1</v>
      </c>
      <c r="P721" s="1">
        <f t="shared" si="168"/>
        <v>1</v>
      </c>
      <c r="Q721" s="1">
        <f t="shared" si="169"/>
        <v>1</v>
      </c>
      <c r="R721" s="1">
        <f t="shared" si="170"/>
        <v>1</v>
      </c>
      <c r="S721" s="1">
        <f t="shared" si="171"/>
        <v>1</v>
      </c>
      <c r="T721" s="1">
        <f t="shared" si="172"/>
        <v>1</v>
      </c>
      <c r="U721" s="26">
        <f t="shared" si="173"/>
        <v>0</v>
      </c>
      <c r="V721" s="26">
        <f t="shared" si="174"/>
        <v>0</v>
      </c>
      <c r="W721" s="1">
        <f t="shared" si="175"/>
        <v>1</v>
      </c>
      <c r="X721" s="26">
        <f t="shared" si="176"/>
        <v>1</v>
      </c>
      <c r="Y721" s="26">
        <f t="shared" si="177"/>
        <v>0</v>
      </c>
      <c r="Z721" s="1">
        <f t="shared" si="178"/>
        <v>0</v>
      </c>
      <c r="AA721"/>
      <c r="AB721"/>
    </row>
    <row r="722" spans="1:28" x14ac:dyDescent="0.55000000000000004">
      <c r="A722" s="1">
        <f t="shared" si="165"/>
        <v>722</v>
      </c>
      <c r="B722" t="s">
        <v>37</v>
      </c>
      <c r="C722" t="s">
        <v>118</v>
      </c>
      <c r="D722" t="s">
        <v>179</v>
      </c>
      <c r="E722" t="s">
        <v>782</v>
      </c>
      <c r="F722" t="s">
        <v>388</v>
      </c>
      <c r="G722" t="s">
        <v>321</v>
      </c>
      <c r="H722" t="s">
        <v>881</v>
      </c>
      <c r="I722" t="s">
        <v>313</v>
      </c>
      <c r="J722" t="s">
        <v>882</v>
      </c>
      <c r="K722" t="s">
        <v>323</v>
      </c>
      <c r="L722" t="s">
        <v>883</v>
      </c>
      <c r="M722" t="s">
        <v>28</v>
      </c>
      <c r="N722" s="1">
        <f t="shared" si="166"/>
        <v>3</v>
      </c>
      <c r="O722" s="1">
        <f t="shared" si="167"/>
        <v>3</v>
      </c>
      <c r="P722" s="1">
        <f t="shared" si="168"/>
        <v>6</v>
      </c>
      <c r="Q722" s="1">
        <f t="shared" si="169"/>
        <v>0</v>
      </c>
      <c r="R722" s="1">
        <f t="shared" si="170"/>
        <v>0</v>
      </c>
      <c r="S722" s="1">
        <f t="shared" si="171"/>
        <v>0</v>
      </c>
      <c r="T722" s="1">
        <f t="shared" si="172"/>
        <v>0</v>
      </c>
      <c r="U722" s="26">
        <f t="shared" si="173"/>
        <v>1</v>
      </c>
      <c r="V722" s="26">
        <f t="shared" si="174"/>
        <v>1</v>
      </c>
      <c r="W722" s="1">
        <f t="shared" si="175"/>
        <v>0</v>
      </c>
      <c r="X722" s="26">
        <f t="shared" si="176"/>
        <v>1</v>
      </c>
      <c r="Y722" s="26">
        <f t="shared" si="177"/>
        <v>1</v>
      </c>
      <c r="Z722" s="1">
        <f t="shared" si="178"/>
        <v>1</v>
      </c>
      <c r="AA722"/>
      <c r="AB722"/>
    </row>
    <row r="723" spans="1:28" x14ac:dyDescent="0.55000000000000004">
      <c r="A723" s="1">
        <f t="shared" si="165"/>
        <v>723</v>
      </c>
      <c r="B723" t="s">
        <v>37</v>
      </c>
      <c r="C723" t="s">
        <v>118</v>
      </c>
      <c r="D723" t="s">
        <v>179</v>
      </c>
      <c r="E723" t="s">
        <v>782</v>
      </c>
      <c r="F723" t="s">
        <v>388</v>
      </c>
      <c r="G723" t="s">
        <v>324</v>
      </c>
      <c r="H723" t="s">
        <v>608</v>
      </c>
      <c r="I723" t="s">
        <v>326</v>
      </c>
      <c r="J723" t="s">
        <v>884</v>
      </c>
      <c r="K723" t="s">
        <v>885</v>
      </c>
      <c r="L723" t="s">
        <v>585</v>
      </c>
      <c r="M723" t="s">
        <v>28</v>
      </c>
      <c r="N723" s="1">
        <f t="shared" si="166"/>
        <v>1</v>
      </c>
      <c r="O723" s="1">
        <f t="shared" si="167"/>
        <v>1</v>
      </c>
      <c r="P723" s="1">
        <f t="shared" si="168"/>
        <v>2</v>
      </c>
      <c r="Q723" s="1">
        <f t="shared" si="169"/>
        <v>0</v>
      </c>
      <c r="R723" s="1">
        <f t="shared" si="170"/>
        <v>1</v>
      </c>
      <c r="S723" s="1">
        <f t="shared" si="171"/>
        <v>0</v>
      </c>
      <c r="T723" s="1">
        <f t="shared" si="172"/>
        <v>1</v>
      </c>
      <c r="U723" s="26">
        <f t="shared" si="173"/>
        <v>1</v>
      </c>
      <c r="V723" s="26">
        <f t="shared" si="174"/>
        <v>0</v>
      </c>
      <c r="W723" s="1">
        <f t="shared" si="175"/>
        <v>1</v>
      </c>
      <c r="X723" s="26">
        <f t="shared" si="176"/>
        <v>1</v>
      </c>
      <c r="Y723" s="26">
        <f t="shared" si="177"/>
        <v>0</v>
      </c>
      <c r="Z723" s="1">
        <f t="shared" si="178"/>
        <v>1</v>
      </c>
      <c r="AA723"/>
      <c r="AB723"/>
    </row>
    <row r="724" spans="1:28" x14ac:dyDescent="0.55000000000000004">
      <c r="A724" s="1">
        <f t="shared" si="165"/>
        <v>724</v>
      </c>
      <c r="B724" t="s">
        <v>37</v>
      </c>
      <c r="C724" t="s">
        <v>118</v>
      </c>
      <c r="D724" t="s">
        <v>179</v>
      </c>
      <c r="E724" t="s">
        <v>782</v>
      </c>
      <c r="F724" t="s">
        <v>388</v>
      </c>
      <c r="G724" t="s">
        <v>322</v>
      </c>
      <c r="H724" t="s">
        <v>664</v>
      </c>
      <c r="I724" t="s">
        <v>328</v>
      </c>
      <c r="J724" t="s">
        <v>886</v>
      </c>
      <c r="K724" t="s">
        <v>331</v>
      </c>
      <c r="L724" t="s">
        <v>589</v>
      </c>
      <c r="M724" t="s">
        <v>28</v>
      </c>
      <c r="N724" s="1">
        <f t="shared" si="166"/>
        <v>2</v>
      </c>
      <c r="O724" s="1">
        <f t="shared" si="167"/>
        <v>2</v>
      </c>
      <c r="P724" s="1">
        <f t="shared" si="168"/>
        <v>4</v>
      </c>
      <c r="Q724" s="1">
        <f t="shared" si="169"/>
        <v>0</v>
      </c>
      <c r="R724" s="1">
        <f t="shared" si="170"/>
        <v>1</v>
      </c>
      <c r="S724" s="1">
        <f t="shared" si="171"/>
        <v>0</v>
      </c>
      <c r="T724" s="1">
        <f t="shared" si="172"/>
        <v>1</v>
      </c>
      <c r="U724" s="26">
        <f t="shared" si="173"/>
        <v>1</v>
      </c>
      <c r="V724" s="26">
        <f t="shared" si="174"/>
        <v>1</v>
      </c>
      <c r="W724" s="1">
        <f t="shared" si="175"/>
        <v>1</v>
      </c>
      <c r="X724" s="26">
        <f t="shared" si="176"/>
        <v>1</v>
      </c>
      <c r="Y724" s="26">
        <f t="shared" si="177"/>
        <v>1</v>
      </c>
      <c r="Z724" s="1">
        <f t="shared" si="178"/>
        <v>1</v>
      </c>
      <c r="AA724"/>
      <c r="AB724"/>
    </row>
    <row r="725" spans="1:28" x14ac:dyDescent="0.55000000000000004">
      <c r="A725" s="1">
        <f t="shared" si="165"/>
        <v>725</v>
      </c>
      <c r="B725" t="s">
        <v>37</v>
      </c>
      <c r="C725" t="s">
        <v>118</v>
      </c>
      <c r="D725" t="s">
        <v>179</v>
      </c>
      <c r="E725" t="s">
        <v>782</v>
      </c>
      <c r="F725" t="s">
        <v>388</v>
      </c>
      <c r="G725" t="s">
        <v>316</v>
      </c>
      <c r="H725" t="s">
        <v>608</v>
      </c>
      <c r="I725" t="s">
        <v>312</v>
      </c>
      <c r="J725" t="s">
        <v>887</v>
      </c>
      <c r="K725" t="s">
        <v>341</v>
      </c>
      <c r="L725" t="s">
        <v>888</v>
      </c>
      <c r="M725" t="s">
        <v>28</v>
      </c>
      <c r="N725" s="1">
        <f t="shared" si="166"/>
        <v>1</v>
      </c>
      <c r="O725" s="1">
        <f t="shared" si="167"/>
        <v>1</v>
      </c>
      <c r="P725" s="1">
        <f t="shared" si="168"/>
        <v>2</v>
      </c>
      <c r="Q725" s="1">
        <f t="shared" si="169"/>
        <v>0</v>
      </c>
      <c r="R725" s="1">
        <f t="shared" si="170"/>
        <v>1</v>
      </c>
      <c r="S725" s="1">
        <f t="shared" si="171"/>
        <v>0</v>
      </c>
      <c r="T725" s="1">
        <f t="shared" si="172"/>
        <v>1</v>
      </c>
      <c r="U725" s="26">
        <f t="shared" si="173"/>
        <v>1</v>
      </c>
      <c r="V725" s="26">
        <f t="shared" si="174"/>
        <v>0</v>
      </c>
      <c r="W725" s="1">
        <f t="shared" si="175"/>
        <v>1</v>
      </c>
      <c r="X725" s="26">
        <f t="shared" si="176"/>
        <v>1</v>
      </c>
      <c r="Y725" s="26">
        <f t="shared" si="177"/>
        <v>0</v>
      </c>
      <c r="Z725" s="1">
        <f t="shared" si="178"/>
        <v>1</v>
      </c>
      <c r="AA725"/>
      <c r="AB725"/>
    </row>
    <row r="726" spans="1:28" x14ac:dyDescent="0.55000000000000004">
      <c r="A726" s="1">
        <f t="shared" si="165"/>
        <v>726</v>
      </c>
      <c r="B726" t="s">
        <v>37</v>
      </c>
      <c r="C726" t="s">
        <v>118</v>
      </c>
      <c r="D726" t="s">
        <v>179</v>
      </c>
      <c r="E726" t="s">
        <v>782</v>
      </c>
      <c r="F726" t="s">
        <v>388</v>
      </c>
      <c r="G726" t="s">
        <v>319</v>
      </c>
      <c r="H726" t="s">
        <v>817</v>
      </c>
      <c r="I726" t="s">
        <v>318</v>
      </c>
      <c r="J726" t="s">
        <v>889</v>
      </c>
      <c r="K726" t="s">
        <v>330</v>
      </c>
      <c r="L726" t="s">
        <v>861</v>
      </c>
      <c r="M726" t="s">
        <v>28</v>
      </c>
      <c r="N726" s="1">
        <f t="shared" si="166"/>
        <v>4</v>
      </c>
      <c r="O726" s="1">
        <f t="shared" si="167"/>
        <v>1</v>
      </c>
      <c r="P726" s="1">
        <f t="shared" si="168"/>
        <v>5</v>
      </c>
      <c r="Q726" s="1">
        <f t="shared" si="169"/>
        <v>1</v>
      </c>
      <c r="R726" s="1">
        <f t="shared" si="170"/>
        <v>0</v>
      </c>
      <c r="S726" s="1">
        <f t="shared" si="171"/>
        <v>0</v>
      </c>
      <c r="T726" s="1">
        <f t="shared" si="172"/>
        <v>0</v>
      </c>
      <c r="U726" s="26">
        <f t="shared" si="173"/>
        <v>0</v>
      </c>
      <c r="V726" s="26">
        <f t="shared" si="174"/>
        <v>1</v>
      </c>
      <c r="W726" s="1">
        <f t="shared" si="175"/>
        <v>1</v>
      </c>
      <c r="X726" s="26">
        <f t="shared" si="176"/>
        <v>1</v>
      </c>
      <c r="Y726" s="26">
        <f t="shared" si="177"/>
        <v>0</v>
      </c>
      <c r="Z726" s="1">
        <f t="shared" si="178"/>
        <v>1</v>
      </c>
      <c r="AA726"/>
      <c r="AB726"/>
    </row>
    <row r="727" spans="1:28" x14ac:dyDescent="0.55000000000000004">
      <c r="A727" s="1">
        <f t="shared" si="165"/>
        <v>727</v>
      </c>
      <c r="B727" t="s">
        <v>40</v>
      </c>
      <c r="C727" t="s">
        <v>200</v>
      </c>
      <c r="D727" t="s">
        <v>179</v>
      </c>
      <c r="E727" t="s">
        <v>782</v>
      </c>
      <c r="F727" t="s">
        <v>251</v>
      </c>
      <c r="G727" t="s">
        <v>256</v>
      </c>
      <c r="H727" t="s">
        <v>575</v>
      </c>
      <c r="I727" t="s">
        <v>253</v>
      </c>
      <c r="J727" t="s">
        <v>1013</v>
      </c>
      <c r="K727" t="s">
        <v>416</v>
      </c>
      <c r="L727" t="s">
        <v>1014</v>
      </c>
      <c r="M727" t="s">
        <v>28</v>
      </c>
      <c r="N727" s="1">
        <f t="shared" si="166"/>
        <v>1</v>
      </c>
      <c r="O727" s="1">
        <f t="shared" si="167"/>
        <v>0</v>
      </c>
      <c r="P727" s="1">
        <f t="shared" si="168"/>
        <v>1</v>
      </c>
      <c r="Q727" s="1">
        <f t="shared" si="169"/>
        <v>1</v>
      </c>
      <c r="R727" s="1">
        <f t="shared" si="170"/>
        <v>1</v>
      </c>
      <c r="S727" s="1">
        <f t="shared" si="171"/>
        <v>1</v>
      </c>
      <c r="T727" s="1">
        <f t="shared" si="172"/>
        <v>1</v>
      </c>
      <c r="U727" s="26">
        <f t="shared" si="173"/>
        <v>1</v>
      </c>
      <c r="V727" s="26">
        <f t="shared" si="174"/>
        <v>0</v>
      </c>
      <c r="W727" s="1">
        <f t="shared" si="175"/>
        <v>1</v>
      </c>
      <c r="X727" s="26">
        <f t="shared" si="176"/>
        <v>0</v>
      </c>
      <c r="Y727" s="26">
        <f t="shared" si="177"/>
        <v>0</v>
      </c>
      <c r="Z727" s="1">
        <f t="shared" si="178"/>
        <v>0</v>
      </c>
      <c r="AA727"/>
      <c r="AB727"/>
    </row>
    <row r="728" spans="1:28" x14ac:dyDescent="0.55000000000000004">
      <c r="A728" s="1">
        <f t="shared" si="165"/>
        <v>728</v>
      </c>
      <c r="B728" t="s">
        <v>33</v>
      </c>
      <c r="C728" t="s">
        <v>111</v>
      </c>
      <c r="D728" t="s">
        <v>216</v>
      </c>
      <c r="E728" t="s">
        <v>813</v>
      </c>
      <c r="F728" t="s">
        <v>364</v>
      </c>
      <c r="G728" t="s">
        <v>291</v>
      </c>
      <c r="H728" t="s">
        <v>608</v>
      </c>
      <c r="I728" t="s">
        <v>299</v>
      </c>
      <c r="J728" t="s">
        <v>814</v>
      </c>
      <c r="K728" t="s">
        <v>293</v>
      </c>
      <c r="L728" t="s">
        <v>810</v>
      </c>
      <c r="M728" t="s">
        <v>28</v>
      </c>
      <c r="N728" s="1">
        <f t="shared" si="166"/>
        <v>1</v>
      </c>
      <c r="O728" s="1">
        <f t="shared" si="167"/>
        <v>1</v>
      </c>
      <c r="P728" s="1">
        <f t="shared" si="168"/>
        <v>2</v>
      </c>
      <c r="Q728" s="1">
        <f t="shared" si="169"/>
        <v>0</v>
      </c>
      <c r="R728" s="1">
        <f t="shared" si="170"/>
        <v>1</v>
      </c>
      <c r="S728" s="1">
        <f t="shared" si="171"/>
        <v>0</v>
      </c>
      <c r="T728" s="1">
        <f t="shared" si="172"/>
        <v>1</v>
      </c>
      <c r="U728" s="26">
        <f t="shared" si="173"/>
        <v>1</v>
      </c>
      <c r="V728" s="26">
        <f t="shared" si="174"/>
        <v>0</v>
      </c>
      <c r="W728" s="1">
        <f t="shared" si="175"/>
        <v>1</v>
      </c>
      <c r="X728" s="26">
        <f t="shared" si="176"/>
        <v>1</v>
      </c>
      <c r="Y728" s="26">
        <f t="shared" si="177"/>
        <v>0</v>
      </c>
      <c r="Z728" s="1">
        <f t="shared" si="178"/>
        <v>1</v>
      </c>
      <c r="AA728"/>
      <c r="AB728"/>
    </row>
    <row r="729" spans="1:28" x14ac:dyDescent="0.55000000000000004">
      <c r="A729" s="1">
        <f t="shared" si="165"/>
        <v>729</v>
      </c>
      <c r="B729" t="s">
        <v>33</v>
      </c>
      <c r="C729" t="s">
        <v>111</v>
      </c>
      <c r="D729" t="s">
        <v>216</v>
      </c>
      <c r="E729" t="s">
        <v>813</v>
      </c>
      <c r="F729" t="s">
        <v>277</v>
      </c>
      <c r="G729" t="s">
        <v>362</v>
      </c>
      <c r="H729" t="s">
        <v>590</v>
      </c>
      <c r="I729" t="s">
        <v>367</v>
      </c>
      <c r="J729" t="s">
        <v>815</v>
      </c>
      <c r="K729" t="s">
        <v>363</v>
      </c>
      <c r="L729" t="s">
        <v>816</v>
      </c>
      <c r="M729" t="s">
        <v>28</v>
      </c>
      <c r="N729" s="1">
        <f t="shared" si="166"/>
        <v>0</v>
      </c>
      <c r="O729" s="1">
        <f t="shared" si="167"/>
        <v>1</v>
      </c>
      <c r="P729" s="1">
        <f t="shared" si="168"/>
        <v>1</v>
      </c>
      <c r="Q729" s="1">
        <f t="shared" si="169"/>
        <v>1</v>
      </c>
      <c r="R729" s="1">
        <f t="shared" si="170"/>
        <v>1</v>
      </c>
      <c r="S729" s="1">
        <f t="shared" si="171"/>
        <v>1</v>
      </c>
      <c r="T729" s="1">
        <f t="shared" si="172"/>
        <v>1</v>
      </c>
      <c r="U729" s="26">
        <f t="shared" si="173"/>
        <v>0</v>
      </c>
      <c r="V729" s="26">
        <f t="shared" si="174"/>
        <v>0</v>
      </c>
      <c r="W729" s="1">
        <f t="shared" si="175"/>
        <v>1</v>
      </c>
      <c r="X729" s="26">
        <f t="shared" si="176"/>
        <v>1</v>
      </c>
      <c r="Y729" s="26">
        <f t="shared" si="177"/>
        <v>0</v>
      </c>
      <c r="Z729" s="1">
        <f t="shared" si="178"/>
        <v>0</v>
      </c>
      <c r="AA729"/>
      <c r="AB729"/>
    </row>
    <row r="730" spans="1:28" x14ac:dyDescent="0.55000000000000004">
      <c r="A730" s="1">
        <f t="shared" si="165"/>
        <v>730</v>
      </c>
      <c r="B730" t="s">
        <v>33</v>
      </c>
      <c r="C730" t="s">
        <v>111</v>
      </c>
      <c r="D730" t="s">
        <v>216</v>
      </c>
      <c r="E730" t="s">
        <v>813</v>
      </c>
      <c r="F730" t="s">
        <v>277</v>
      </c>
      <c r="G730" t="s">
        <v>284</v>
      </c>
      <c r="H730" t="s">
        <v>817</v>
      </c>
      <c r="I730" t="s">
        <v>360</v>
      </c>
      <c r="J730" t="s">
        <v>818</v>
      </c>
      <c r="K730" t="s">
        <v>286</v>
      </c>
      <c r="L730" t="s">
        <v>804</v>
      </c>
      <c r="M730" t="s">
        <v>28</v>
      </c>
      <c r="N730" s="1">
        <f t="shared" si="166"/>
        <v>4</v>
      </c>
      <c r="O730" s="1">
        <f t="shared" si="167"/>
        <v>1</v>
      </c>
      <c r="P730" s="1">
        <f t="shared" si="168"/>
        <v>5</v>
      </c>
      <c r="Q730" s="1">
        <f t="shared" si="169"/>
        <v>1</v>
      </c>
      <c r="R730" s="1">
        <f t="shared" si="170"/>
        <v>0</v>
      </c>
      <c r="S730" s="1">
        <f t="shared" si="171"/>
        <v>0</v>
      </c>
      <c r="T730" s="1">
        <f t="shared" si="172"/>
        <v>0</v>
      </c>
      <c r="U730" s="26">
        <f t="shared" si="173"/>
        <v>0</v>
      </c>
      <c r="V730" s="26">
        <f t="shared" si="174"/>
        <v>1</v>
      </c>
      <c r="W730" s="1">
        <f t="shared" si="175"/>
        <v>1</v>
      </c>
      <c r="X730" s="26">
        <f t="shared" si="176"/>
        <v>1</v>
      </c>
      <c r="Y730" s="26">
        <f t="shared" si="177"/>
        <v>0</v>
      </c>
      <c r="Z730" s="1">
        <f t="shared" si="178"/>
        <v>1</v>
      </c>
      <c r="AA730"/>
      <c r="AB730"/>
    </row>
    <row r="731" spans="1:28" x14ac:dyDescent="0.55000000000000004">
      <c r="A731" s="1">
        <f t="shared" si="165"/>
        <v>731</v>
      </c>
      <c r="B731" t="s">
        <v>33</v>
      </c>
      <c r="C731" t="s">
        <v>111</v>
      </c>
      <c r="D731" t="s">
        <v>216</v>
      </c>
      <c r="E731" t="s">
        <v>813</v>
      </c>
      <c r="F731" t="s">
        <v>290</v>
      </c>
      <c r="G731" t="s">
        <v>292</v>
      </c>
      <c r="H731" t="s">
        <v>608</v>
      </c>
      <c r="I731" t="s">
        <v>278</v>
      </c>
      <c r="J731" t="s">
        <v>819</v>
      </c>
      <c r="K731" t="s">
        <v>408</v>
      </c>
      <c r="L731" t="s">
        <v>820</v>
      </c>
      <c r="M731" t="s">
        <v>28</v>
      </c>
      <c r="N731" s="1">
        <f t="shared" si="166"/>
        <v>1</v>
      </c>
      <c r="O731" s="1">
        <f t="shared" si="167"/>
        <v>1</v>
      </c>
      <c r="P731" s="1">
        <f t="shared" si="168"/>
        <v>2</v>
      </c>
      <c r="Q731" s="1">
        <f t="shared" si="169"/>
        <v>0</v>
      </c>
      <c r="R731" s="1">
        <f t="shared" si="170"/>
        <v>1</v>
      </c>
      <c r="S731" s="1">
        <f t="shared" si="171"/>
        <v>0</v>
      </c>
      <c r="T731" s="1">
        <f t="shared" si="172"/>
        <v>1</v>
      </c>
      <c r="U731" s="26">
        <f t="shared" si="173"/>
        <v>1</v>
      </c>
      <c r="V731" s="26">
        <f t="shared" si="174"/>
        <v>0</v>
      </c>
      <c r="W731" s="1">
        <f t="shared" si="175"/>
        <v>1</v>
      </c>
      <c r="X731" s="26">
        <f t="shared" si="176"/>
        <v>1</v>
      </c>
      <c r="Y731" s="26">
        <f t="shared" si="177"/>
        <v>0</v>
      </c>
      <c r="Z731" s="1">
        <f t="shared" si="178"/>
        <v>1</v>
      </c>
      <c r="AA731"/>
      <c r="AB731"/>
    </row>
    <row r="732" spans="1:28" x14ac:dyDescent="0.55000000000000004">
      <c r="A732" s="1">
        <f t="shared" si="165"/>
        <v>732</v>
      </c>
      <c r="B732" t="s">
        <v>39</v>
      </c>
      <c r="C732" t="s">
        <v>115</v>
      </c>
      <c r="D732" t="s">
        <v>216</v>
      </c>
      <c r="E732" t="s">
        <v>813</v>
      </c>
      <c r="F732" t="s">
        <v>342</v>
      </c>
      <c r="G732" t="s">
        <v>234</v>
      </c>
      <c r="H732" t="s">
        <v>590</v>
      </c>
      <c r="I732" t="s">
        <v>219</v>
      </c>
      <c r="J732" t="s">
        <v>997</v>
      </c>
      <c r="K732" t="s">
        <v>236</v>
      </c>
      <c r="L732" t="s">
        <v>998</v>
      </c>
      <c r="M732" t="s">
        <v>28</v>
      </c>
      <c r="N732" s="1">
        <f t="shared" si="166"/>
        <v>0</v>
      </c>
      <c r="O732" s="1">
        <f t="shared" si="167"/>
        <v>1</v>
      </c>
      <c r="P732" s="1">
        <f t="shared" si="168"/>
        <v>1</v>
      </c>
      <c r="Q732" s="1">
        <f t="shared" si="169"/>
        <v>1</v>
      </c>
      <c r="R732" s="1">
        <f t="shared" si="170"/>
        <v>1</v>
      </c>
      <c r="S732" s="1">
        <f t="shared" si="171"/>
        <v>1</v>
      </c>
      <c r="T732" s="1">
        <f t="shared" si="172"/>
        <v>1</v>
      </c>
      <c r="U732" s="26">
        <f t="shared" si="173"/>
        <v>0</v>
      </c>
      <c r="V732" s="26">
        <f t="shared" si="174"/>
        <v>0</v>
      </c>
      <c r="W732" s="1">
        <f t="shared" si="175"/>
        <v>1</v>
      </c>
      <c r="X732" s="26">
        <f t="shared" si="176"/>
        <v>1</v>
      </c>
      <c r="Y732" s="26">
        <f t="shared" si="177"/>
        <v>0</v>
      </c>
      <c r="Z732" s="1">
        <f t="shared" si="178"/>
        <v>0</v>
      </c>
      <c r="AA732"/>
      <c r="AB732"/>
    </row>
    <row r="733" spans="1:28" x14ac:dyDescent="0.55000000000000004">
      <c r="A733" s="1">
        <f t="shared" si="165"/>
        <v>733</v>
      </c>
      <c r="B733" t="s">
        <v>39</v>
      </c>
      <c r="C733" t="s">
        <v>115</v>
      </c>
      <c r="D733" t="s">
        <v>216</v>
      </c>
      <c r="E733" t="s">
        <v>813</v>
      </c>
      <c r="F733" t="s">
        <v>342</v>
      </c>
      <c r="G733" t="s">
        <v>225</v>
      </c>
      <c r="H733" t="s">
        <v>687</v>
      </c>
      <c r="I733" t="s">
        <v>231</v>
      </c>
      <c r="J733" t="s">
        <v>999</v>
      </c>
      <c r="K733" t="s">
        <v>227</v>
      </c>
      <c r="L733" t="s">
        <v>1000</v>
      </c>
      <c r="M733" t="s">
        <v>28</v>
      </c>
      <c r="N733" s="1">
        <f t="shared" si="166"/>
        <v>4</v>
      </c>
      <c r="O733" s="1">
        <f t="shared" si="167"/>
        <v>0</v>
      </c>
      <c r="P733" s="1">
        <f t="shared" si="168"/>
        <v>4</v>
      </c>
      <c r="Q733" s="1">
        <f t="shared" si="169"/>
        <v>1</v>
      </c>
      <c r="R733" s="1">
        <f t="shared" si="170"/>
        <v>1</v>
      </c>
      <c r="S733" s="1">
        <f t="shared" si="171"/>
        <v>1</v>
      </c>
      <c r="T733" s="1">
        <f t="shared" si="172"/>
        <v>0</v>
      </c>
      <c r="U733" s="26">
        <f t="shared" si="173"/>
        <v>0</v>
      </c>
      <c r="V733" s="26">
        <f t="shared" si="174"/>
        <v>1</v>
      </c>
      <c r="W733" s="1">
        <f t="shared" si="175"/>
        <v>1</v>
      </c>
      <c r="X733" s="26">
        <f t="shared" si="176"/>
        <v>0</v>
      </c>
      <c r="Y733" s="26">
        <f t="shared" si="177"/>
        <v>0</v>
      </c>
      <c r="Z733" s="1">
        <f t="shared" si="178"/>
        <v>1</v>
      </c>
      <c r="AA733"/>
      <c r="AB733"/>
    </row>
    <row r="734" spans="1:28" x14ac:dyDescent="0.55000000000000004">
      <c r="A734" s="1">
        <f t="shared" si="165"/>
        <v>734</v>
      </c>
      <c r="B734" t="s">
        <v>39</v>
      </c>
      <c r="C734" t="s">
        <v>115</v>
      </c>
      <c r="D734" t="s">
        <v>216</v>
      </c>
      <c r="E734" t="s">
        <v>813</v>
      </c>
      <c r="F734" t="s">
        <v>343</v>
      </c>
      <c r="G734" t="s">
        <v>226</v>
      </c>
      <c r="H734" t="s">
        <v>708</v>
      </c>
      <c r="I734" t="s">
        <v>223</v>
      </c>
      <c r="J734" t="s">
        <v>1001</v>
      </c>
      <c r="K734" t="s">
        <v>241</v>
      </c>
      <c r="L734" t="s">
        <v>993</v>
      </c>
      <c r="M734" t="s">
        <v>28</v>
      </c>
      <c r="N734" s="1">
        <f t="shared" si="166"/>
        <v>0</v>
      </c>
      <c r="O734" s="1">
        <f t="shared" si="167"/>
        <v>0</v>
      </c>
      <c r="P734" s="1">
        <f t="shared" si="168"/>
        <v>0</v>
      </c>
      <c r="Q734" s="1">
        <f t="shared" si="169"/>
        <v>0</v>
      </c>
      <c r="R734" s="1">
        <f t="shared" si="170"/>
        <v>1</v>
      </c>
      <c r="S734" s="1">
        <f t="shared" si="171"/>
        <v>0</v>
      </c>
      <c r="T734" s="1">
        <f t="shared" si="172"/>
        <v>1</v>
      </c>
      <c r="U734" s="26">
        <f t="shared" si="173"/>
        <v>0</v>
      </c>
      <c r="V734" s="26">
        <f t="shared" si="174"/>
        <v>0</v>
      </c>
      <c r="W734" s="1">
        <f t="shared" si="175"/>
        <v>1</v>
      </c>
      <c r="X734" s="26">
        <f t="shared" si="176"/>
        <v>0</v>
      </c>
      <c r="Y734" s="26">
        <f t="shared" si="177"/>
        <v>0</v>
      </c>
      <c r="Z734" s="1">
        <f t="shared" si="178"/>
        <v>0</v>
      </c>
      <c r="AA734"/>
      <c r="AB734"/>
    </row>
    <row r="735" spans="1:28" x14ac:dyDescent="0.55000000000000004">
      <c r="A735" s="1">
        <f t="shared" si="165"/>
        <v>735</v>
      </c>
      <c r="B735" t="s">
        <v>39</v>
      </c>
      <c r="C735" t="s">
        <v>115</v>
      </c>
      <c r="D735" t="s">
        <v>216</v>
      </c>
      <c r="E735" t="s">
        <v>813</v>
      </c>
      <c r="F735" t="s">
        <v>343</v>
      </c>
      <c r="G735" t="s">
        <v>232</v>
      </c>
      <c r="H735" t="s">
        <v>581</v>
      </c>
      <c r="I735" t="s">
        <v>222</v>
      </c>
      <c r="J735" t="s">
        <v>1002</v>
      </c>
      <c r="K735" t="s">
        <v>238</v>
      </c>
      <c r="L735" t="s">
        <v>1003</v>
      </c>
      <c r="M735" t="s">
        <v>28</v>
      </c>
      <c r="N735" s="1">
        <f t="shared" si="166"/>
        <v>1</v>
      </c>
      <c r="O735" s="1">
        <f t="shared" si="167"/>
        <v>2</v>
      </c>
      <c r="P735" s="1">
        <f t="shared" si="168"/>
        <v>3</v>
      </c>
      <c r="Q735" s="1">
        <f t="shared" si="169"/>
        <v>1</v>
      </c>
      <c r="R735" s="1">
        <f t="shared" si="170"/>
        <v>1</v>
      </c>
      <c r="S735" s="1">
        <f t="shared" si="171"/>
        <v>1</v>
      </c>
      <c r="T735" s="1">
        <f t="shared" si="172"/>
        <v>1</v>
      </c>
      <c r="U735" s="26">
        <f t="shared" si="173"/>
        <v>1</v>
      </c>
      <c r="V735" s="26">
        <f t="shared" si="174"/>
        <v>0</v>
      </c>
      <c r="W735" s="1">
        <f t="shared" si="175"/>
        <v>1</v>
      </c>
      <c r="X735" s="26">
        <f t="shared" si="176"/>
        <v>1</v>
      </c>
      <c r="Y735" s="26">
        <f t="shared" si="177"/>
        <v>1</v>
      </c>
      <c r="Z735" s="1">
        <f t="shared" si="178"/>
        <v>1</v>
      </c>
      <c r="AA735"/>
      <c r="AB735"/>
    </row>
    <row r="736" spans="1:28" x14ac:dyDescent="0.55000000000000004">
      <c r="A736" s="1">
        <f t="shared" si="165"/>
        <v>736</v>
      </c>
      <c r="B736" t="s">
        <v>39</v>
      </c>
      <c r="C736" t="s">
        <v>115</v>
      </c>
      <c r="D736" t="s">
        <v>216</v>
      </c>
      <c r="E736" t="s">
        <v>813</v>
      </c>
      <c r="F736" t="s">
        <v>343</v>
      </c>
      <c r="G736" t="s">
        <v>220</v>
      </c>
      <c r="H736" t="s">
        <v>608</v>
      </c>
      <c r="I736" t="s">
        <v>229</v>
      </c>
      <c r="J736" t="s">
        <v>1004</v>
      </c>
      <c r="K736" t="s">
        <v>240</v>
      </c>
      <c r="L736" t="s">
        <v>1005</v>
      </c>
      <c r="M736" t="s">
        <v>28</v>
      </c>
      <c r="N736" s="1">
        <f t="shared" si="166"/>
        <v>1</v>
      </c>
      <c r="O736" s="1">
        <f t="shared" si="167"/>
        <v>1</v>
      </c>
      <c r="P736" s="1">
        <f t="shared" si="168"/>
        <v>2</v>
      </c>
      <c r="Q736" s="1">
        <f t="shared" si="169"/>
        <v>0</v>
      </c>
      <c r="R736" s="1">
        <f t="shared" si="170"/>
        <v>1</v>
      </c>
      <c r="S736" s="1">
        <f t="shared" si="171"/>
        <v>0</v>
      </c>
      <c r="T736" s="1">
        <f t="shared" si="172"/>
        <v>1</v>
      </c>
      <c r="U736" s="26">
        <f t="shared" si="173"/>
        <v>1</v>
      </c>
      <c r="V736" s="26">
        <f t="shared" si="174"/>
        <v>0</v>
      </c>
      <c r="W736" s="1">
        <f t="shared" si="175"/>
        <v>1</v>
      </c>
      <c r="X736" s="26">
        <f t="shared" si="176"/>
        <v>1</v>
      </c>
      <c r="Y736" s="26">
        <f t="shared" si="177"/>
        <v>0</v>
      </c>
      <c r="Z736" s="1">
        <f t="shared" si="178"/>
        <v>1</v>
      </c>
      <c r="AA736"/>
      <c r="AB736"/>
    </row>
    <row r="737" spans="1:28" x14ac:dyDescent="0.55000000000000004">
      <c r="A737" s="1">
        <f t="shared" si="165"/>
        <v>737</v>
      </c>
      <c r="B737" t="s">
        <v>39</v>
      </c>
      <c r="C737" t="s">
        <v>115</v>
      </c>
      <c r="D737" t="s">
        <v>216</v>
      </c>
      <c r="E737" t="s">
        <v>813</v>
      </c>
      <c r="F737" t="s">
        <v>390</v>
      </c>
      <c r="G737" t="s">
        <v>228</v>
      </c>
      <c r="H737" t="s">
        <v>708</v>
      </c>
      <c r="I737" t="s">
        <v>235</v>
      </c>
      <c r="J737" t="s">
        <v>1006</v>
      </c>
      <c r="K737" t="s">
        <v>230</v>
      </c>
      <c r="L737" t="s">
        <v>1007</v>
      </c>
      <c r="M737" t="s">
        <v>28</v>
      </c>
      <c r="N737" s="1">
        <f t="shared" si="166"/>
        <v>0</v>
      </c>
      <c r="O737" s="1">
        <f t="shared" si="167"/>
        <v>0</v>
      </c>
      <c r="P737" s="1">
        <f t="shared" si="168"/>
        <v>0</v>
      </c>
      <c r="Q737" s="1">
        <f t="shared" si="169"/>
        <v>0</v>
      </c>
      <c r="R737" s="1">
        <f t="shared" si="170"/>
        <v>1</v>
      </c>
      <c r="S737" s="1">
        <f t="shared" si="171"/>
        <v>0</v>
      </c>
      <c r="T737" s="1">
        <f t="shared" si="172"/>
        <v>1</v>
      </c>
      <c r="U737" s="26">
        <f t="shared" si="173"/>
        <v>0</v>
      </c>
      <c r="V737" s="26">
        <f t="shared" si="174"/>
        <v>0</v>
      </c>
      <c r="W737" s="1">
        <f t="shared" si="175"/>
        <v>1</v>
      </c>
      <c r="X737" s="26">
        <f t="shared" si="176"/>
        <v>0</v>
      </c>
      <c r="Y737" s="26">
        <f t="shared" si="177"/>
        <v>0</v>
      </c>
      <c r="Z737" s="1">
        <f t="shared" si="178"/>
        <v>0</v>
      </c>
      <c r="AA737"/>
      <c r="AB737"/>
    </row>
    <row r="738" spans="1:28" x14ac:dyDescent="0.55000000000000004">
      <c r="A738" s="1">
        <f t="shared" si="165"/>
        <v>738</v>
      </c>
      <c r="B738" t="s">
        <v>40</v>
      </c>
      <c r="C738" t="s">
        <v>200</v>
      </c>
      <c r="D738" t="s">
        <v>216</v>
      </c>
      <c r="E738" t="s">
        <v>813</v>
      </c>
      <c r="F738" t="s">
        <v>251</v>
      </c>
      <c r="G738" t="s">
        <v>258</v>
      </c>
      <c r="H738" t="s">
        <v>573</v>
      </c>
      <c r="I738" t="s">
        <v>260</v>
      </c>
      <c r="J738" t="s">
        <v>1015</v>
      </c>
      <c r="K738" t="s">
        <v>259</v>
      </c>
      <c r="L738" t="s">
        <v>1016</v>
      </c>
      <c r="M738" t="s">
        <v>28</v>
      </c>
      <c r="N738" s="1">
        <f t="shared" si="166"/>
        <v>2</v>
      </c>
      <c r="O738" s="1">
        <f t="shared" si="167"/>
        <v>0</v>
      </c>
      <c r="P738" s="1">
        <f t="shared" si="168"/>
        <v>2</v>
      </c>
      <c r="Q738" s="1">
        <f t="shared" si="169"/>
        <v>1</v>
      </c>
      <c r="R738" s="1">
        <f t="shared" si="170"/>
        <v>1</v>
      </c>
      <c r="S738" s="1">
        <f t="shared" si="171"/>
        <v>1</v>
      </c>
      <c r="T738" s="1">
        <f t="shared" si="172"/>
        <v>1</v>
      </c>
      <c r="U738" s="26">
        <f t="shared" si="173"/>
        <v>1</v>
      </c>
      <c r="V738" s="26">
        <f t="shared" si="174"/>
        <v>1</v>
      </c>
      <c r="W738" s="1">
        <f t="shared" si="175"/>
        <v>1</v>
      </c>
      <c r="X738" s="26">
        <f t="shared" si="176"/>
        <v>0</v>
      </c>
      <c r="Y738" s="26">
        <f t="shared" si="177"/>
        <v>0</v>
      </c>
      <c r="Z738" s="1">
        <f t="shared" si="178"/>
        <v>1</v>
      </c>
      <c r="AA738"/>
      <c r="AB738"/>
    </row>
    <row r="739" spans="1:28" x14ac:dyDescent="0.55000000000000004">
      <c r="A739" s="1">
        <f t="shared" si="165"/>
        <v>739</v>
      </c>
      <c r="B739" t="s">
        <v>33</v>
      </c>
      <c r="C739" t="s">
        <v>111</v>
      </c>
      <c r="D739" t="s">
        <v>177</v>
      </c>
      <c r="E739" t="s">
        <v>1045</v>
      </c>
      <c r="F739" t="s">
        <v>364</v>
      </c>
      <c r="G739" t="s">
        <v>287</v>
      </c>
      <c r="H739" t="s">
        <v>577</v>
      </c>
      <c r="I739" t="s">
        <v>285</v>
      </c>
      <c r="J739" t="s">
        <v>1046</v>
      </c>
      <c r="K739" t="s">
        <v>289</v>
      </c>
      <c r="L739" t="s">
        <v>1047</v>
      </c>
      <c r="M739" t="s">
        <v>28</v>
      </c>
      <c r="N739" s="1">
        <f t="shared" si="166"/>
        <v>1</v>
      </c>
      <c r="O739" s="1">
        <f t="shared" si="167"/>
        <v>3</v>
      </c>
      <c r="P739" s="1">
        <f t="shared" si="168"/>
        <v>4</v>
      </c>
      <c r="Q739" s="1">
        <f t="shared" si="169"/>
        <v>1</v>
      </c>
      <c r="R739" s="1">
        <f t="shared" si="170"/>
        <v>1</v>
      </c>
      <c r="S739" s="1">
        <f t="shared" si="171"/>
        <v>1</v>
      </c>
      <c r="T739" s="1">
        <f t="shared" si="172"/>
        <v>1</v>
      </c>
      <c r="U739" s="26">
        <f t="shared" si="173"/>
        <v>1</v>
      </c>
      <c r="V739" s="26">
        <f t="shared" si="174"/>
        <v>0</v>
      </c>
      <c r="W739" s="1">
        <f t="shared" si="175"/>
        <v>0</v>
      </c>
      <c r="X739" s="26">
        <f t="shared" si="176"/>
        <v>1</v>
      </c>
      <c r="Y739" s="26">
        <f t="shared" si="177"/>
        <v>1</v>
      </c>
      <c r="Z739" s="1">
        <f t="shared" si="178"/>
        <v>1</v>
      </c>
      <c r="AA739"/>
      <c r="AB739"/>
    </row>
    <row r="740" spans="1:28" x14ac:dyDescent="0.55000000000000004">
      <c r="A740" s="1">
        <f t="shared" si="165"/>
        <v>740</v>
      </c>
      <c r="B740" t="s">
        <v>33</v>
      </c>
      <c r="C740" t="s">
        <v>111</v>
      </c>
      <c r="D740" t="s">
        <v>177</v>
      </c>
      <c r="E740" t="s">
        <v>1045</v>
      </c>
      <c r="F740" t="s">
        <v>277</v>
      </c>
      <c r="G740" t="s">
        <v>281</v>
      </c>
      <c r="H740" t="s">
        <v>722</v>
      </c>
      <c r="I740" t="s">
        <v>279</v>
      </c>
      <c r="J740" t="s">
        <v>1048</v>
      </c>
      <c r="K740" t="s">
        <v>283</v>
      </c>
      <c r="L740" t="s">
        <v>1049</v>
      </c>
      <c r="M740" t="s">
        <v>28</v>
      </c>
      <c r="N740" s="1">
        <f t="shared" si="166"/>
        <v>3</v>
      </c>
      <c r="O740" s="1">
        <f t="shared" si="167"/>
        <v>0</v>
      </c>
      <c r="P740" s="1">
        <f t="shared" si="168"/>
        <v>3</v>
      </c>
      <c r="Q740" s="1">
        <f t="shared" si="169"/>
        <v>1</v>
      </c>
      <c r="R740" s="1">
        <f t="shared" si="170"/>
        <v>1</v>
      </c>
      <c r="S740" s="1">
        <f t="shared" si="171"/>
        <v>1</v>
      </c>
      <c r="T740" s="1">
        <f t="shared" si="172"/>
        <v>0</v>
      </c>
      <c r="U740" s="26">
        <f t="shared" si="173"/>
        <v>1</v>
      </c>
      <c r="V740" s="26">
        <f t="shared" si="174"/>
        <v>1</v>
      </c>
      <c r="W740" s="1">
        <f t="shared" si="175"/>
        <v>1</v>
      </c>
      <c r="X740" s="26">
        <f t="shared" si="176"/>
        <v>0</v>
      </c>
      <c r="Y740" s="26">
        <f t="shared" si="177"/>
        <v>0</v>
      </c>
      <c r="Z740" s="1">
        <f t="shared" si="178"/>
        <v>1</v>
      </c>
      <c r="AA740"/>
      <c r="AB740"/>
    </row>
    <row r="741" spans="1:28" x14ac:dyDescent="0.55000000000000004">
      <c r="A741" s="1">
        <f t="shared" si="165"/>
        <v>741</v>
      </c>
      <c r="B741" t="s">
        <v>33</v>
      </c>
      <c r="C741" t="s">
        <v>111</v>
      </c>
      <c r="D741" t="s">
        <v>177</v>
      </c>
      <c r="E741" t="s">
        <v>1045</v>
      </c>
      <c r="F741" t="s">
        <v>277</v>
      </c>
      <c r="G741" t="s">
        <v>288</v>
      </c>
      <c r="H741" t="s">
        <v>608</v>
      </c>
      <c r="I741" t="s">
        <v>282</v>
      </c>
      <c r="J741" t="s">
        <v>1050</v>
      </c>
      <c r="K741" t="s">
        <v>361</v>
      </c>
      <c r="L741" t="s">
        <v>1051</v>
      </c>
      <c r="M741" t="s">
        <v>28</v>
      </c>
      <c r="N741" s="1">
        <f t="shared" si="166"/>
        <v>1</v>
      </c>
      <c r="O741" s="1">
        <f t="shared" si="167"/>
        <v>1</v>
      </c>
      <c r="P741" s="1">
        <f t="shared" si="168"/>
        <v>2</v>
      </c>
      <c r="Q741" s="1">
        <f t="shared" si="169"/>
        <v>0</v>
      </c>
      <c r="R741" s="1">
        <f t="shared" si="170"/>
        <v>1</v>
      </c>
      <c r="S741" s="1">
        <f t="shared" si="171"/>
        <v>0</v>
      </c>
      <c r="T741" s="1">
        <f t="shared" si="172"/>
        <v>1</v>
      </c>
      <c r="U741" s="26">
        <f t="shared" si="173"/>
        <v>1</v>
      </c>
      <c r="V741" s="26">
        <f t="shared" si="174"/>
        <v>0</v>
      </c>
      <c r="W741" s="1">
        <f t="shared" si="175"/>
        <v>1</v>
      </c>
      <c r="X741" s="26">
        <f t="shared" si="176"/>
        <v>1</v>
      </c>
      <c r="Y741" s="26">
        <f t="shared" si="177"/>
        <v>0</v>
      </c>
      <c r="Z741" s="1">
        <f t="shared" si="178"/>
        <v>1</v>
      </c>
      <c r="AA741"/>
      <c r="AB741"/>
    </row>
    <row r="742" spans="1:28" x14ac:dyDescent="0.55000000000000004">
      <c r="A742" s="1">
        <f t="shared" si="165"/>
        <v>742</v>
      </c>
      <c r="B742" t="s">
        <v>33</v>
      </c>
      <c r="C742" t="s">
        <v>111</v>
      </c>
      <c r="D742" t="s">
        <v>177</v>
      </c>
      <c r="E742" t="s">
        <v>1045</v>
      </c>
      <c r="F742" t="s">
        <v>290</v>
      </c>
      <c r="G742" t="s">
        <v>365</v>
      </c>
      <c r="H742" t="s">
        <v>581</v>
      </c>
      <c r="I742" t="s">
        <v>296</v>
      </c>
      <c r="J742" t="s">
        <v>1052</v>
      </c>
      <c r="K742" t="s">
        <v>369</v>
      </c>
      <c r="L742" t="s">
        <v>1053</v>
      </c>
      <c r="M742" t="s">
        <v>28</v>
      </c>
      <c r="N742" s="1">
        <f t="shared" si="166"/>
        <v>1</v>
      </c>
      <c r="O742" s="1">
        <f t="shared" si="167"/>
        <v>2</v>
      </c>
      <c r="P742" s="1">
        <f t="shared" si="168"/>
        <v>3</v>
      </c>
      <c r="Q742" s="1">
        <f t="shared" si="169"/>
        <v>1</v>
      </c>
      <c r="R742" s="1">
        <f t="shared" si="170"/>
        <v>1</v>
      </c>
      <c r="S742" s="1">
        <f t="shared" si="171"/>
        <v>1</v>
      </c>
      <c r="T742" s="1">
        <f t="shared" si="172"/>
        <v>1</v>
      </c>
      <c r="U742" s="26">
        <f t="shared" si="173"/>
        <v>1</v>
      </c>
      <c r="V742" s="26">
        <f t="shared" si="174"/>
        <v>0</v>
      </c>
      <c r="W742" s="1">
        <f t="shared" si="175"/>
        <v>1</v>
      </c>
      <c r="X742" s="26">
        <f t="shared" si="176"/>
        <v>1</v>
      </c>
      <c r="Y742" s="26">
        <f t="shared" si="177"/>
        <v>1</v>
      </c>
      <c r="Z742" s="1">
        <f t="shared" si="178"/>
        <v>1</v>
      </c>
      <c r="AA742"/>
      <c r="AB742"/>
    </row>
    <row r="743" spans="1:28" x14ac:dyDescent="0.55000000000000004">
      <c r="A743" s="1">
        <f t="shared" si="165"/>
        <v>743</v>
      </c>
      <c r="B743" t="s">
        <v>30</v>
      </c>
      <c r="C743" t="s">
        <v>153</v>
      </c>
      <c r="D743" t="s">
        <v>174</v>
      </c>
      <c r="E743" t="s">
        <v>1168</v>
      </c>
      <c r="F743" t="s">
        <v>181</v>
      </c>
      <c r="G743" t="s">
        <v>49</v>
      </c>
      <c r="H743" t="s">
        <v>573</v>
      </c>
      <c r="I743" t="s">
        <v>51</v>
      </c>
      <c r="J743" t="s">
        <v>1169</v>
      </c>
      <c r="K743" t="s">
        <v>72</v>
      </c>
      <c r="L743" t="s">
        <v>777</v>
      </c>
      <c r="M743" t="s">
        <v>28</v>
      </c>
      <c r="N743" s="1">
        <f t="shared" si="166"/>
        <v>2</v>
      </c>
      <c r="O743" s="1">
        <f t="shared" si="167"/>
        <v>0</v>
      </c>
      <c r="P743" s="1">
        <f t="shared" si="168"/>
        <v>2</v>
      </c>
      <c r="Q743" s="1">
        <f t="shared" si="169"/>
        <v>1</v>
      </c>
      <c r="R743" s="1">
        <f t="shared" si="170"/>
        <v>1</v>
      </c>
      <c r="S743" s="1">
        <f t="shared" si="171"/>
        <v>1</v>
      </c>
      <c r="T743" s="1">
        <f t="shared" si="172"/>
        <v>1</v>
      </c>
      <c r="U743" s="26">
        <f t="shared" si="173"/>
        <v>1</v>
      </c>
      <c r="V743" s="26">
        <f t="shared" si="174"/>
        <v>1</v>
      </c>
      <c r="W743" s="1">
        <f t="shared" si="175"/>
        <v>1</v>
      </c>
      <c r="X743" s="26">
        <f t="shared" si="176"/>
        <v>0</v>
      </c>
      <c r="Y743" s="26">
        <f t="shared" si="177"/>
        <v>0</v>
      </c>
      <c r="Z743" s="1">
        <f t="shared" si="178"/>
        <v>1</v>
      </c>
      <c r="AA743"/>
      <c r="AB743"/>
    </row>
    <row r="744" spans="1:28" x14ac:dyDescent="0.55000000000000004">
      <c r="A744" s="1">
        <f t="shared" si="165"/>
        <v>744</v>
      </c>
      <c r="B744" t="s">
        <v>35</v>
      </c>
      <c r="C744" t="s">
        <v>84</v>
      </c>
      <c r="D744" t="s">
        <v>174</v>
      </c>
      <c r="E744" t="s">
        <v>1168</v>
      </c>
      <c r="F744" t="s">
        <v>181</v>
      </c>
      <c r="G744" t="s">
        <v>205</v>
      </c>
      <c r="H744" t="s">
        <v>575</v>
      </c>
      <c r="I744" t="s">
        <v>214</v>
      </c>
      <c r="J744" t="s">
        <v>1230</v>
      </c>
      <c r="K744" t="s">
        <v>417</v>
      </c>
      <c r="L744" t="s">
        <v>835</v>
      </c>
      <c r="M744" t="s">
        <v>28</v>
      </c>
      <c r="N744" s="1">
        <f t="shared" si="166"/>
        <v>1</v>
      </c>
      <c r="O744" s="1">
        <f t="shared" si="167"/>
        <v>0</v>
      </c>
      <c r="P744" s="1">
        <f t="shared" si="168"/>
        <v>1</v>
      </c>
      <c r="Q744" s="1">
        <f t="shared" si="169"/>
        <v>1</v>
      </c>
      <c r="R744" s="1">
        <f t="shared" si="170"/>
        <v>1</v>
      </c>
      <c r="S744" s="1">
        <f t="shared" si="171"/>
        <v>1</v>
      </c>
      <c r="T744" s="1">
        <f t="shared" si="172"/>
        <v>1</v>
      </c>
      <c r="U744" s="26">
        <f t="shared" si="173"/>
        <v>1</v>
      </c>
      <c r="V744" s="26">
        <f t="shared" si="174"/>
        <v>0</v>
      </c>
      <c r="W744" s="1">
        <f t="shared" si="175"/>
        <v>1</v>
      </c>
      <c r="X744" s="26">
        <f t="shared" si="176"/>
        <v>0</v>
      </c>
      <c r="Y744" s="26">
        <f t="shared" si="177"/>
        <v>0</v>
      </c>
      <c r="Z744" s="1">
        <f t="shared" si="178"/>
        <v>0</v>
      </c>
      <c r="AA744"/>
      <c r="AB744"/>
    </row>
    <row r="745" spans="1:28" x14ac:dyDescent="0.55000000000000004">
      <c r="A745" s="1">
        <f t="shared" si="165"/>
        <v>745</v>
      </c>
      <c r="B745" t="s">
        <v>37</v>
      </c>
      <c r="C745" t="s">
        <v>119</v>
      </c>
      <c r="D745" t="s">
        <v>174</v>
      </c>
      <c r="E745" t="s">
        <v>1168</v>
      </c>
      <c r="F745" t="s">
        <v>315</v>
      </c>
      <c r="G745" t="s">
        <v>328</v>
      </c>
      <c r="H745" t="s">
        <v>708</v>
      </c>
      <c r="I745" t="s">
        <v>316</v>
      </c>
      <c r="J745" t="s">
        <v>1293</v>
      </c>
      <c r="K745" t="s">
        <v>329</v>
      </c>
      <c r="L745" t="s">
        <v>587</v>
      </c>
      <c r="M745" t="s">
        <v>28</v>
      </c>
      <c r="N745" s="1">
        <f t="shared" si="166"/>
        <v>0</v>
      </c>
      <c r="O745" s="1">
        <f t="shared" si="167"/>
        <v>0</v>
      </c>
      <c r="P745" s="1">
        <f t="shared" si="168"/>
        <v>0</v>
      </c>
      <c r="Q745" s="1">
        <f t="shared" si="169"/>
        <v>0</v>
      </c>
      <c r="R745" s="1">
        <f t="shared" si="170"/>
        <v>1</v>
      </c>
      <c r="S745" s="1">
        <f t="shared" si="171"/>
        <v>0</v>
      </c>
      <c r="T745" s="1">
        <f t="shared" si="172"/>
        <v>1</v>
      </c>
      <c r="U745" s="26">
        <f t="shared" si="173"/>
        <v>0</v>
      </c>
      <c r="V745" s="26">
        <f t="shared" si="174"/>
        <v>0</v>
      </c>
      <c r="W745" s="1">
        <f t="shared" si="175"/>
        <v>1</v>
      </c>
      <c r="X745" s="26">
        <f t="shared" si="176"/>
        <v>0</v>
      </c>
      <c r="Y745" s="26">
        <f t="shared" si="177"/>
        <v>0</v>
      </c>
      <c r="Z745" s="1">
        <f t="shared" si="178"/>
        <v>0</v>
      </c>
      <c r="AA745"/>
      <c r="AB745"/>
    </row>
    <row r="746" spans="1:28" x14ac:dyDescent="0.55000000000000004">
      <c r="A746" s="1">
        <f t="shared" si="165"/>
        <v>746</v>
      </c>
      <c r="B746" t="s">
        <v>37</v>
      </c>
      <c r="C746" t="s">
        <v>119</v>
      </c>
      <c r="D746" t="s">
        <v>174</v>
      </c>
      <c r="E746" t="s">
        <v>1168</v>
      </c>
      <c r="F746" t="s">
        <v>315</v>
      </c>
      <c r="G746" t="s">
        <v>318</v>
      </c>
      <c r="H746" t="s">
        <v>575</v>
      </c>
      <c r="I746" t="s">
        <v>324</v>
      </c>
      <c r="J746" t="s">
        <v>1294</v>
      </c>
      <c r="K746" t="s">
        <v>320</v>
      </c>
      <c r="L746" t="s">
        <v>1295</v>
      </c>
      <c r="M746" t="s">
        <v>28</v>
      </c>
      <c r="N746" s="1">
        <f t="shared" si="166"/>
        <v>1</v>
      </c>
      <c r="O746" s="1">
        <f t="shared" si="167"/>
        <v>0</v>
      </c>
      <c r="P746" s="1">
        <f t="shared" si="168"/>
        <v>1</v>
      </c>
      <c r="Q746" s="1">
        <f t="shared" si="169"/>
        <v>1</v>
      </c>
      <c r="R746" s="1">
        <f t="shared" si="170"/>
        <v>1</v>
      </c>
      <c r="S746" s="1">
        <f t="shared" si="171"/>
        <v>1</v>
      </c>
      <c r="T746" s="1">
        <f t="shared" si="172"/>
        <v>1</v>
      </c>
      <c r="U746" s="26">
        <f t="shared" si="173"/>
        <v>1</v>
      </c>
      <c r="V746" s="26">
        <f t="shared" si="174"/>
        <v>0</v>
      </c>
      <c r="W746" s="1">
        <f t="shared" si="175"/>
        <v>1</v>
      </c>
      <c r="X746" s="26">
        <f t="shared" si="176"/>
        <v>0</v>
      </c>
      <c r="Y746" s="26">
        <f t="shared" si="177"/>
        <v>0</v>
      </c>
      <c r="Z746" s="1">
        <f t="shared" si="178"/>
        <v>0</v>
      </c>
      <c r="AA746"/>
      <c r="AB746"/>
    </row>
    <row r="747" spans="1:28" x14ac:dyDescent="0.55000000000000004">
      <c r="A747" s="1">
        <f t="shared" si="165"/>
        <v>747</v>
      </c>
      <c r="B747" t="s">
        <v>37</v>
      </c>
      <c r="C747" t="s">
        <v>119</v>
      </c>
      <c r="D747" t="s">
        <v>174</v>
      </c>
      <c r="E747" t="s">
        <v>1168</v>
      </c>
      <c r="F747" t="s">
        <v>315</v>
      </c>
      <c r="G747" t="s">
        <v>326</v>
      </c>
      <c r="H747" t="s">
        <v>577</v>
      </c>
      <c r="I747" t="s">
        <v>319</v>
      </c>
      <c r="J747" t="s">
        <v>1296</v>
      </c>
      <c r="K747" t="s">
        <v>327</v>
      </c>
      <c r="L747" t="s">
        <v>875</v>
      </c>
      <c r="M747" t="s">
        <v>28</v>
      </c>
      <c r="N747" s="1">
        <f t="shared" si="166"/>
        <v>1</v>
      </c>
      <c r="O747" s="1">
        <f t="shared" si="167"/>
        <v>3</v>
      </c>
      <c r="P747" s="1">
        <f t="shared" si="168"/>
        <v>4</v>
      </c>
      <c r="Q747" s="1">
        <f t="shared" si="169"/>
        <v>1</v>
      </c>
      <c r="R747" s="1">
        <f t="shared" si="170"/>
        <v>1</v>
      </c>
      <c r="S747" s="1">
        <f t="shared" si="171"/>
        <v>1</v>
      </c>
      <c r="T747" s="1">
        <f t="shared" si="172"/>
        <v>1</v>
      </c>
      <c r="U747" s="26">
        <f t="shared" si="173"/>
        <v>1</v>
      </c>
      <c r="V747" s="26">
        <f t="shared" si="174"/>
        <v>0</v>
      </c>
      <c r="W747" s="1">
        <f t="shared" si="175"/>
        <v>0</v>
      </c>
      <c r="X747" s="26">
        <f t="shared" si="176"/>
        <v>1</v>
      </c>
      <c r="Y747" s="26">
        <f t="shared" si="177"/>
        <v>1</v>
      </c>
      <c r="Z747" s="1">
        <f t="shared" si="178"/>
        <v>1</v>
      </c>
      <c r="AA747"/>
      <c r="AB747"/>
    </row>
    <row r="748" spans="1:28" x14ac:dyDescent="0.55000000000000004">
      <c r="A748" s="1">
        <f t="shared" si="165"/>
        <v>748</v>
      </c>
      <c r="B748" t="s">
        <v>37</v>
      </c>
      <c r="C748" t="s">
        <v>119</v>
      </c>
      <c r="D748" t="s">
        <v>174</v>
      </c>
      <c r="E748" t="s">
        <v>1168</v>
      </c>
      <c r="F748" t="s">
        <v>315</v>
      </c>
      <c r="G748" t="s">
        <v>313</v>
      </c>
      <c r="H748" t="s">
        <v>577</v>
      </c>
      <c r="I748" t="s">
        <v>322</v>
      </c>
      <c r="J748" t="s">
        <v>1297</v>
      </c>
      <c r="K748" t="s">
        <v>317</v>
      </c>
      <c r="L748" t="s">
        <v>861</v>
      </c>
      <c r="M748" t="s">
        <v>28</v>
      </c>
      <c r="N748" s="1">
        <f t="shared" si="166"/>
        <v>1</v>
      </c>
      <c r="O748" s="1">
        <f t="shared" si="167"/>
        <v>3</v>
      </c>
      <c r="P748" s="1">
        <f t="shared" si="168"/>
        <v>4</v>
      </c>
      <c r="Q748" s="1">
        <f t="shared" si="169"/>
        <v>1</v>
      </c>
      <c r="R748" s="1">
        <f t="shared" si="170"/>
        <v>1</v>
      </c>
      <c r="S748" s="1">
        <f t="shared" si="171"/>
        <v>1</v>
      </c>
      <c r="T748" s="1">
        <f t="shared" si="172"/>
        <v>1</v>
      </c>
      <c r="U748" s="26">
        <f t="shared" si="173"/>
        <v>1</v>
      </c>
      <c r="V748" s="26">
        <f t="shared" si="174"/>
        <v>0</v>
      </c>
      <c r="W748" s="1">
        <f t="shared" si="175"/>
        <v>0</v>
      </c>
      <c r="X748" s="26">
        <f t="shared" si="176"/>
        <v>1</v>
      </c>
      <c r="Y748" s="26">
        <f t="shared" si="177"/>
        <v>1</v>
      </c>
      <c r="Z748" s="1">
        <f t="shared" si="178"/>
        <v>1</v>
      </c>
      <c r="AA748"/>
      <c r="AB748"/>
    </row>
    <row r="749" spans="1:28" x14ac:dyDescent="0.55000000000000004">
      <c r="A749" s="1">
        <f t="shared" si="165"/>
        <v>749</v>
      </c>
      <c r="B749" t="s">
        <v>37</v>
      </c>
      <c r="C749" t="s">
        <v>119</v>
      </c>
      <c r="D749" t="s">
        <v>174</v>
      </c>
      <c r="E749" t="s">
        <v>1168</v>
      </c>
      <c r="F749" t="s">
        <v>311</v>
      </c>
      <c r="G749" t="s">
        <v>312</v>
      </c>
      <c r="H749" t="s">
        <v>817</v>
      </c>
      <c r="I749" t="s">
        <v>321</v>
      </c>
      <c r="J749" t="s">
        <v>1298</v>
      </c>
      <c r="K749" t="s">
        <v>314</v>
      </c>
      <c r="L749" t="s">
        <v>591</v>
      </c>
      <c r="M749" t="s">
        <v>28</v>
      </c>
      <c r="N749" s="1">
        <f t="shared" si="166"/>
        <v>4</v>
      </c>
      <c r="O749" s="1">
        <f t="shared" si="167"/>
        <v>1</v>
      </c>
      <c r="P749" s="1">
        <f t="shared" si="168"/>
        <v>5</v>
      </c>
      <c r="Q749" s="1">
        <f t="shared" si="169"/>
        <v>1</v>
      </c>
      <c r="R749" s="1">
        <f t="shared" si="170"/>
        <v>0</v>
      </c>
      <c r="S749" s="1">
        <f t="shared" si="171"/>
        <v>0</v>
      </c>
      <c r="T749" s="1">
        <f t="shared" si="172"/>
        <v>0</v>
      </c>
      <c r="U749" s="26">
        <f t="shared" si="173"/>
        <v>0</v>
      </c>
      <c r="V749" s="26">
        <f t="shared" si="174"/>
        <v>1</v>
      </c>
      <c r="W749" s="1">
        <f t="shared" si="175"/>
        <v>1</v>
      </c>
      <c r="X749" s="26">
        <f t="shared" si="176"/>
        <v>1</v>
      </c>
      <c r="Y749" s="26">
        <f t="shared" si="177"/>
        <v>0</v>
      </c>
      <c r="Z749" s="1">
        <f t="shared" si="178"/>
        <v>1</v>
      </c>
      <c r="AA749"/>
      <c r="AB749"/>
    </row>
    <row r="750" spans="1:28" x14ac:dyDescent="0.55000000000000004">
      <c r="A750" s="1">
        <f t="shared" si="165"/>
        <v>750</v>
      </c>
      <c r="B750" t="s">
        <v>40</v>
      </c>
      <c r="C750" t="s">
        <v>132</v>
      </c>
      <c r="D750" t="s">
        <v>174</v>
      </c>
      <c r="E750" t="s">
        <v>1168</v>
      </c>
      <c r="F750" t="s">
        <v>247</v>
      </c>
      <c r="G750" t="s">
        <v>248</v>
      </c>
      <c r="H750" t="s">
        <v>575</v>
      </c>
      <c r="I750" t="s">
        <v>256</v>
      </c>
      <c r="J750" t="s">
        <v>1372</v>
      </c>
      <c r="K750" t="s">
        <v>250</v>
      </c>
      <c r="L750" t="s">
        <v>1018</v>
      </c>
      <c r="M750" t="s">
        <v>28</v>
      </c>
      <c r="N750" s="1">
        <f t="shared" si="166"/>
        <v>1</v>
      </c>
      <c r="O750" s="1">
        <f t="shared" si="167"/>
        <v>0</v>
      </c>
      <c r="P750" s="1">
        <f t="shared" si="168"/>
        <v>1</v>
      </c>
      <c r="Q750" s="1">
        <f t="shared" si="169"/>
        <v>1</v>
      </c>
      <c r="R750" s="1">
        <f t="shared" si="170"/>
        <v>1</v>
      </c>
      <c r="S750" s="1">
        <f t="shared" si="171"/>
        <v>1</v>
      </c>
      <c r="T750" s="1">
        <f t="shared" si="172"/>
        <v>1</v>
      </c>
      <c r="U750" s="26">
        <f t="shared" si="173"/>
        <v>1</v>
      </c>
      <c r="V750" s="26">
        <f t="shared" si="174"/>
        <v>0</v>
      </c>
      <c r="W750" s="1">
        <f t="shared" si="175"/>
        <v>1</v>
      </c>
      <c r="X750" s="26">
        <f t="shared" si="176"/>
        <v>0</v>
      </c>
      <c r="Y750" s="26">
        <f t="shared" si="177"/>
        <v>0</v>
      </c>
      <c r="Z750" s="1">
        <f t="shared" si="178"/>
        <v>0</v>
      </c>
      <c r="AA750"/>
      <c r="AB750"/>
    </row>
    <row r="751" spans="1:28" x14ac:dyDescent="0.55000000000000004">
      <c r="A751" s="1">
        <f t="shared" si="165"/>
        <v>751</v>
      </c>
      <c r="B751" t="s">
        <v>40</v>
      </c>
      <c r="C751" t="s">
        <v>132</v>
      </c>
      <c r="D751" t="s">
        <v>174</v>
      </c>
      <c r="E751" t="s">
        <v>1168</v>
      </c>
      <c r="F751" t="s">
        <v>247</v>
      </c>
      <c r="G751" t="s">
        <v>249</v>
      </c>
      <c r="H751" t="s">
        <v>575</v>
      </c>
      <c r="I751" t="s">
        <v>266</v>
      </c>
      <c r="J751" t="s">
        <v>1373</v>
      </c>
      <c r="K751" t="s">
        <v>262</v>
      </c>
      <c r="L751" t="s">
        <v>594</v>
      </c>
      <c r="M751" t="s">
        <v>28</v>
      </c>
      <c r="N751" s="1">
        <f t="shared" si="166"/>
        <v>1</v>
      </c>
      <c r="O751" s="1">
        <f t="shared" si="167"/>
        <v>0</v>
      </c>
      <c r="P751" s="1">
        <f t="shared" si="168"/>
        <v>1</v>
      </c>
      <c r="Q751" s="1">
        <f t="shared" si="169"/>
        <v>1</v>
      </c>
      <c r="R751" s="1">
        <f t="shared" si="170"/>
        <v>1</v>
      </c>
      <c r="S751" s="1">
        <f t="shared" si="171"/>
        <v>1</v>
      </c>
      <c r="T751" s="1">
        <f t="shared" si="172"/>
        <v>1</v>
      </c>
      <c r="U751" s="26">
        <f t="shared" si="173"/>
        <v>1</v>
      </c>
      <c r="V751" s="26">
        <f t="shared" si="174"/>
        <v>0</v>
      </c>
      <c r="W751" s="1">
        <f t="shared" si="175"/>
        <v>1</v>
      </c>
      <c r="X751" s="26">
        <f t="shared" si="176"/>
        <v>0</v>
      </c>
      <c r="Y751" s="26">
        <f t="shared" si="177"/>
        <v>0</v>
      </c>
      <c r="Z751" s="1">
        <f t="shared" si="178"/>
        <v>0</v>
      </c>
      <c r="AA751"/>
      <c r="AB751"/>
    </row>
    <row r="752" spans="1:28" x14ac:dyDescent="0.55000000000000004">
      <c r="A752" s="1">
        <f t="shared" si="165"/>
        <v>752</v>
      </c>
      <c r="B752" t="s">
        <v>40</v>
      </c>
      <c r="C752" t="s">
        <v>132</v>
      </c>
      <c r="D752" t="s">
        <v>174</v>
      </c>
      <c r="E752" t="s">
        <v>1168</v>
      </c>
      <c r="F752" t="s">
        <v>182</v>
      </c>
      <c r="G752" t="s">
        <v>261</v>
      </c>
      <c r="H752" t="s">
        <v>708</v>
      </c>
      <c r="I752" t="s">
        <v>255</v>
      </c>
      <c r="J752" t="s">
        <v>1147</v>
      </c>
      <c r="K752" t="s">
        <v>393</v>
      </c>
      <c r="L752" t="s">
        <v>596</v>
      </c>
      <c r="M752" t="s">
        <v>28</v>
      </c>
      <c r="N752" s="1">
        <f t="shared" si="166"/>
        <v>0</v>
      </c>
      <c r="O752" s="1">
        <f t="shared" si="167"/>
        <v>0</v>
      </c>
      <c r="P752" s="1">
        <f t="shared" si="168"/>
        <v>0</v>
      </c>
      <c r="Q752" s="1">
        <f t="shared" si="169"/>
        <v>0</v>
      </c>
      <c r="R752" s="1">
        <f t="shared" si="170"/>
        <v>1</v>
      </c>
      <c r="S752" s="1">
        <f t="shared" si="171"/>
        <v>0</v>
      </c>
      <c r="T752" s="1">
        <f t="shared" si="172"/>
        <v>1</v>
      </c>
      <c r="U752" s="26">
        <f t="shared" si="173"/>
        <v>0</v>
      </c>
      <c r="V752" s="26">
        <f t="shared" si="174"/>
        <v>0</v>
      </c>
      <c r="W752" s="1">
        <f t="shared" si="175"/>
        <v>1</v>
      </c>
      <c r="X752" s="26">
        <f t="shared" si="176"/>
        <v>0</v>
      </c>
      <c r="Y752" s="26">
        <f t="shared" si="177"/>
        <v>0</v>
      </c>
      <c r="Z752" s="1">
        <f t="shared" si="178"/>
        <v>0</v>
      </c>
      <c r="AA752"/>
      <c r="AB752"/>
    </row>
    <row r="753" spans="1:28" x14ac:dyDescent="0.55000000000000004">
      <c r="A753" s="1">
        <f t="shared" si="165"/>
        <v>753</v>
      </c>
      <c r="B753" t="s">
        <v>30</v>
      </c>
      <c r="C753" t="s">
        <v>153</v>
      </c>
      <c r="D753" t="s">
        <v>133</v>
      </c>
      <c r="E753" t="s">
        <v>1719</v>
      </c>
      <c r="F753" t="s">
        <v>346</v>
      </c>
      <c r="G753" t="s">
        <v>54</v>
      </c>
      <c r="H753" t="s">
        <v>590</v>
      </c>
      <c r="I753" t="s">
        <v>61</v>
      </c>
      <c r="J753" t="s">
        <v>1720</v>
      </c>
      <c r="K753" t="s">
        <v>56</v>
      </c>
      <c r="L753" t="s">
        <v>769</v>
      </c>
      <c r="M753" t="s">
        <v>28</v>
      </c>
      <c r="N753" s="1">
        <f t="shared" si="166"/>
        <v>0</v>
      </c>
      <c r="O753" s="1">
        <f t="shared" si="167"/>
        <v>1</v>
      </c>
      <c r="P753" s="1">
        <f t="shared" si="168"/>
        <v>1</v>
      </c>
      <c r="Q753" s="1">
        <f t="shared" si="169"/>
        <v>1</v>
      </c>
      <c r="R753" s="1">
        <f t="shared" si="170"/>
        <v>1</v>
      </c>
      <c r="S753" s="1">
        <f t="shared" si="171"/>
        <v>1</v>
      </c>
      <c r="T753" s="1">
        <f t="shared" si="172"/>
        <v>1</v>
      </c>
      <c r="U753" s="26">
        <f t="shared" si="173"/>
        <v>0</v>
      </c>
      <c r="V753" s="26">
        <f t="shared" si="174"/>
        <v>0</v>
      </c>
      <c r="W753" s="1">
        <f t="shared" si="175"/>
        <v>1</v>
      </c>
      <c r="X753" s="26">
        <f t="shared" si="176"/>
        <v>1</v>
      </c>
      <c r="Y753" s="26">
        <f t="shared" si="177"/>
        <v>0</v>
      </c>
      <c r="Z753" s="1">
        <f t="shared" si="178"/>
        <v>0</v>
      </c>
      <c r="AA753"/>
      <c r="AB753"/>
    </row>
    <row r="754" spans="1:28" x14ac:dyDescent="0.55000000000000004">
      <c r="A754" s="1">
        <f t="shared" si="165"/>
        <v>754</v>
      </c>
      <c r="B754" t="s">
        <v>30</v>
      </c>
      <c r="C754" t="s">
        <v>153</v>
      </c>
      <c r="D754" t="s">
        <v>133</v>
      </c>
      <c r="E754" t="s">
        <v>1719</v>
      </c>
      <c r="F754" t="s">
        <v>346</v>
      </c>
      <c r="G754" t="s">
        <v>44</v>
      </c>
      <c r="H754" t="s">
        <v>640</v>
      </c>
      <c r="I754" t="s">
        <v>55</v>
      </c>
      <c r="J754" t="s">
        <v>1721</v>
      </c>
      <c r="K754" t="s">
        <v>46</v>
      </c>
      <c r="L754" t="s">
        <v>794</v>
      </c>
      <c r="M754" t="s">
        <v>28</v>
      </c>
      <c r="N754" s="1">
        <f t="shared" si="166"/>
        <v>1</v>
      </c>
      <c r="O754" s="1">
        <f t="shared" si="167"/>
        <v>4</v>
      </c>
      <c r="P754" s="1">
        <f t="shared" si="168"/>
        <v>5</v>
      </c>
      <c r="Q754" s="1">
        <f t="shared" si="169"/>
        <v>1</v>
      </c>
      <c r="R754" s="1">
        <f t="shared" si="170"/>
        <v>0</v>
      </c>
      <c r="S754" s="1">
        <f t="shared" si="171"/>
        <v>0</v>
      </c>
      <c r="T754" s="1">
        <f t="shared" si="172"/>
        <v>1</v>
      </c>
      <c r="U754" s="26">
        <f t="shared" si="173"/>
        <v>1</v>
      </c>
      <c r="V754" s="26">
        <f t="shared" si="174"/>
        <v>0</v>
      </c>
      <c r="W754" s="1">
        <f t="shared" si="175"/>
        <v>0</v>
      </c>
      <c r="X754" s="26">
        <f t="shared" si="176"/>
        <v>0</v>
      </c>
      <c r="Y754" s="26">
        <f t="shared" si="177"/>
        <v>1</v>
      </c>
      <c r="Z754" s="1">
        <f t="shared" si="178"/>
        <v>1</v>
      </c>
      <c r="AA754"/>
      <c r="AB754"/>
    </row>
    <row r="755" spans="1:28" x14ac:dyDescent="0.55000000000000004">
      <c r="A755" s="1">
        <f t="shared" si="165"/>
        <v>755</v>
      </c>
      <c r="B755" t="s">
        <v>30</v>
      </c>
      <c r="C755" t="s">
        <v>153</v>
      </c>
      <c r="D755" t="s">
        <v>133</v>
      </c>
      <c r="E755" t="s">
        <v>1719</v>
      </c>
      <c r="F755" t="s">
        <v>350</v>
      </c>
      <c r="G755" t="s">
        <v>64</v>
      </c>
      <c r="H755" t="s">
        <v>590</v>
      </c>
      <c r="I755" t="s">
        <v>58</v>
      </c>
      <c r="J755" t="s">
        <v>1722</v>
      </c>
      <c r="K755" t="s">
        <v>62</v>
      </c>
      <c r="L755" t="s">
        <v>757</v>
      </c>
      <c r="M755" t="s">
        <v>28</v>
      </c>
      <c r="N755" s="1">
        <f t="shared" si="166"/>
        <v>0</v>
      </c>
      <c r="O755" s="1">
        <f t="shared" si="167"/>
        <v>1</v>
      </c>
      <c r="P755" s="1">
        <f t="shared" si="168"/>
        <v>1</v>
      </c>
      <c r="Q755" s="1">
        <f t="shared" si="169"/>
        <v>1</v>
      </c>
      <c r="R755" s="1">
        <f t="shared" si="170"/>
        <v>1</v>
      </c>
      <c r="S755" s="1">
        <f t="shared" si="171"/>
        <v>1</v>
      </c>
      <c r="T755" s="1">
        <f t="shared" si="172"/>
        <v>1</v>
      </c>
      <c r="U755" s="26">
        <f t="shared" si="173"/>
        <v>0</v>
      </c>
      <c r="V755" s="26">
        <f t="shared" si="174"/>
        <v>0</v>
      </c>
      <c r="W755" s="1">
        <f t="shared" si="175"/>
        <v>1</v>
      </c>
      <c r="X755" s="26">
        <f t="shared" si="176"/>
        <v>1</v>
      </c>
      <c r="Y755" s="26">
        <f t="shared" si="177"/>
        <v>0</v>
      </c>
      <c r="Z755" s="1">
        <f t="shared" si="178"/>
        <v>0</v>
      </c>
      <c r="AA755"/>
      <c r="AB755"/>
    </row>
    <row r="756" spans="1:28" x14ac:dyDescent="0.55000000000000004">
      <c r="A756" s="1">
        <f t="shared" si="165"/>
        <v>756</v>
      </c>
      <c r="B756" t="s">
        <v>33</v>
      </c>
      <c r="C756" t="s">
        <v>114</v>
      </c>
      <c r="D756" t="s">
        <v>133</v>
      </c>
      <c r="E756" t="s">
        <v>1719</v>
      </c>
      <c r="F756" t="s">
        <v>277</v>
      </c>
      <c r="G756" t="s">
        <v>360</v>
      </c>
      <c r="H756" t="s">
        <v>664</v>
      </c>
      <c r="I756" t="s">
        <v>292</v>
      </c>
      <c r="J756" t="s">
        <v>1776</v>
      </c>
      <c r="K756" t="s">
        <v>371</v>
      </c>
      <c r="L756" t="s">
        <v>806</v>
      </c>
      <c r="M756" t="s">
        <v>28</v>
      </c>
      <c r="N756" s="1">
        <f t="shared" si="166"/>
        <v>2</v>
      </c>
      <c r="O756" s="1">
        <f t="shared" si="167"/>
        <v>2</v>
      </c>
      <c r="P756" s="1">
        <f t="shared" si="168"/>
        <v>4</v>
      </c>
      <c r="Q756" s="1">
        <f t="shared" si="169"/>
        <v>0</v>
      </c>
      <c r="R756" s="1">
        <f t="shared" si="170"/>
        <v>1</v>
      </c>
      <c r="S756" s="1">
        <f t="shared" si="171"/>
        <v>0</v>
      </c>
      <c r="T756" s="1">
        <f t="shared" si="172"/>
        <v>1</v>
      </c>
      <c r="U756" s="26">
        <f t="shared" si="173"/>
        <v>1</v>
      </c>
      <c r="V756" s="26">
        <f t="shared" si="174"/>
        <v>1</v>
      </c>
      <c r="W756" s="1">
        <f t="shared" si="175"/>
        <v>1</v>
      </c>
      <c r="X756" s="26">
        <f t="shared" si="176"/>
        <v>1</v>
      </c>
      <c r="Y756" s="26">
        <f t="shared" si="177"/>
        <v>1</v>
      </c>
      <c r="Z756" s="1">
        <f t="shared" si="178"/>
        <v>1</v>
      </c>
      <c r="AA756"/>
      <c r="AB756"/>
    </row>
    <row r="757" spans="1:28" x14ac:dyDescent="0.55000000000000004">
      <c r="A757" s="1">
        <f t="shared" si="165"/>
        <v>757</v>
      </c>
      <c r="B757" t="s">
        <v>33</v>
      </c>
      <c r="C757" t="s">
        <v>114</v>
      </c>
      <c r="D757" t="s">
        <v>133</v>
      </c>
      <c r="E757" t="s">
        <v>1719</v>
      </c>
      <c r="F757" t="s">
        <v>290</v>
      </c>
      <c r="G757" t="s">
        <v>367</v>
      </c>
      <c r="H757" t="s">
        <v>722</v>
      </c>
      <c r="I757" t="s">
        <v>278</v>
      </c>
      <c r="J757" t="s">
        <v>1777</v>
      </c>
      <c r="K757" t="s">
        <v>368</v>
      </c>
      <c r="L757" t="s">
        <v>1055</v>
      </c>
      <c r="M757" t="s">
        <v>28</v>
      </c>
      <c r="N757" s="1">
        <f t="shared" si="166"/>
        <v>3</v>
      </c>
      <c r="O757" s="1">
        <f t="shared" si="167"/>
        <v>0</v>
      </c>
      <c r="P757" s="1">
        <f t="shared" si="168"/>
        <v>3</v>
      </c>
      <c r="Q757" s="1">
        <f t="shared" si="169"/>
        <v>1</v>
      </c>
      <c r="R757" s="1">
        <f t="shared" si="170"/>
        <v>1</v>
      </c>
      <c r="S757" s="1">
        <f t="shared" si="171"/>
        <v>1</v>
      </c>
      <c r="T757" s="1">
        <f t="shared" si="172"/>
        <v>0</v>
      </c>
      <c r="U757" s="26">
        <f t="shared" si="173"/>
        <v>1</v>
      </c>
      <c r="V757" s="26">
        <f t="shared" si="174"/>
        <v>1</v>
      </c>
      <c r="W757" s="1">
        <f t="shared" si="175"/>
        <v>1</v>
      </c>
      <c r="X757" s="26">
        <f t="shared" si="176"/>
        <v>0</v>
      </c>
      <c r="Y757" s="26">
        <f t="shared" si="177"/>
        <v>0</v>
      </c>
      <c r="Z757" s="1">
        <f t="shared" si="178"/>
        <v>1</v>
      </c>
      <c r="AA757"/>
      <c r="AB757"/>
    </row>
    <row r="758" spans="1:28" x14ac:dyDescent="0.55000000000000004">
      <c r="A758" s="1">
        <f t="shared" si="165"/>
        <v>758</v>
      </c>
      <c r="B758" t="s">
        <v>35</v>
      </c>
      <c r="C758" t="s">
        <v>84</v>
      </c>
      <c r="D758" t="s">
        <v>133</v>
      </c>
      <c r="E758" t="s">
        <v>1719</v>
      </c>
      <c r="F758" t="s">
        <v>380</v>
      </c>
      <c r="G758" t="s">
        <v>213</v>
      </c>
      <c r="H758" t="s">
        <v>579</v>
      </c>
      <c r="I758" t="s">
        <v>211</v>
      </c>
      <c r="J758" t="s">
        <v>1816</v>
      </c>
      <c r="K758" t="s">
        <v>215</v>
      </c>
      <c r="L758" t="s">
        <v>1069</v>
      </c>
      <c r="M758" t="s">
        <v>28</v>
      </c>
      <c r="N758" s="1">
        <f t="shared" si="166"/>
        <v>2</v>
      </c>
      <c r="O758" s="1">
        <f t="shared" si="167"/>
        <v>1</v>
      </c>
      <c r="P758" s="1">
        <f t="shared" si="168"/>
        <v>3</v>
      </c>
      <c r="Q758" s="1">
        <f t="shared" si="169"/>
        <v>1</v>
      </c>
      <c r="R758" s="1">
        <f t="shared" si="170"/>
        <v>1</v>
      </c>
      <c r="S758" s="1">
        <f t="shared" si="171"/>
        <v>1</v>
      </c>
      <c r="T758" s="1">
        <f t="shared" si="172"/>
        <v>1</v>
      </c>
      <c r="U758" s="26">
        <f t="shared" si="173"/>
        <v>1</v>
      </c>
      <c r="V758" s="26">
        <f t="shared" si="174"/>
        <v>1</v>
      </c>
      <c r="W758" s="1">
        <f t="shared" si="175"/>
        <v>1</v>
      </c>
      <c r="X758" s="26">
        <f t="shared" si="176"/>
        <v>1</v>
      </c>
      <c r="Y758" s="26">
        <f t="shared" si="177"/>
        <v>0</v>
      </c>
      <c r="Z758" s="1">
        <f t="shared" si="178"/>
        <v>1</v>
      </c>
      <c r="AA758"/>
      <c r="AB758"/>
    </row>
    <row r="759" spans="1:28" x14ac:dyDescent="0.55000000000000004">
      <c r="A759" s="1">
        <f t="shared" si="165"/>
        <v>759</v>
      </c>
      <c r="B759" t="s">
        <v>39</v>
      </c>
      <c r="C759" t="s">
        <v>116</v>
      </c>
      <c r="D759" t="s">
        <v>133</v>
      </c>
      <c r="E759" t="s">
        <v>1719</v>
      </c>
      <c r="F759" t="s">
        <v>342</v>
      </c>
      <c r="G759" t="s">
        <v>219</v>
      </c>
      <c r="H759" t="s">
        <v>579</v>
      </c>
      <c r="I759" t="s">
        <v>228</v>
      </c>
      <c r="J759" t="s">
        <v>1871</v>
      </c>
      <c r="K759" t="s">
        <v>221</v>
      </c>
      <c r="L759" t="s">
        <v>1154</v>
      </c>
      <c r="M759" t="s">
        <v>28</v>
      </c>
      <c r="N759" s="1">
        <f t="shared" si="166"/>
        <v>2</v>
      </c>
      <c r="O759" s="1">
        <f t="shared" si="167"/>
        <v>1</v>
      </c>
      <c r="P759" s="1">
        <f t="shared" si="168"/>
        <v>3</v>
      </c>
      <c r="Q759" s="1">
        <f t="shared" si="169"/>
        <v>1</v>
      </c>
      <c r="R759" s="1">
        <f t="shared" si="170"/>
        <v>1</v>
      </c>
      <c r="S759" s="1">
        <f t="shared" si="171"/>
        <v>1</v>
      </c>
      <c r="T759" s="1">
        <f t="shared" si="172"/>
        <v>1</v>
      </c>
      <c r="U759" s="26">
        <f t="shared" si="173"/>
        <v>1</v>
      </c>
      <c r="V759" s="26">
        <f t="shared" si="174"/>
        <v>1</v>
      </c>
      <c r="W759" s="1">
        <f t="shared" si="175"/>
        <v>1</v>
      </c>
      <c r="X759" s="26">
        <f t="shared" si="176"/>
        <v>1</v>
      </c>
      <c r="Y759" s="26">
        <f t="shared" si="177"/>
        <v>0</v>
      </c>
      <c r="Z759" s="1">
        <f t="shared" si="178"/>
        <v>1</v>
      </c>
      <c r="AA759"/>
      <c r="AB759"/>
    </row>
    <row r="760" spans="1:28" x14ac:dyDescent="0.55000000000000004">
      <c r="A760" s="1">
        <f t="shared" si="165"/>
        <v>760</v>
      </c>
      <c r="B760" t="s">
        <v>39</v>
      </c>
      <c r="C760" t="s">
        <v>116</v>
      </c>
      <c r="D760" t="s">
        <v>133</v>
      </c>
      <c r="E760" t="s">
        <v>1719</v>
      </c>
      <c r="F760" t="s">
        <v>343</v>
      </c>
      <c r="G760" t="s">
        <v>231</v>
      </c>
      <c r="H760" t="s">
        <v>708</v>
      </c>
      <c r="I760" t="s">
        <v>220</v>
      </c>
      <c r="J760" t="s">
        <v>1872</v>
      </c>
      <c r="K760" t="s">
        <v>233</v>
      </c>
      <c r="L760" t="s">
        <v>1007</v>
      </c>
      <c r="M760" t="s">
        <v>28</v>
      </c>
      <c r="N760" s="1">
        <f t="shared" si="166"/>
        <v>0</v>
      </c>
      <c r="O760" s="1">
        <f t="shared" si="167"/>
        <v>0</v>
      </c>
      <c r="P760" s="1">
        <f t="shared" si="168"/>
        <v>0</v>
      </c>
      <c r="Q760" s="1">
        <f t="shared" si="169"/>
        <v>0</v>
      </c>
      <c r="R760" s="1">
        <f t="shared" si="170"/>
        <v>1</v>
      </c>
      <c r="S760" s="1">
        <f t="shared" si="171"/>
        <v>0</v>
      </c>
      <c r="T760" s="1">
        <f t="shared" si="172"/>
        <v>1</v>
      </c>
      <c r="U760" s="26">
        <f t="shared" si="173"/>
        <v>0</v>
      </c>
      <c r="V760" s="26">
        <f t="shared" si="174"/>
        <v>0</v>
      </c>
      <c r="W760" s="1">
        <f t="shared" si="175"/>
        <v>1</v>
      </c>
      <c r="X760" s="26">
        <f t="shared" si="176"/>
        <v>0</v>
      </c>
      <c r="Y760" s="26">
        <f t="shared" si="177"/>
        <v>0</v>
      </c>
      <c r="Z760" s="1">
        <f t="shared" si="178"/>
        <v>0</v>
      </c>
      <c r="AA760"/>
      <c r="AB760"/>
    </row>
    <row r="761" spans="1:28" x14ac:dyDescent="0.55000000000000004">
      <c r="A761" s="1">
        <f t="shared" si="165"/>
        <v>761</v>
      </c>
      <c r="B761" t="s">
        <v>39</v>
      </c>
      <c r="C761" t="s">
        <v>116</v>
      </c>
      <c r="D761" t="s">
        <v>133</v>
      </c>
      <c r="E761" t="s">
        <v>1719</v>
      </c>
      <c r="F761" t="s">
        <v>343</v>
      </c>
      <c r="G761" t="s">
        <v>232</v>
      </c>
      <c r="H761" t="s">
        <v>739</v>
      </c>
      <c r="I761" t="s">
        <v>223</v>
      </c>
      <c r="J761" t="s">
        <v>1873</v>
      </c>
      <c r="K761" t="s">
        <v>238</v>
      </c>
      <c r="L761" t="s">
        <v>987</v>
      </c>
      <c r="M761" t="s">
        <v>28</v>
      </c>
      <c r="N761" s="1">
        <f t="shared" si="166"/>
        <v>0</v>
      </c>
      <c r="O761" s="1">
        <f t="shared" si="167"/>
        <v>3</v>
      </c>
      <c r="P761" s="1">
        <f t="shared" si="168"/>
        <v>3</v>
      </c>
      <c r="Q761" s="1">
        <f t="shared" si="169"/>
        <v>1</v>
      </c>
      <c r="R761" s="1">
        <f t="shared" si="170"/>
        <v>1</v>
      </c>
      <c r="S761" s="1">
        <f t="shared" si="171"/>
        <v>1</v>
      </c>
      <c r="T761" s="1">
        <f t="shared" si="172"/>
        <v>1</v>
      </c>
      <c r="U761" s="26">
        <f t="shared" si="173"/>
        <v>0</v>
      </c>
      <c r="V761" s="26">
        <f t="shared" si="174"/>
        <v>0</v>
      </c>
      <c r="W761" s="1">
        <f t="shared" si="175"/>
        <v>0</v>
      </c>
      <c r="X761" s="26">
        <f t="shared" si="176"/>
        <v>1</v>
      </c>
      <c r="Y761" s="26">
        <f t="shared" si="177"/>
        <v>1</v>
      </c>
      <c r="Z761" s="1">
        <f t="shared" si="178"/>
        <v>1</v>
      </c>
      <c r="AA761"/>
      <c r="AB761"/>
    </row>
    <row r="762" spans="1:28" x14ac:dyDescent="0.55000000000000004">
      <c r="A762" s="1">
        <f t="shared" si="165"/>
        <v>762</v>
      </c>
      <c r="B762" t="s">
        <v>39</v>
      </c>
      <c r="C762" t="s">
        <v>116</v>
      </c>
      <c r="D762" t="s">
        <v>133</v>
      </c>
      <c r="E762" t="s">
        <v>1719</v>
      </c>
      <c r="F762" t="s">
        <v>390</v>
      </c>
      <c r="G762" t="s">
        <v>226</v>
      </c>
      <c r="H762" t="s">
        <v>568</v>
      </c>
      <c r="I762" t="s">
        <v>229</v>
      </c>
      <c r="J762" t="s">
        <v>1874</v>
      </c>
      <c r="K762" t="s">
        <v>241</v>
      </c>
      <c r="L762" t="s">
        <v>1140</v>
      </c>
      <c r="M762" t="s">
        <v>28</v>
      </c>
      <c r="N762" s="1">
        <f t="shared" si="166"/>
        <v>0</v>
      </c>
      <c r="O762" s="1">
        <f t="shared" si="167"/>
        <v>2</v>
      </c>
      <c r="P762" s="1">
        <f t="shared" si="168"/>
        <v>2</v>
      </c>
      <c r="Q762" s="1">
        <f t="shared" si="169"/>
        <v>1</v>
      </c>
      <c r="R762" s="1">
        <f t="shared" si="170"/>
        <v>1</v>
      </c>
      <c r="S762" s="1">
        <f t="shared" si="171"/>
        <v>1</v>
      </c>
      <c r="T762" s="1">
        <f t="shared" si="172"/>
        <v>1</v>
      </c>
      <c r="U762" s="26">
        <f t="shared" si="173"/>
        <v>0</v>
      </c>
      <c r="V762" s="26">
        <f t="shared" si="174"/>
        <v>0</v>
      </c>
      <c r="W762" s="1">
        <f t="shared" si="175"/>
        <v>1</v>
      </c>
      <c r="X762" s="26">
        <f t="shared" si="176"/>
        <v>1</v>
      </c>
      <c r="Y762" s="26">
        <f t="shared" si="177"/>
        <v>1</v>
      </c>
      <c r="Z762" s="1">
        <f t="shared" si="178"/>
        <v>1</v>
      </c>
      <c r="AA762"/>
      <c r="AB762"/>
    </row>
    <row r="763" spans="1:28" x14ac:dyDescent="0.55000000000000004">
      <c r="A763" s="1">
        <f t="shared" si="165"/>
        <v>763</v>
      </c>
      <c r="B763" t="s">
        <v>40</v>
      </c>
      <c r="C763" t="s">
        <v>132</v>
      </c>
      <c r="D763" t="s">
        <v>133</v>
      </c>
      <c r="E763" t="s">
        <v>1719</v>
      </c>
      <c r="F763" t="s">
        <v>394</v>
      </c>
      <c r="G763" t="s">
        <v>260</v>
      </c>
      <c r="H763" t="s">
        <v>573</v>
      </c>
      <c r="I763" t="s">
        <v>265</v>
      </c>
      <c r="J763" t="s">
        <v>1907</v>
      </c>
      <c r="K763" t="s">
        <v>250</v>
      </c>
      <c r="L763" t="s">
        <v>595</v>
      </c>
      <c r="M763" t="s">
        <v>28</v>
      </c>
      <c r="N763" s="1">
        <f t="shared" si="166"/>
        <v>2</v>
      </c>
      <c r="O763" s="1">
        <f t="shared" si="167"/>
        <v>0</v>
      </c>
      <c r="P763" s="1">
        <f t="shared" si="168"/>
        <v>2</v>
      </c>
      <c r="Q763" s="1">
        <f t="shared" si="169"/>
        <v>1</v>
      </c>
      <c r="R763" s="1">
        <f t="shared" si="170"/>
        <v>1</v>
      </c>
      <c r="S763" s="1">
        <f t="shared" si="171"/>
        <v>1</v>
      </c>
      <c r="T763" s="1">
        <f t="shared" si="172"/>
        <v>1</v>
      </c>
      <c r="U763" s="26">
        <f t="shared" si="173"/>
        <v>1</v>
      </c>
      <c r="V763" s="26">
        <f t="shared" si="174"/>
        <v>1</v>
      </c>
      <c r="W763" s="1">
        <f t="shared" si="175"/>
        <v>1</v>
      </c>
      <c r="X763" s="26">
        <f t="shared" si="176"/>
        <v>0</v>
      </c>
      <c r="Y763" s="26">
        <f t="shared" si="177"/>
        <v>0</v>
      </c>
      <c r="Z763" s="1">
        <f t="shared" si="178"/>
        <v>1</v>
      </c>
      <c r="AA763"/>
      <c r="AB763"/>
    </row>
    <row r="764" spans="1:28" x14ac:dyDescent="0.55000000000000004">
      <c r="A764" s="1">
        <f t="shared" si="165"/>
        <v>764</v>
      </c>
      <c r="B764" t="s">
        <v>40</v>
      </c>
      <c r="C764" t="s">
        <v>132</v>
      </c>
      <c r="D764" t="s">
        <v>133</v>
      </c>
      <c r="E764" t="s">
        <v>1719</v>
      </c>
      <c r="F764" t="s">
        <v>392</v>
      </c>
      <c r="G764" t="s">
        <v>263</v>
      </c>
      <c r="H764" t="s">
        <v>608</v>
      </c>
      <c r="I764" t="s">
        <v>258</v>
      </c>
      <c r="J764" t="s">
        <v>1908</v>
      </c>
      <c r="K764" t="s">
        <v>264</v>
      </c>
      <c r="L764" t="s">
        <v>1909</v>
      </c>
      <c r="M764" t="s">
        <v>28</v>
      </c>
      <c r="N764" s="1">
        <f t="shared" si="166"/>
        <v>1</v>
      </c>
      <c r="O764" s="1">
        <f t="shared" si="167"/>
        <v>1</v>
      </c>
      <c r="P764" s="1">
        <f t="shared" si="168"/>
        <v>2</v>
      </c>
      <c r="Q764" s="1">
        <f t="shared" si="169"/>
        <v>0</v>
      </c>
      <c r="R764" s="1">
        <f t="shared" si="170"/>
        <v>1</v>
      </c>
      <c r="S764" s="1">
        <f t="shared" si="171"/>
        <v>0</v>
      </c>
      <c r="T764" s="1">
        <f t="shared" si="172"/>
        <v>1</v>
      </c>
      <c r="U764" s="26">
        <f t="shared" si="173"/>
        <v>1</v>
      </c>
      <c r="V764" s="26">
        <f t="shared" si="174"/>
        <v>0</v>
      </c>
      <c r="W764" s="1">
        <f t="shared" si="175"/>
        <v>1</v>
      </c>
      <c r="X764" s="26">
        <f t="shared" si="176"/>
        <v>1</v>
      </c>
      <c r="Y764" s="26">
        <f t="shared" si="177"/>
        <v>0</v>
      </c>
      <c r="Z764" s="1">
        <f t="shared" si="178"/>
        <v>1</v>
      </c>
      <c r="AA764"/>
      <c r="AB764"/>
    </row>
    <row r="765" spans="1:28" x14ac:dyDescent="0.55000000000000004">
      <c r="A765" s="1">
        <f t="shared" si="165"/>
        <v>765</v>
      </c>
      <c r="B765" t="s">
        <v>30</v>
      </c>
      <c r="C765" t="s">
        <v>153</v>
      </c>
      <c r="D765" t="s">
        <v>42</v>
      </c>
      <c r="E765" t="s">
        <v>1397</v>
      </c>
      <c r="F765" t="s">
        <v>380</v>
      </c>
      <c r="G765" t="s">
        <v>45</v>
      </c>
      <c r="H765" t="s">
        <v>573</v>
      </c>
      <c r="I765" t="s">
        <v>57</v>
      </c>
      <c r="J765" t="s">
        <v>1398</v>
      </c>
      <c r="K765" t="s">
        <v>74</v>
      </c>
      <c r="L765" t="s">
        <v>759</v>
      </c>
      <c r="M765" t="s">
        <v>28</v>
      </c>
      <c r="N765" s="1">
        <f t="shared" si="166"/>
        <v>2</v>
      </c>
      <c r="O765" s="1">
        <f t="shared" si="167"/>
        <v>0</v>
      </c>
      <c r="P765" s="1">
        <f t="shared" si="168"/>
        <v>2</v>
      </c>
      <c r="Q765" s="1">
        <f t="shared" si="169"/>
        <v>1</v>
      </c>
      <c r="R765" s="1">
        <f t="shared" si="170"/>
        <v>1</v>
      </c>
      <c r="S765" s="1">
        <f t="shared" si="171"/>
        <v>1</v>
      </c>
      <c r="T765" s="1">
        <f t="shared" si="172"/>
        <v>1</v>
      </c>
      <c r="U765" s="26">
        <f t="shared" si="173"/>
        <v>1</v>
      </c>
      <c r="V765" s="26">
        <f t="shared" si="174"/>
        <v>1</v>
      </c>
      <c r="W765" s="1">
        <f t="shared" si="175"/>
        <v>1</v>
      </c>
      <c r="X765" s="26">
        <f t="shared" si="176"/>
        <v>0</v>
      </c>
      <c r="Y765" s="26">
        <f t="shared" si="177"/>
        <v>0</v>
      </c>
      <c r="Z765" s="1">
        <f t="shared" si="178"/>
        <v>1</v>
      </c>
      <c r="AA765"/>
      <c r="AB765"/>
    </row>
    <row r="766" spans="1:28" x14ac:dyDescent="0.55000000000000004">
      <c r="A766" s="1">
        <f t="shared" si="165"/>
        <v>766</v>
      </c>
      <c r="B766" t="s">
        <v>30</v>
      </c>
      <c r="C766" t="s">
        <v>153</v>
      </c>
      <c r="D766" t="s">
        <v>42</v>
      </c>
      <c r="E766" t="s">
        <v>1397</v>
      </c>
      <c r="F766" t="s">
        <v>380</v>
      </c>
      <c r="G766" t="s">
        <v>63</v>
      </c>
      <c r="H766" t="s">
        <v>798</v>
      </c>
      <c r="I766" t="s">
        <v>52</v>
      </c>
      <c r="J766" t="s">
        <v>1399</v>
      </c>
      <c r="K766" t="s">
        <v>65</v>
      </c>
      <c r="L766" t="s">
        <v>761</v>
      </c>
      <c r="M766" t="s">
        <v>28</v>
      </c>
      <c r="N766" s="1">
        <f t="shared" si="166"/>
        <v>2</v>
      </c>
      <c r="O766" s="1">
        <f t="shared" si="167"/>
        <v>4</v>
      </c>
      <c r="P766" s="1">
        <f t="shared" si="168"/>
        <v>6</v>
      </c>
      <c r="Q766" s="1">
        <f t="shared" si="169"/>
        <v>1</v>
      </c>
      <c r="R766" s="1">
        <f t="shared" si="170"/>
        <v>0</v>
      </c>
      <c r="S766" s="1">
        <f t="shared" si="171"/>
        <v>0</v>
      </c>
      <c r="T766" s="1">
        <f t="shared" si="172"/>
        <v>1</v>
      </c>
      <c r="U766" s="26">
        <f t="shared" si="173"/>
        <v>1</v>
      </c>
      <c r="V766" s="26">
        <f t="shared" si="174"/>
        <v>1</v>
      </c>
      <c r="W766" s="1">
        <f t="shared" si="175"/>
        <v>0</v>
      </c>
      <c r="X766" s="26">
        <f t="shared" si="176"/>
        <v>0</v>
      </c>
      <c r="Y766" s="26">
        <f t="shared" si="177"/>
        <v>1</v>
      </c>
      <c r="Z766" s="1">
        <f t="shared" si="178"/>
        <v>1</v>
      </c>
      <c r="AA766"/>
      <c r="AB766"/>
    </row>
    <row r="767" spans="1:28" x14ac:dyDescent="0.55000000000000004">
      <c r="A767" s="1">
        <f t="shared" si="165"/>
        <v>767</v>
      </c>
      <c r="B767" t="s">
        <v>30</v>
      </c>
      <c r="C767" t="s">
        <v>153</v>
      </c>
      <c r="D767" t="s">
        <v>42</v>
      </c>
      <c r="E767" t="s">
        <v>1397</v>
      </c>
      <c r="F767" t="s">
        <v>398</v>
      </c>
      <c r="G767" t="s">
        <v>67</v>
      </c>
      <c r="H767" t="s">
        <v>683</v>
      </c>
      <c r="I767" t="s">
        <v>66</v>
      </c>
      <c r="J767" t="s">
        <v>1400</v>
      </c>
      <c r="K767" t="s">
        <v>73</v>
      </c>
      <c r="L767" t="s">
        <v>767</v>
      </c>
      <c r="M767" t="s">
        <v>28</v>
      </c>
      <c r="N767" s="1">
        <f t="shared" si="166"/>
        <v>3</v>
      </c>
      <c r="O767" s="1">
        <f t="shared" si="167"/>
        <v>2</v>
      </c>
      <c r="P767" s="1">
        <f t="shared" si="168"/>
        <v>5</v>
      </c>
      <c r="Q767" s="1">
        <f t="shared" si="169"/>
        <v>1</v>
      </c>
      <c r="R767" s="1">
        <f t="shared" si="170"/>
        <v>0</v>
      </c>
      <c r="S767" s="1">
        <f t="shared" si="171"/>
        <v>0</v>
      </c>
      <c r="T767" s="1">
        <f t="shared" si="172"/>
        <v>0</v>
      </c>
      <c r="U767" s="26">
        <f t="shared" si="173"/>
        <v>1</v>
      </c>
      <c r="V767" s="26">
        <f t="shared" si="174"/>
        <v>1</v>
      </c>
      <c r="W767" s="1">
        <f t="shared" si="175"/>
        <v>1</v>
      </c>
      <c r="X767" s="26">
        <f t="shared" si="176"/>
        <v>1</v>
      </c>
      <c r="Y767" s="26">
        <f t="shared" si="177"/>
        <v>1</v>
      </c>
      <c r="Z767" s="1">
        <f t="shared" si="178"/>
        <v>1</v>
      </c>
      <c r="AA767"/>
      <c r="AB767"/>
    </row>
    <row r="768" spans="1:28" x14ac:dyDescent="0.55000000000000004">
      <c r="A768" s="1">
        <f t="shared" si="165"/>
        <v>768</v>
      </c>
      <c r="B768" t="s">
        <v>33</v>
      </c>
      <c r="C768" t="s">
        <v>114</v>
      </c>
      <c r="D768" t="s">
        <v>42</v>
      </c>
      <c r="E768" t="s">
        <v>1397</v>
      </c>
      <c r="F768" t="s">
        <v>358</v>
      </c>
      <c r="G768" t="s">
        <v>291</v>
      </c>
      <c r="H768" t="s">
        <v>608</v>
      </c>
      <c r="I768" t="s">
        <v>287</v>
      </c>
      <c r="J768" t="s">
        <v>1447</v>
      </c>
      <c r="K768" t="s">
        <v>293</v>
      </c>
      <c r="L768" t="s">
        <v>812</v>
      </c>
      <c r="M768" t="s">
        <v>28</v>
      </c>
      <c r="N768" s="1">
        <f t="shared" si="166"/>
        <v>1</v>
      </c>
      <c r="O768" s="1">
        <f t="shared" si="167"/>
        <v>1</v>
      </c>
      <c r="P768" s="1">
        <f t="shared" si="168"/>
        <v>2</v>
      </c>
      <c r="Q768" s="1">
        <f t="shared" si="169"/>
        <v>0</v>
      </c>
      <c r="R768" s="1">
        <f t="shared" si="170"/>
        <v>1</v>
      </c>
      <c r="S768" s="1">
        <f t="shared" si="171"/>
        <v>0</v>
      </c>
      <c r="T768" s="1">
        <f t="shared" si="172"/>
        <v>1</v>
      </c>
      <c r="U768" s="26">
        <f t="shared" si="173"/>
        <v>1</v>
      </c>
      <c r="V768" s="26">
        <f t="shared" si="174"/>
        <v>0</v>
      </c>
      <c r="W768" s="1">
        <f t="shared" si="175"/>
        <v>1</v>
      </c>
      <c r="X768" s="26">
        <f t="shared" si="176"/>
        <v>1</v>
      </c>
      <c r="Y768" s="26">
        <f t="shared" si="177"/>
        <v>0</v>
      </c>
      <c r="Z768" s="1">
        <f t="shared" si="178"/>
        <v>1</v>
      </c>
      <c r="AA768"/>
      <c r="AB768"/>
    </row>
    <row r="769" spans="1:28" x14ac:dyDescent="0.55000000000000004">
      <c r="A769" s="1">
        <f t="shared" si="165"/>
        <v>769</v>
      </c>
      <c r="B769" t="s">
        <v>33</v>
      </c>
      <c r="C769" t="s">
        <v>114</v>
      </c>
      <c r="D769" t="s">
        <v>42</v>
      </c>
      <c r="E769" t="s">
        <v>1397</v>
      </c>
      <c r="F769" t="s">
        <v>407</v>
      </c>
      <c r="G769" t="s">
        <v>282</v>
      </c>
      <c r="H769" t="s">
        <v>581</v>
      </c>
      <c r="I769" t="s">
        <v>284</v>
      </c>
      <c r="J769" t="s">
        <v>1448</v>
      </c>
      <c r="K769" t="s">
        <v>295</v>
      </c>
      <c r="L769" t="s">
        <v>1449</v>
      </c>
      <c r="M769" t="s">
        <v>28</v>
      </c>
      <c r="N769" s="1">
        <f t="shared" si="166"/>
        <v>1</v>
      </c>
      <c r="O769" s="1">
        <f t="shared" si="167"/>
        <v>2</v>
      </c>
      <c r="P769" s="1">
        <f t="shared" si="168"/>
        <v>3</v>
      </c>
      <c r="Q769" s="1">
        <f t="shared" si="169"/>
        <v>1</v>
      </c>
      <c r="R769" s="1">
        <f t="shared" si="170"/>
        <v>1</v>
      </c>
      <c r="S769" s="1">
        <f t="shared" si="171"/>
        <v>1</v>
      </c>
      <c r="T769" s="1">
        <f t="shared" si="172"/>
        <v>1</v>
      </c>
      <c r="U769" s="26">
        <f t="shared" si="173"/>
        <v>1</v>
      </c>
      <c r="V769" s="26">
        <f t="shared" si="174"/>
        <v>0</v>
      </c>
      <c r="W769" s="1">
        <f t="shared" si="175"/>
        <v>1</v>
      </c>
      <c r="X769" s="26">
        <f t="shared" si="176"/>
        <v>1</v>
      </c>
      <c r="Y769" s="26">
        <f t="shared" si="177"/>
        <v>1</v>
      </c>
      <c r="Z769" s="1">
        <f t="shared" si="178"/>
        <v>1</v>
      </c>
      <c r="AA769"/>
      <c r="AB769"/>
    </row>
    <row r="770" spans="1:28" x14ac:dyDescent="0.55000000000000004">
      <c r="A770" s="1">
        <f t="shared" si="165"/>
        <v>770</v>
      </c>
      <c r="B770" t="s">
        <v>33</v>
      </c>
      <c r="C770" t="s">
        <v>114</v>
      </c>
      <c r="D770" t="s">
        <v>42</v>
      </c>
      <c r="E770" t="s">
        <v>1397</v>
      </c>
      <c r="F770" t="s">
        <v>364</v>
      </c>
      <c r="G770" t="s">
        <v>362</v>
      </c>
      <c r="H770" t="s">
        <v>581</v>
      </c>
      <c r="I770" t="s">
        <v>365</v>
      </c>
      <c r="J770" t="s">
        <v>1450</v>
      </c>
      <c r="K770" t="s">
        <v>363</v>
      </c>
      <c r="L770" t="s">
        <v>808</v>
      </c>
      <c r="M770" t="s">
        <v>28</v>
      </c>
      <c r="N770" s="1">
        <f t="shared" si="166"/>
        <v>1</v>
      </c>
      <c r="O770" s="1">
        <f t="shared" si="167"/>
        <v>2</v>
      </c>
      <c r="P770" s="1">
        <f t="shared" si="168"/>
        <v>3</v>
      </c>
      <c r="Q770" s="1">
        <f t="shared" si="169"/>
        <v>1</v>
      </c>
      <c r="R770" s="1">
        <f t="shared" si="170"/>
        <v>1</v>
      </c>
      <c r="S770" s="1">
        <f t="shared" si="171"/>
        <v>1</v>
      </c>
      <c r="T770" s="1">
        <f t="shared" si="172"/>
        <v>1</v>
      </c>
      <c r="U770" s="26">
        <f t="shared" si="173"/>
        <v>1</v>
      </c>
      <c r="V770" s="26">
        <f t="shared" si="174"/>
        <v>0</v>
      </c>
      <c r="W770" s="1">
        <f t="shared" si="175"/>
        <v>1</v>
      </c>
      <c r="X770" s="26">
        <f t="shared" si="176"/>
        <v>1</v>
      </c>
      <c r="Y770" s="26">
        <f t="shared" si="177"/>
        <v>1</v>
      </c>
      <c r="Z770" s="1">
        <f t="shared" si="178"/>
        <v>1</v>
      </c>
      <c r="AA770"/>
      <c r="AB770"/>
    </row>
    <row r="771" spans="1:28" x14ac:dyDescent="0.55000000000000004">
      <c r="A771" s="1">
        <f t="shared" ref="A771:A834" si="179">A770+1</f>
        <v>771</v>
      </c>
      <c r="B771" t="s">
        <v>33</v>
      </c>
      <c r="C771" t="s">
        <v>114</v>
      </c>
      <c r="D771" t="s">
        <v>42</v>
      </c>
      <c r="E771" t="s">
        <v>1397</v>
      </c>
      <c r="F771" t="s">
        <v>277</v>
      </c>
      <c r="G771" t="s">
        <v>296</v>
      </c>
      <c r="H771" t="s">
        <v>608</v>
      </c>
      <c r="I771" t="s">
        <v>299</v>
      </c>
      <c r="J771" t="s">
        <v>1451</v>
      </c>
      <c r="K771" t="s">
        <v>297</v>
      </c>
      <c r="L771" t="s">
        <v>820</v>
      </c>
      <c r="M771" t="s">
        <v>28</v>
      </c>
      <c r="N771" s="1">
        <f t="shared" ref="N771:N834" si="180">VALUE(LEFT(H771,1))</f>
        <v>1</v>
      </c>
      <c r="O771" s="1">
        <f t="shared" ref="O771:O834" si="181">VALUE(RIGHT(H771,1))</f>
        <v>1</v>
      </c>
      <c r="P771" s="1">
        <f t="shared" ref="P771:P834" si="182">SUM(N771,O771)</f>
        <v>2</v>
      </c>
      <c r="Q771" s="1">
        <f t="shared" ref="Q771:Q834" si="183">IF(N771&lt;&gt;O771, 1, 0)</f>
        <v>0</v>
      </c>
      <c r="R771" s="1">
        <f t="shared" ref="R771:R834" si="184">IF(P771&lt;=4,1,0)</f>
        <v>1</v>
      </c>
      <c r="S771" s="1">
        <f t="shared" ref="S771:S834" si="185">IF(AND(Q771=1,R771=1),1,0)</f>
        <v>0</v>
      </c>
      <c r="T771" s="1">
        <f t="shared" ref="T771:T834" si="186">IF(N771&lt;=2,1,0)</f>
        <v>1</v>
      </c>
      <c r="U771" s="26">
        <f t="shared" ref="U771:U834" si="187">IF(AND(N771&gt;=1,N771&lt;=3),1,0)</f>
        <v>1</v>
      </c>
      <c r="V771" s="26">
        <f t="shared" ref="V771:V834" si="188">IF(AND(N771&gt;=2,N771&lt;=5),1,0)</f>
        <v>0</v>
      </c>
      <c r="W771" s="1">
        <f t="shared" ref="W771:W834" si="189">IF(O771&lt;=2,1,0)</f>
        <v>1</v>
      </c>
      <c r="X771" s="26">
        <f t="shared" ref="X771:X834" si="190">IF(AND(O771&gt;=1,O771&lt;=3),1,0)</f>
        <v>1</v>
      </c>
      <c r="Y771" s="26">
        <f t="shared" ref="Y771:Y834" si="191">IF(AND(O771&gt;=2,O771&lt;=5),1,0)</f>
        <v>0</v>
      </c>
      <c r="Z771" s="1">
        <f t="shared" ref="Z771:Z834" si="192">IF(P771&gt;=2,1,0)</f>
        <v>1</v>
      </c>
      <c r="AA771"/>
      <c r="AB771"/>
    </row>
    <row r="772" spans="1:28" x14ac:dyDescent="0.55000000000000004">
      <c r="A772" s="1">
        <f t="shared" si="179"/>
        <v>772</v>
      </c>
      <c r="B772" t="s">
        <v>33</v>
      </c>
      <c r="C772" t="s">
        <v>114</v>
      </c>
      <c r="D772" t="s">
        <v>42</v>
      </c>
      <c r="E772" t="s">
        <v>1397</v>
      </c>
      <c r="F772" t="s">
        <v>277</v>
      </c>
      <c r="G772" t="s">
        <v>281</v>
      </c>
      <c r="H772" t="s">
        <v>664</v>
      </c>
      <c r="I772" t="s">
        <v>288</v>
      </c>
      <c r="J772" t="s">
        <v>1452</v>
      </c>
      <c r="K772" t="s">
        <v>283</v>
      </c>
      <c r="L772" t="s">
        <v>1208</v>
      </c>
      <c r="M772" t="s">
        <v>28</v>
      </c>
      <c r="N772" s="1">
        <f t="shared" si="180"/>
        <v>2</v>
      </c>
      <c r="O772" s="1">
        <f t="shared" si="181"/>
        <v>2</v>
      </c>
      <c r="P772" s="1">
        <f t="shared" si="182"/>
        <v>4</v>
      </c>
      <c r="Q772" s="1">
        <f t="shared" si="183"/>
        <v>0</v>
      </c>
      <c r="R772" s="1">
        <f t="shared" si="184"/>
        <v>1</v>
      </c>
      <c r="S772" s="1">
        <f t="shared" si="185"/>
        <v>0</v>
      </c>
      <c r="T772" s="1">
        <f t="shared" si="186"/>
        <v>1</v>
      </c>
      <c r="U772" s="26">
        <f t="shared" si="187"/>
        <v>1</v>
      </c>
      <c r="V772" s="26">
        <f t="shared" si="188"/>
        <v>1</v>
      </c>
      <c r="W772" s="1">
        <f t="shared" si="189"/>
        <v>1</v>
      </c>
      <c r="X772" s="26">
        <f t="shared" si="190"/>
        <v>1</v>
      </c>
      <c r="Y772" s="26">
        <f t="shared" si="191"/>
        <v>1</v>
      </c>
      <c r="Z772" s="1">
        <f t="shared" si="192"/>
        <v>1</v>
      </c>
      <c r="AA772"/>
      <c r="AB772"/>
    </row>
    <row r="773" spans="1:28" x14ac:dyDescent="0.55000000000000004">
      <c r="A773" s="1">
        <f t="shared" si="179"/>
        <v>773</v>
      </c>
      <c r="B773" t="s">
        <v>33</v>
      </c>
      <c r="C773" t="s">
        <v>114</v>
      </c>
      <c r="D773" t="s">
        <v>42</v>
      </c>
      <c r="E773" t="s">
        <v>1397</v>
      </c>
      <c r="F773" t="s">
        <v>290</v>
      </c>
      <c r="G773" t="s">
        <v>285</v>
      </c>
      <c r="H773" t="s">
        <v>570</v>
      </c>
      <c r="I773" t="s">
        <v>279</v>
      </c>
      <c r="J773" t="s">
        <v>1453</v>
      </c>
      <c r="K773" t="s">
        <v>359</v>
      </c>
      <c r="L773" t="s">
        <v>1199</v>
      </c>
      <c r="M773" t="s">
        <v>28</v>
      </c>
      <c r="N773" s="1">
        <f t="shared" si="180"/>
        <v>3</v>
      </c>
      <c r="O773" s="1">
        <f t="shared" si="181"/>
        <v>1</v>
      </c>
      <c r="P773" s="1">
        <f t="shared" si="182"/>
        <v>4</v>
      </c>
      <c r="Q773" s="1">
        <f t="shared" si="183"/>
        <v>1</v>
      </c>
      <c r="R773" s="1">
        <f t="shared" si="184"/>
        <v>1</v>
      </c>
      <c r="S773" s="1">
        <f t="shared" si="185"/>
        <v>1</v>
      </c>
      <c r="T773" s="1">
        <f t="shared" si="186"/>
        <v>0</v>
      </c>
      <c r="U773" s="26">
        <f t="shared" si="187"/>
        <v>1</v>
      </c>
      <c r="V773" s="26">
        <f t="shared" si="188"/>
        <v>1</v>
      </c>
      <c r="W773" s="1">
        <f t="shared" si="189"/>
        <v>1</v>
      </c>
      <c r="X773" s="26">
        <f t="shared" si="190"/>
        <v>1</v>
      </c>
      <c r="Y773" s="26">
        <f t="shared" si="191"/>
        <v>0</v>
      </c>
      <c r="Z773" s="1">
        <f t="shared" si="192"/>
        <v>1</v>
      </c>
      <c r="AA773"/>
      <c r="AB773"/>
    </row>
    <row r="774" spans="1:28" x14ac:dyDescent="0.55000000000000004">
      <c r="A774" s="1">
        <f t="shared" si="179"/>
        <v>774</v>
      </c>
      <c r="B774" t="s">
        <v>35</v>
      </c>
      <c r="C774" t="s">
        <v>84</v>
      </c>
      <c r="D774" t="s">
        <v>42</v>
      </c>
      <c r="E774" t="s">
        <v>1397</v>
      </c>
      <c r="F774" t="s">
        <v>411</v>
      </c>
      <c r="G774" t="s">
        <v>210</v>
      </c>
      <c r="H774" t="s">
        <v>573</v>
      </c>
      <c r="I774" t="s">
        <v>207</v>
      </c>
      <c r="J774" t="s">
        <v>1497</v>
      </c>
      <c r="K774" t="s">
        <v>212</v>
      </c>
      <c r="L774" t="s">
        <v>580</v>
      </c>
      <c r="M774" t="s">
        <v>28</v>
      </c>
      <c r="N774" s="1">
        <f t="shared" si="180"/>
        <v>2</v>
      </c>
      <c r="O774" s="1">
        <f t="shared" si="181"/>
        <v>0</v>
      </c>
      <c r="P774" s="1">
        <f t="shared" si="182"/>
        <v>2</v>
      </c>
      <c r="Q774" s="1">
        <f t="shared" si="183"/>
        <v>1</v>
      </c>
      <c r="R774" s="1">
        <f t="shared" si="184"/>
        <v>1</v>
      </c>
      <c r="S774" s="1">
        <f t="shared" si="185"/>
        <v>1</v>
      </c>
      <c r="T774" s="1">
        <f t="shared" si="186"/>
        <v>1</v>
      </c>
      <c r="U774" s="26">
        <f t="shared" si="187"/>
        <v>1</v>
      </c>
      <c r="V774" s="26">
        <f t="shared" si="188"/>
        <v>1</v>
      </c>
      <c r="W774" s="1">
        <f t="shared" si="189"/>
        <v>1</v>
      </c>
      <c r="X774" s="26">
        <f t="shared" si="190"/>
        <v>0</v>
      </c>
      <c r="Y774" s="26">
        <f t="shared" si="191"/>
        <v>0</v>
      </c>
      <c r="Z774" s="1">
        <f t="shared" si="192"/>
        <v>1</v>
      </c>
      <c r="AA774"/>
      <c r="AB774"/>
    </row>
    <row r="775" spans="1:28" x14ac:dyDescent="0.55000000000000004">
      <c r="A775" s="1">
        <f t="shared" si="179"/>
        <v>775</v>
      </c>
      <c r="B775" t="s">
        <v>35</v>
      </c>
      <c r="C775" t="s">
        <v>84</v>
      </c>
      <c r="D775" t="s">
        <v>42</v>
      </c>
      <c r="E775" t="s">
        <v>1397</v>
      </c>
      <c r="F775" t="s">
        <v>357</v>
      </c>
      <c r="G775" t="s">
        <v>303</v>
      </c>
      <c r="H775" t="s">
        <v>573</v>
      </c>
      <c r="I775" t="s">
        <v>377</v>
      </c>
      <c r="J775" t="s">
        <v>1498</v>
      </c>
      <c r="K775" t="s">
        <v>305</v>
      </c>
      <c r="L775" t="s">
        <v>1477</v>
      </c>
      <c r="M775" t="s">
        <v>28</v>
      </c>
      <c r="N775" s="1">
        <f t="shared" si="180"/>
        <v>2</v>
      </c>
      <c r="O775" s="1">
        <f t="shared" si="181"/>
        <v>0</v>
      </c>
      <c r="P775" s="1">
        <f t="shared" si="182"/>
        <v>2</v>
      </c>
      <c r="Q775" s="1">
        <f t="shared" si="183"/>
        <v>1</v>
      </c>
      <c r="R775" s="1">
        <f t="shared" si="184"/>
        <v>1</v>
      </c>
      <c r="S775" s="1">
        <f t="shared" si="185"/>
        <v>1</v>
      </c>
      <c r="T775" s="1">
        <f t="shared" si="186"/>
        <v>1</v>
      </c>
      <c r="U775" s="26">
        <f t="shared" si="187"/>
        <v>1</v>
      </c>
      <c r="V775" s="26">
        <f t="shared" si="188"/>
        <v>1</v>
      </c>
      <c r="W775" s="1">
        <f t="shared" si="189"/>
        <v>1</v>
      </c>
      <c r="X775" s="26">
        <f t="shared" si="190"/>
        <v>0</v>
      </c>
      <c r="Y775" s="26">
        <f t="shared" si="191"/>
        <v>0</v>
      </c>
      <c r="Z775" s="1">
        <f t="shared" si="192"/>
        <v>1</v>
      </c>
      <c r="AA775"/>
      <c r="AB775"/>
    </row>
    <row r="776" spans="1:28" x14ac:dyDescent="0.55000000000000004">
      <c r="A776" s="1">
        <f t="shared" si="179"/>
        <v>776</v>
      </c>
      <c r="B776" t="s">
        <v>35</v>
      </c>
      <c r="C776" t="s">
        <v>84</v>
      </c>
      <c r="D776" t="s">
        <v>42</v>
      </c>
      <c r="E776" t="s">
        <v>1397</v>
      </c>
      <c r="F776" t="s">
        <v>357</v>
      </c>
      <c r="G776" t="s">
        <v>304</v>
      </c>
      <c r="H776" t="s">
        <v>568</v>
      </c>
      <c r="I776" t="s">
        <v>208</v>
      </c>
      <c r="J776" t="s">
        <v>1499</v>
      </c>
      <c r="K776" t="s">
        <v>382</v>
      </c>
      <c r="L776" t="s">
        <v>582</v>
      </c>
      <c r="M776" t="s">
        <v>28</v>
      </c>
      <c r="N776" s="1">
        <f t="shared" si="180"/>
        <v>0</v>
      </c>
      <c r="O776" s="1">
        <f t="shared" si="181"/>
        <v>2</v>
      </c>
      <c r="P776" s="1">
        <f t="shared" si="182"/>
        <v>2</v>
      </c>
      <c r="Q776" s="1">
        <f t="shared" si="183"/>
        <v>1</v>
      </c>
      <c r="R776" s="1">
        <f t="shared" si="184"/>
        <v>1</v>
      </c>
      <c r="S776" s="1">
        <f t="shared" si="185"/>
        <v>1</v>
      </c>
      <c r="T776" s="1">
        <f t="shared" si="186"/>
        <v>1</v>
      </c>
      <c r="U776" s="26">
        <f t="shared" si="187"/>
        <v>0</v>
      </c>
      <c r="V776" s="26">
        <f t="shared" si="188"/>
        <v>0</v>
      </c>
      <c r="W776" s="1">
        <f t="shared" si="189"/>
        <v>1</v>
      </c>
      <c r="X776" s="26">
        <f t="shared" si="190"/>
        <v>1</v>
      </c>
      <c r="Y776" s="26">
        <f t="shared" si="191"/>
        <v>1</v>
      </c>
      <c r="Z776" s="1">
        <f t="shared" si="192"/>
        <v>1</v>
      </c>
      <c r="AA776"/>
      <c r="AB776"/>
    </row>
    <row r="777" spans="1:28" x14ac:dyDescent="0.55000000000000004">
      <c r="A777" s="1">
        <f t="shared" si="179"/>
        <v>777</v>
      </c>
      <c r="B777" t="s">
        <v>35</v>
      </c>
      <c r="C777" t="s">
        <v>84</v>
      </c>
      <c r="D777" t="s">
        <v>42</v>
      </c>
      <c r="E777" t="s">
        <v>1397</v>
      </c>
      <c r="F777" t="s">
        <v>357</v>
      </c>
      <c r="G777" t="s">
        <v>386</v>
      </c>
      <c r="H777" t="s">
        <v>573</v>
      </c>
      <c r="I777" t="s">
        <v>383</v>
      </c>
      <c r="J777" t="s">
        <v>1500</v>
      </c>
      <c r="K777" t="s">
        <v>418</v>
      </c>
      <c r="L777" t="s">
        <v>845</v>
      </c>
      <c r="M777" t="s">
        <v>28</v>
      </c>
      <c r="N777" s="1">
        <f t="shared" si="180"/>
        <v>2</v>
      </c>
      <c r="O777" s="1">
        <f t="shared" si="181"/>
        <v>0</v>
      </c>
      <c r="P777" s="1">
        <f t="shared" si="182"/>
        <v>2</v>
      </c>
      <c r="Q777" s="1">
        <f t="shared" si="183"/>
        <v>1</v>
      </c>
      <c r="R777" s="1">
        <f t="shared" si="184"/>
        <v>1</v>
      </c>
      <c r="S777" s="1">
        <f t="shared" si="185"/>
        <v>1</v>
      </c>
      <c r="T777" s="1">
        <f t="shared" si="186"/>
        <v>1</v>
      </c>
      <c r="U777" s="26">
        <f t="shared" si="187"/>
        <v>1</v>
      </c>
      <c r="V777" s="26">
        <f t="shared" si="188"/>
        <v>1</v>
      </c>
      <c r="W777" s="1">
        <f t="shared" si="189"/>
        <v>1</v>
      </c>
      <c r="X777" s="26">
        <f t="shared" si="190"/>
        <v>0</v>
      </c>
      <c r="Y777" s="26">
        <f t="shared" si="191"/>
        <v>0</v>
      </c>
      <c r="Z777" s="1">
        <f t="shared" si="192"/>
        <v>1</v>
      </c>
      <c r="AA777"/>
      <c r="AB777"/>
    </row>
    <row r="778" spans="1:28" x14ac:dyDescent="0.55000000000000004">
      <c r="A778" s="1">
        <f t="shared" si="179"/>
        <v>778</v>
      </c>
      <c r="B778" t="s">
        <v>39</v>
      </c>
      <c r="C778" t="s">
        <v>116</v>
      </c>
      <c r="D778" t="s">
        <v>42</v>
      </c>
      <c r="E778" t="s">
        <v>1397</v>
      </c>
      <c r="F778" t="s">
        <v>342</v>
      </c>
      <c r="G778" t="s">
        <v>222</v>
      </c>
      <c r="H778" t="s">
        <v>575</v>
      </c>
      <c r="I778" t="s">
        <v>234</v>
      </c>
      <c r="J778" t="s">
        <v>1535</v>
      </c>
      <c r="K778" t="s">
        <v>224</v>
      </c>
      <c r="L778" t="s">
        <v>1005</v>
      </c>
      <c r="M778" t="s">
        <v>28</v>
      </c>
      <c r="N778" s="1">
        <f t="shared" si="180"/>
        <v>1</v>
      </c>
      <c r="O778" s="1">
        <f t="shared" si="181"/>
        <v>0</v>
      </c>
      <c r="P778" s="1">
        <f t="shared" si="182"/>
        <v>1</v>
      </c>
      <c r="Q778" s="1">
        <f t="shared" si="183"/>
        <v>1</v>
      </c>
      <c r="R778" s="1">
        <f t="shared" si="184"/>
        <v>1</v>
      </c>
      <c r="S778" s="1">
        <f t="shared" si="185"/>
        <v>1</v>
      </c>
      <c r="T778" s="1">
        <f t="shared" si="186"/>
        <v>1</v>
      </c>
      <c r="U778" s="26">
        <f t="shared" si="187"/>
        <v>1</v>
      </c>
      <c r="V778" s="26">
        <f t="shared" si="188"/>
        <v>0</v>
      </c>
      <c r="W778" s="1">
        <f t="shared" si="189"/>
        <v>1</v>
      </c>
      <c r="X778" s="26">
        <f t="shared" si="190"/>
        <v>0</v>
      </c>
      <c r="Y778" s="26">
        <f t="shared" si="191"/>
        <v>0</v>
      </c>
      <c r="Z778" s="1">
        <f t="shared" si="192"/>
        <v>0</v>
      </c>
      <c r="AA778"/>
      <c r="AB778"/>
    </row>
    <row r="779" spans="1:28" x14ac:dyDescent="0.55000000000000004">
      <c r="A779" s="1">
        <f t="shared" si="179"/>
        <v>779</v>
      </c>
      <c r="B779" t="s">
        <v>39</v>
      </c>
      <c r="C779" t="s">
        <v>116</v>
      </c>
      <c r="D779" t="s">
        <v>42</v>
      </c>
      <c r="E779" t="s">
        <v>1397</v>
      </c>
      <c r="F779" t="s">
        <v>343</v>
      </c>
      <c r="G779" t="s">
        <v>235</v>
      </c>
      <c r="H779" t="s">
        <v>608</v>
      </c>
      <c r="I779" t="s">
        <v>225</v>
      </c>
      <c r="J779" t="s">
        <v>1536</v>
      </c>
      <c r="K779" t="s">
        <v>242</v>
      </c>
      <c r="L779" t="s">
        <v>993</v>
      </c>
      <c r="M779" t="s">
        <v>28</v>
      </c>
      <c r="N779" s="1">
        <f t="shared" si="180"/>
        <v>1</v>
      </c>
      <c r="O779" s="1">
        <f t="shared" si="181"/>
        <v>1</v>
      </c>
      <c r="P779" s="1">
        <f t="shared" si="182"/>
        <v>2</v>
      </c>
      <c r="Q779" s="1">
        <f t="shared" si="183"/>
        <v>0</v>
      </c>
      <c r="R779" s="1">
        <f t="shared" si="184"/>
        <v>1</v>
      </c>
      <c r="S779" s="1">
        <f t="shared" si="185"/>
        <v>0</v>
      </c>
      <c r="T779" s="1">
        <f t="shared" si="186"/>
        <v>1</v>
      </c>
      <c r="U779" s="26">
        <f t="shared" si="187"/>
        <v>1</v>
      </c>
      <c r="V779" s="26">
        <f t="shared" si="188"/>
        <v>0</v>
      </c>
      <c r="W779" s="1">
        <f t="shared" si="189"/>
        <v>1</v>
      </c>
      <c r="X779" s="26">
        <f t="shared" si="190"/>
        <v>1</v>
      </c>
      <c r="Y779" s="26">
        <f t="shared" si="191"/>
        <v>0</v>
      </c>
      <c r="Z779" s="1">
        <f t="shared" si="192"/>
        <v>1</v>
      </c>
      <c r="AA779"/>
      <c r="AB779"/>
    </row>
    <row r="780" spans="1:28" x14ac:dyDescent="0.55000000000000004">
      <c r="A780" s="1">
        <f t="shared" si="179"/>
        <v>780</v>
      </c>
      <c r="B780" t="s">
        <v>40</v>
      </c>
      <c r="C780" t="s">
        <v>132</v>
      </c>
      <c r="D780" t="s">
        <v>42</v>
      </c>
      <c r="E780" t="s">
        <v>1397</v>
      </c>
      <c r="F780" t="s">
        <v>394</v>
      </c>
      <c r="G780" t="s">
        <v>253</v>
      </c>
      <c r="H780" t="s">
        <v>608</v>
      </c>
      <c r="I780" t="s">
        <v>252</v>
      </c>
      <c r="J780" t="s">
        <v>1550</v>
      </c>
      <c r="K780" t="s">
        <v>395</v>
      </c>
      <c r="L780" t="s">
        <v>1025</v>
      </c>
      <c r="M780" t="s">
        <v>28</v>
      </c>
      <c r="N780" s="1">
        <f t="shared" si="180"/>
        <v>1</v>
      </c>
      <c r="O780" s="1">
        <f t="shared" si="181"/>
        <v>1</v>
      </c>
      <c r="P780" s="1">
        <f t="shared" si="182"/>
        <v>2</v>
      </c>
      <c r="Q780" s="1">
        <f t="shared" si="183"/>
        <v>0</v>
      </c>
      <c r="R780" s="1">
        <f t="shared" si="184"/>
        <v>1</v>
      </c>
      <c r="S780" s="1">
        <f t="shared" si="185"/>
        <v>0</v>
      </c>
      <c r="T780" s="1">
        <f t="shared" si="186"/>
        <v>1</v>
      </c>
      <c r="U780" s="26">
        <f t="shared" si="187"/>
        <v>1</v>
      </c>
      <c r="V780" s="26">
        <f t="shared" si="188"/>
        <v>0</v>
      </c>
      <c r="W780" s="1">
        <f t="shared" si="189"/>
        <v>1</v>
      </c>
      <c r="X780" s="26">
        <f t="shared" si="190"/>
        <v>1</v>
      </c>
      <c r="Y780" s="26">
        <f t="shared" si="191"/>
        <v>0</v>
      </c>
      <c r="Z780" s="1">
        <f t="shared" si="192"/>
        <v>1</v>
      </c>
      <c r="AA780"/>
      <c r="AB780"/>
    </row>
    <row r="781" spans="1:28" x14ac:dyDescent="0.55000000000000004">
      <c r="A781" s="1">
        <f t="shared" si="179"/>
        <v>781</v>
      </c>
      <c r="B781" t="s">
        <v>30</v>
      </c>
      <c r="C781" t="s">
        <v>153</v>
      </c>
      <c r="D781" t="s">
        <v>179</v>
      </c>
      <c r="E781" t="s">
        <v>786</v>
      </c>
      <c r="F781" t="s">
        <v>181</v>
      </c>
      <c r="G781" t="s">
        <v>48</v>
      </c>
      <c r="H781" t="s">
        <v>573</v>
      </c>
      <c r="I781" t="s">
        <v>60</v>
      </c>
      <c r="J781" t="s">
        <v>787</v>
      </c>
      <c r="K781" t="s">
        <v>50</v>
      </c>
      <c r="L781" t="s">
        <v>774</v>
      </c>
      <c r="M781" t="s">
        <v>28</v>
      </c>
      <c r="N781" s="1">
        <f t="shared" si="180"/>
        <v>2</v>
      </c>
      <c r="O781" s="1">
        <f t="shared" si="181"/>
        <v>0</v>
      </c>
      <c r="P781" s="1">
        <f t="shared" si="182"/>
        <v>2</v>
      </c>
      <c r="Q781" s="1">
        <f t="shared" si="183"/>
        <v>1</v>
      </c>
      <c r="R781" s="1">
        <f t="shared" si="184"/>
        <v>1</v>
      </c>
      <c r="S781" s="1">
        <f t="shared" si="185"/>
        <v>1</v>
      </c>
      <c r="T781" s="1">
        <f t="shared" si="186"/>
        <v>1</v>
      </c>
      <c r="U781" s="26">
        <f t="shared" si="187"/>
        <v>1</v>
      </c>
      <c r="V781" s="26">
        <f t="shared" si="188"/>
        <v>1</v>
      </c>
      <c r="W781" s="1">
        <f t="shared" si="189"/>
        <v>1</v>
      </c>
      <c r="X781" s="26">
        <f t="shared" si="190"/>
        <v>0</v>
      </c>
      <c r="Y781" s="26">
        <f t="shared" si="191"/>
        <v>0</v>
      </c>
      <c r="Z781" s="1">
        <f t="shared" si="192"/>
        <v>1</v>
      </c>
      <c r="AA781"/>
      <c r="AB781"/>
    </row>
    <row r="782" spans="1:28" x14ac:dyDescent="0.55000000000000004">
      <c r="A782" s="1">
        <f t="shared" si="179"/>
        <v>782</v>
      </c>
      <c r="B782" t="s">
        <v>39</v>
      </c>
      <c r="C782" t="s">
        <v>117</v>
      </c>
      <c r="D782" t="s">
        <v>216</v>
      </c>
      <c r="E782" t="s">
        <v>1008</v>
      </c>
      <c r="F782" t="s">
        <v>218</v>
      </c>
      <c r="G782" t="s">
        <v>220</v>
      </c>
      <c r="H782" t="s">
        <v>573</v>
      </c>
      <c r="I782" t="s">
        <v>226</v>
      </c>
      <c r="J782" t="s">
        <v>1009</v>
      </c>
      <c r="K782" t="s">
        <v>240</v>
      </c>
      <c r="L782" t="s">
        <v>998</v>
      </c>
      <c r="M782" t="s">
        <v>28</v>
      </c>
      <c r="N782" s="1">
        <f t="shared" si="180"/>
        <v>2</v>
      </c>
      <c r="O782" s="1">
        <f t="shared" si="181"/>
        <v>0</v>
      </c>
      <c r="P782" s="1">
        <f t="shared" si="182"/>
        <v>2</v>
      </c>
      <c r="Q782" s="1">
        <f t="shared" si="183"/>
        <v>1</v>
      </c>
      <c r="R782" s="1">
        <f t="shared" si="184"/>
        <v>1</v>
      </c>
      <c r="S782" s="1">
        <f t="shared" si="185"/>
        <v>1</v>
      </c>
      <c r="T782" s="1">
        <f t="shared" si="186"/>
        <v>1</v>
      </c>
      <c r="U782" s="26">
        <f t="shared" si="187"/>
        <v>1</v>
      </c>
      <c r="V782" s="26">
        <f t="shared" si="188"/>
        <v>1</v>
      </c>
      <c r="W782" s="1">
        <f t="shared" si="189"/>
        <v>1</v>
      </c>
      <c r="X782" s="26">
        <f t="shared" si="190"/>
        <v>0</v>
      </c>
      <c r="Y782" s="26">
        <f t="shared" si="191"/>
        <v>0</v>
      </c>
      <c r="Z782" s="1">
        <f t="shared" si="192"/>
        <v>1</v>
      </c>
      <c r="AA782"/>
      <c r="AB782"/>
    </row>
    <row r="783" spans="1:28" x14ac:dyDescent="0.55000000000000004">
      <c r="A783" s="1">
        <f t="shared" si="179"/>
        <v>783</v>
      </c>
      <c r="B783" t="s">
        <v>39</v>
      </c>
      <c r="C783" t="s">
        <v>117</v>
      </c>
      <c r="D783" t="s">
        <v>216</v>
      </c>
      <c r="E783" t="s">
        <v>1008</v>
      </c>
      <c r="F783" t="s">
        <v>218</v>
      </c>
      <c r="G783" t="s">
        <v>223</v>
      </c>
      <c r="H783" t="s">
        <v>590</v>
      </c>
      <c r="I783" t="s">
        <v>229</v>
      </c>
      <c r="J783" t="s">
        <v>1010</v>
      </c>
      <c r="K783" t="s">
        <v>244</v>
      </c>
      <c r="L783" t="s">
        <v>1007</v>
      </c>
      <c r="M783" t="s">
        <v>28</v>
      </c>
      <c r="N783" s="1">
        <f t="shared" si="180"/>
        <v>0</v>
      </c>
      <c r="O783" s="1">
        <f t="shared" si="181"/>
        <v>1</v>
      </c>
      <c r="P783" s="1">
        <f t="shared" si="182"/>
        <v>1</v>
      </c>
      <c r="Q783" s="1">
        <f t="shared" si="183"/>
        <v>1</v>
      </c>
      <c r="R783" s="1">
        <f t="shared" si="184"/>
        <v>1</v>
      </c>
      <c r="S783" s="1">
        <f t="shared" si="185"/>
        <v>1</v>
      </c>
      <c r="T783" s="1">
        <f t="shared" si="186"/>
        <v>1</v>
      </c>
      <c r="U783" s="26">
        <f t="shared" si="187"/>
        <v>0</v>
      </c>
      <c r="V783" s="26">
        <f t="shared" si="188"/>
        <v>0</v>
      </c>
      <c r="W783" s="1">
        <f t="shared" si="189"/>
        <v>1</v>
      </c>
      <c r="X783" s="26">
        <f t="shared" si="190"/>
        <v>1</v>
      </c>
      <c r="Y783" s="26">
        <f t="shared" si="191"/>
        <v>0</v>
      </c>
      <c r="Z783" s="1">
        <f t="shared" si="192"/>
        <v>0</v>
      </c>
      <c r="AA783"/>
      <c r="AB783"/>
    </row>
    <row r="784" spans="1:28" x14ac:dyDescent="0.55000000000000004">
      <c r="A784" s="1">
        <f t="shared" si="179"/>
        <v>784</v>
      </c>
      <c r="B784" t="s">
        <v>39</v>
      </c>
      <c r="C784" t="s">
        <v>117</v>
      </c>
      <c r="D784" t="s">
        <v>216</v>
      </c>
      <c r="E784" t="s">
        <v>1008</v>
      </c>
      <c r="F784" t="s">
        <v>218</v>
      </c>
      <c r="G784" t="s">
        <v>231</v>
      </c>
      <c r="H784" t="s">
        <v>590</v>
      </c>
      <c r="I784" t="s">
        <v>228</v>
      </c>
      <c r="J784" t="s">
        <v>1011</v>
      </c>
      <c r="K784" t="s">
        <v>233</v>
      </c>
      <c r="L784" t="s">
        <v>1012</v>
      </c>
      <c r="M784" t="s">
        <v>28</v>
      </c>
      <c r="N784" s="1">
        <f t="shared" si="180"/>
        <v>0</v>
      </c>
      <c r="O784" s="1">
        <f t="shared" si="181"/>
        <v>1</v>
      </c>
      <c r="P784" s="1">
        <f t="shared" si="182"/>
        <v>1</v>
      </c>
      <c r="Q784" s="1">
        <f t="shared" si="183"/>
        <v>1</v>
      </c>
      <c r="R784" s="1">
        <f t="shared" si="184"/>
        <v>1</v>
      </c>
      <c r="S784" s="1">
        <f t="shared" si="185"/>
        <v>1</v>
      </c>
      <c r="T784" s="1">
        <f t="shared" si="186"/>
        <v>1</v>
      </c>
      <c r="U784" s="26">
        <f t="shared" si="187"/>
        <v>0</v>
      </c>
      <c r="V784" s="26">
        <f t="shared" si="188"/>
        <v>0</v>
      </c>
      <c r="W784" s="1">
        <f t="shared" si="189"/>
        <v>1</v>
      </c>
      <c r="X784" s="26">
        <f t="shared" si="190"/>
        <v>1</v>
      </c>
      <c r="Y784" s="26">
        <f t="shared" si="191"/>
        <v>0</v>
      </c>
      <c r="Z784" s="1">
        <f t="shared" si="192"/>
        <v>0</v>
      </c>
      <c r="AA784"/>
      <c r="AB784"/>
    </row>
    <row r="785" spans="1:28" x14ac:dyDescent="0.55000000000000004">
      <c r="A785" s="1">
        <f t="shared" si="179"/>
        <v>785</v>
      </c>
      <c r="B785" t="s">
        <v>39</v>
      </c>
      <c r="C785" t="s">
        <v>117</v>
      </c>
      <c r="D785" t="s">
        <v>177</v>
      </c>
      <c r="E785" t="s">
        <v>1150</v>
      </c>
      <c r="F785" t="s">
        <v>218</v>
      </c>
      <c r="G785" t="s">
        <v>235</v>
      </c>
      <c r="H785" t="s">
        <v>664</v>
      </c>
      <c r="I785" t="s">
        <v>232</v>
      </c>
      <c r="J785" t="s">
        <v>1151</v>
      </c>
      <c r="K785" t="s">
        <v>242</v>
      </c>
      <c r="L785" t="s">
        <v>1140</v>
      </c>
      <c r="M785" t="s">
        <v>28</v>
      </c>
      <c r="N785" s="1">
        <f t="shared" si="180"/>
        <v>2</v>
      </c>
      <c r="O785" s="1">
        <f t="shared" si="181"/>
        <v>2</v>
      </c>
      <c r="P785" s="1">
        <f t="shared" si="182"/>
        <v>4</v>
      </c>
      <c r="Q785" s="1">
        <f t="shared" si="183"/>
        <v>0</v>
      </c>
      <c r="R785" s="1">
        <f t="shared" si="184"/>
        <v>1</v>
      </c>
      <c r="S785" s="1">
        <f t="shared" si="185"/>
        <v>0</v>
      </c>
      <c r="T785" s="1">
        <f t="shared" si="186"/>
        <v>1</v>
      </c>
      <c r="U785" s="26">
        <f t="shared" si="187"/>
        <v>1</v>
      </c>
      <c r="V785" s="26">
        <f t="shared" si="188"/>
        <v>1</v>
      </c>
      <c r="W785" s="1">
        <f t="shared" si="189"/>
        <v>1</v>
      </c>
      <c r="X785" s="26">
        <f t="shared" si="190"/>
        <v>1</v>
      </c>
      <c r="Y785" s="26">
        <f t="shared" si="191"/>
        <v>1</v>
      </c>
      <c r="Z785" s="1">
        <f t="shared" si="192"/>
        <v>1</v>
      </c>
      <c r="AA785"/>
      <c r="AB785"/>
    </row>
    <row r="786" spans="1:28" x14ac:dyDescent="0.55000000000000004">
      <c r="A786" s="1">
        <f t="shared" si="179"/>
        <v>786</v>
      </c>
      <c r="B786" t="s">
        <v>39</v>
      </c>
      <c r="C786" t="s">
        <v>117</v>
      </c>
      <c r="D786" t="s">
        <v>177</v>
      </c>
      <c r="E786" t="s">
        <v>1150</v>
      </c>
      <c r="F786" t="s">
        <v>218</v>
      </c>
      <c r="G786" t="s">
        <v>222</v>
      </c>
      <c r="H786" t="s">
        <v>579</v>
      </c>
      <c r="I786" t="s">
        <v>219</v>
      </c>
      <c r="J786" t="s">
        <v>1152</v>
      </c>
      <c r="K786" t="s">
        <v>224</v>
      </c>
      <c r="L786" t="s">
        <v>1000</v>
      </c>
      <c r="M786" t="s">
        <v>28</v>
      </c>
      <c r="N786" s="1">
        <f t="shared" si="180"/>
        <v>2</v>
      </c>
      <c r="O786" s="1">
        <f t="shared" si="181"/>
        <v>1</v>
      </c>
      <c r="P786" s="1">
        <f t="shared" si="182"/>
        <v>3</v>
      </c>
      <c r="Q786" s="1">
        <f t="shared" si="183"/>
        <v>1</v>
      </c>
      <c r="R786" s="1">
        <f t="shared" si="184"/>
        <v>1</v>
      </c>
      <c r="S786" s="1">
        <f t="shared" si="185"/>
        <v>1</v>
      </c>
      <c r="T786" s="1">
        <f t="shared" si="186"/>
        <v>1</v>
      </c>
      <c r="U786" s="26">
        <f t="shared" si="187"/>
        <v>1</v>
      </c>
      <c r="V786" s="26">
        <f t="shared" si="188"/>
        <v>1</v>
      </c>
      <c r="W786" s="1">
        <f t="shared" si="189"/>
        <v>1</v>
      </c>
      <c r="X786" s="26">
        <f t="shared" si="190"/>
        <v>1</v>
      </c>
      <c r="Y786" s="26">
        <f t="shared" si="191"/>
        <v>0</v>
      </c>
      <c r="Z786" s="1">
        <f t="shared" si="192"/>
        <v>1</v>
      </c>
      <c r="AA786"/>
      <c r="AB786"/>
    </row>
    <row r="787" spans="1:28" x14ac:dyDescent="0.55000000000000004">
      <c r="A787" s="1">
        <f t="shared" si="179"/>
        <v>787</v>
      </c>
      <c r="B787" t="s">
        <v>39</v>
      </c>
      <c r="C787" t="s">
        <v>117</v>
      </c>
      <c r="D787" t="s">
        <v>177</v>
      </c>
      <c r="E787" t="s">
        <v>1150</v>
      </c>
      <c r="F787" t="s">
        <v>218</v>
      </c>
      <c r="G787" t="s">
        <v>234</v>
      </c>
      <c r="H787" t="s">
        <v>708</v>
      </c>
      <c r="I787" t="s">
        <v>225</v>
      </c>
      <c r="J787" t="s">
        <v>1153</v>
      </c>
      <c r="K787" t="s">
        <v>236</v>
      </c>
      <c r="L787" t="s">
        <v>1154</v>
      </c>
      <c r="M787" t="s">
        <v>28</v>
      </c>
      <c r="N787" s="1">
        <f t="shared" si="180"/>
        <v>0</v>
      </c>
      <c r="O787" s="1">
        <f t="shared" si="181"/>
        <v>0</v>
      </c>
      <c r="P787" s="1">
        <f t="shared" si="182"/>
        <v>0</v>
      </c>
      <c r="Q787" s="1">
        <f t="shared" si="183"/>
        <v>0</v>
      </c>
      <c r="R787" s="1">
        <f t="shared" si="184"/>
        <v>1</v>
      </c>
      <c r="S787" s="1">
        <f t="shared" si="185"/>
        <v>0</v>
      </c>
      <c r="T787" s="1">
        <f t="shared" si="186"/>
        <v>1</v>
      </c>
      <c r="U787" s="26">
        <f t="shared" si="187"/>
        <v>0</v>
      </c>
      <c r="V787" s="26">
        <f t="shared" si="188"/>
        <v>0</v>
      </c>
      <c r="W787" s="1">
        <f t="shared" si="189"/>
        <v>1</v>
      </c>
      <c r="X787" s="26">
        <f t="shared" si="190"/>
        <v>0</v>
      </c>
      <c r="Y787" s="26">
        <f t="shared" si="191"/>
        <v>0</v>
      </c>
      <c r="Z787" s="1">
        <f t="shared" si="192"/>
        <v>0</v>
      </c>
      <c r="AA787"/>
      <c r="AB787"/>
    </row>
    <row r="788" spans="1:28" x14ac:dyDescent="0.55000000000000004">
      <c r="A788" s="1">
        <f t="shared" si="179"/>
        <v>788</v>
      </c>
      <c r="B788" t="s">
        <v>33</v>
      </c>
      <c r="C788" t="s">
        <v>115</v>
      </c>
      <c r="D788" t="s">
        <v>174</v>
      </c>
      <c r="E788" t="s">
        <v>1209</v>
      </c>
      <c r="F788" t="s">
        <v>277</v>
      </c>
      <c r="G788" t="s">
        <v>278</v>
      </c>
      <c r="H788" t="s">
        <v>575</v>
      </c>
      <c r="I788" t="s">
        <v>282</v>
      </c>
      <c r="J788" t="s">
        <v>1210</v>
      </c>
      <c r="K788" t="s">
        <v>280</v>
      </c>
      <c r="L788" t="s">
        <v>1211</v>
      </c>
      <c r="M788" t="s">
        <v>28</v>
      </c>
      <c r="N788" s="1">
        <f t="shared" si="180"/>
        <v>1</v>
      </c>
      <c r="O788" s="1">
        <f t="shared" si="181"/>
        <v>0</v>
      </c>
      <c r="P788" s="1">
        <f t="shared" si="182"/>
        <v>1</v>
      </c>
      <c r="Q788" s="1">
        <f t="shared" si="183"/>
        <v>1</v>
      </c>
      <c r="R788" s="1">
        <f t="shared" si="184"/>
        <v>1</v>
      </c>
      <c r="S788" s="1">
        <f t="shared" si="185"/>
        <v>1</v>
      </c>
      <c r="T788" s="1">
        <f t="shared" si="186"/>
        <v>1</v>
      </c>
      <c r="U788" s="26">
        <f t="shared" si="187"/>
        <v>1</v>
      </c>
      <c r="V788" s="26">
        <f t="shared" si="188"/>
        <v>0</v>
      </c>
      <c r="W788" s="1">
        <f t="shared" si="189"/>
        <v>1</v>
      </c>
      <c r="X788" s="26">
        <f t="shared" si="190"/>
        <v>0</v>
      </c>
      <c r="Y788" s="26">
        <f t="shared" si="191"/>
        <v>0</v>
      </c>
      <c r="Z788" s="1">
        <f t="shared" si="192"/>
        <v>0</v>
      </c>
      <c r="AA788"/>
      <c r="AB788"/>
    </row>
    <row r="789" spans="1:28" x14ac:dyDescent="0.55000000000000004">
      <c r="A789" s="1">
        <f t="shared" si="179"/>
        <v>789</v>
      </c>
      <c r="B789" t="s">
        <v>33</v>
      </c>
      <c r="C789" t="s">
        <v>115</v>
      </c>
      <c r="D789" t="s">
        <v>174</v>
      </c>
      <c r="E789" t="s">
        <v>1209</v>
      </c>
      <c r="F789" t="s">
        <v>277</v>
      </c>
      <c r="G789" t="s">
        <v>299</v>
      </c>
      <c r="H789" t="s">
        <v>581</v>
      </c>
      <c r="I789" t="s">
        <v>367</v>
      </c>
      <c r="J789" t="s">
        <v>1212</v>
      </c>
      <c r="K789" t="s">
        <v>366</v>
      </c>
      <c r="L789" t="s">
        <v>810</v>
      </c>
      <c r="M789" t="s">
        <v>28</v>
      </c>
      <c r="N789" s="1">
        <f t="shared" si="180"/>
        <v>1</v>
      </c>
      <c r="O789" s="1">
        <f t="shared" si="181"/>
        <v>2</v>
      </c>
      <c r="P789" s="1">
        <f t="shared" si="182"/>
        <v>3</v>
      </c>
      <c r="Q789" s="1">
        <f t="shared" si="183"/>
        <v>1</v>
      </c>
      <c r="R789" s="1">
        <f t="shared" si="184"/>
        <v>1</v>
      </c>
      <c r="S789" s="1">
        <f t="shared" si="185"/>
        <v>1</v>
      </c>
      <c r="T789" s="1">
        <f t="shared" si="186"/>
        <v>1</v>
      </c>
      <c r="U789" s="26">
        <f t="shared" si="187"/>
        <v>1</v>
      </c>
      <c r="V789" s="26">
        <f t="shared" si="188"/>
        <v>0</v>
      </c>
      <c r="W789" s="1">
        <f t="shared" si="189"/>
        <v>1</v>
      </c>
      <c r="X789" s="26">
        <f t="shared" si="190"/>
        <v>1</v>
      </c>
      <c r="Y789" s="26">
        <f t="shared" si="191"/>
        <v>1</v>
      </c>
      <c r="Z789" s="1">
        <f t="shared" si="192"/>
        <v>1</v>
      </c>
      <c r="AA789"/>
      <c r="AB789"/>
    </row>
    <row r="790" spans="1:28" x14ac:dyDescent="0.55000000000000004">
      <c r="A790" s="1">
        <f t="shared" si="179"/>
        <v>790</v>
      </c>
      <c r="B790" t="s">
        <v>33</v>
      </c>
      <c r="C790" t="s">
        <v>115</v>
      </c>
      <c r="D790" t="s">
        <v>174</v>
      </c>
      <c r="E790" t="s">
        <v>1209</v>
      </c>
      <c r="F790" t="s">
        <v>277</v>
      </c>
      <c r="G790" t="s">
        <v>288</v>
      </c>
      <c r="H790" t="s">
        <v>664</v>
      </c>
      <c r="I790" t="s">
        <v>296</v>
      </c>
      <c r="J790" t="s">
        <v>1213</v>
      </c>
      <c r="K790" t="s">
        <v>361</v>
      </c>
      <c r="L790" t="s">
        <v>804</v>
      </c>
      <c r="M790" t="s">
        <v>28</v>
      </c>
      <c r="N790" s="1">
        <f t="shared" si="180"/>
        <v>2</v>
      </c>
      <c r="O790" s="1">
        <f t="shared" si="181"/>
        <v>2</v>
      </c>
      <c r="P790" s="1">
        <f t="shared" si="182"/>
        <v>4</v>
      </c>
      <c r="Q790" s="1">
        <f t="shared" si="183"/>
        <v>0</v>
      </c>
      <c r="R790" s="1">
        <f t="shared" si="184"/>
        <v>1</v>
      </c>
      <c r="S790" s="1">
        <f t="shared" si="185"/>
        <v>0</v>
      </c>
      <c r="T790" s="1">
        <f t="shared" si="186"/>
        <v>1</v>
      </c>
      <c r="U790" s="26">
        <f t="shared" si="187"/>
        <v>1</v>
      </c>
      <c r="V790" s="26">
        <f t="shared" si="188"/>
        <v>1</v>
      </c>
      <c r="W790" s="1">
        <f t="shared" si="189"/>
        <v>1</v>
      </c>
      <c r="X790" s="26">
        <f t="shared" si="190"/>
        <v>1</v>
      </c>
      <c r="Y790" s="26">
        <f t="shared" si="191"/>
        <v>1</v>
      </c>
      <c r="Z790" s="1">
        <f t="shared" si="192"/>
        <v>1</v>
      </c>
      <c r="AA790"/>
      <c r="AB790"/>
    </row>
    <row r="791" spans="1:28" x14ac:dyDescent="0.55000000000000004">
      <c r="A791" s="1">
        <f t="shared" si="179"/>
        <v>791</v>
      </c>
      <c r="B791" t="s">
        <v>33</v>
      </c>
      <c r="C791" t="s">
        <v>115</v>
      </c>
      <c r="D791" t="s">
        <v>174</v>
      </c>
      <c r="E791" t="s">
        <v>1209</v>
      </c>
      <c r="F791" t="s">
        <v>290</v>
      </c>
      <c r="G791" t="s">
        <v>281</v>
      </c>
      <c r="H791" t="s">
        <v>1214</v>
      </c>
      <c r="I791" t="s">
        <v>285</v>
      </c>
      <c r="J791" t="s">
        <v>1215</v>
      </c>
      <c r="K791" t="s">
        <v>283</v>
      </c>
      <c r="L791" t="s">
        <v>569</v>
      </c>
      <c r="M791" t="s">
        <v>28</v>
      </c>
      <c r="N791" s="1">
        <f t="shared" si="180"/>
        <v>4</v>
      </c>
      <c r="O791" s="1">
        <f t="shared" si="181"/>
        <v>2</v>
      </c>
      <c r="P791" s="1">
        <f t="shared" si="182"/>
        <v>6</v>
      </c>
      <c r="Q791" s="1">
        <f t="shared" si="183"/>
        <v>1</v>
      </c>
      <c r="R791" s="1">
        <f t="shared" si="184"/>
        <v>0</v>
      </c>
      <c r="S791" s="1">
        <f t="shared" si="185"/>
        <v>0</v>
      </c>
      <c r="T791" s="1">
        <f t="shared" si="186"/>
        <v>0</v>
      </c>
      <c r="U791" s="26">
        <f t="shared" si="187"/>
        <v>0</v>
      </c>
      <c r="V791" s="26">
        <f t="shared" si="188"/>
        <v>1</v>
      </c>
      <c r="W791" s="1">
        <f t="shared" si="189"/>
        <v>1</v>
      </c>
      <c r="X791" s="26">
        <f t="shared" si="190"/>
        <v>1</v>
      </c>
      <c r="Y791" s="26">
        <f t="shared" si="191"/>
        <v>1</v>
      </c>
      <c r="Z791" s="1">
        <f t="shared" si="192"/>
        <v>1</v>
      </c>
      <c r="AA791"/>
      <c r="AB791"/>
    </row>
    <row r="792" spans="1:28" x14ac:dyDescent="0.55000000000000004">
      <c r="A792" s="1">
        <f t="shared" si="179"/>
        <v>792</v>
      </c>
      <c r="B792" t="s">
        <v>33</v>
      </c>
      <c r="C792" t="s">
        <v>115</v>
      </c>
      <c r="D792" t="s">
        <v>174</v>
      </c>
      <c r="E792" t="s">
        <v>1209</v>
      </c>
      <c r="F792" t="s">
        <v>290</v>
      </c>
      <c r="G792" t="s">
        <v>279</v>
      </c>
      <c r="H792" t="s">
        <v>565</v>
      </c>
      <c r="I792" t="s">
        <v>291</v>
      </c>
      <c r="J792" t="s">
        <v>1216</v>
      </c>
      <c r="K792" t="s">
        <v>294</v>
      </c>
      <c r="L792" t="s">
        <v>1203</v>
      </c>
      <c r="M792" t="s">
        <v>28</v>
      </c>
      <c r="N792" s="1">
        <f t="shared" si="180"/>
        <v>2</v>
      </c>
      <c r="O792" s="1">
        <f t="shared" si="181"/>
        <v>3</v>
      </c>
      <c r="P792" s="1">
        <f t="shared" si="182"/>
        <v>5</v>
      </c>
      <c r="Q792" s="1">
        <f t="shared" si="183"/>
        <v>1</v>
      </c>
      <c r="R792" s="1">
        <f t="shared" si="184"/>
        <v>0</v>
      </c>
      <c r="S792" s="1">
        <f t="shared" si="185"/>
        <v>0</v>
      </c>
      <c r="T792" s="1">
        <f t="shared" si="186"/>
        <v>1</v>
      </c>
      <c r="U792" s="26">
        <f t="shared" si="187"/>
        <v>1</v>
      </c>
      <c r="V792" s="26">
        <f t="shared" si="188"/>
        <v>1</v>
      </c>
      <c r="W792" s="1">
        <f t="shared" si="189"/>
        <v>0</v>
      </c>
      <c r="X792" s="26">
        <f t="shared" si="190"/>
        <v>1</v>
      </c>
      <c r="Y792" s="26">
        <f t="shared" si="191"/>
        <v>1</v>
      </c>
      <c r="Z792" s="1">
        <f t="shared" si="192"/>
        <v>1</v>
      </c>
      <c r="AA792"/>
      <c r="AB792"/>
    </row>
    <row r="793" spans="1:28" x14ac:dyDescent="0.55000000000000004">
      <c r="A793" s="1">
        <f t="shared" si="179"/>
        <v>793</v>
      </c>
      <c r="B793" t="s">
        <v>37</v>
      </c>
      <c r="C793" t="s">
        <v>120</v>
      </c>
      <c r="D793" t="s">
        <v>174</v>
      </c>
      <c r="E793" t="s">
        <v>1209</v>
      </c>
      <c r="F793" t="s">
        <v>315</v>
      </c>
      <c r="G793" t="s">
        <v>322</v>
      </c>
      <c r="H793" t="s">
        <v>579</v>
      </c>
      <c r="I793" t="s">
        <v>318</v>
      </c>
      <c r="J793" t="s">
        <v>1299</v>
      </c>
      <c r="K793" t="s">
        <v>331</v>
      </c>
      <c r="L793" t="s">
        <v>888</v>
      </c>
      <c r="M793" t="s">
        <v>28</v>
      </c>
      <c r="N793" s="1">
        <f t="shared" si="180"/>
        <v>2</v>
      </c>
      <c r="O793" s="1">
        <f t="shared" si="181"/>
        <v>1</v>
      </c>
      <c r="P793" s="1">
        <f t="shared" si="182"/>
        <v>3</v>
      </c>
      <c r="Q793" s="1">
        <f t="shared" si="183"/>
        <v>1</v>
      </c>
      <c r="R793" s="1">
        <f t="shared" si="184"/>
        <v>1</v>
      </c>
      <c r="S793" s="1">
        <f t="shared" si="185"/>
        <v>1</v>
      </c>
      <c r="T793" s="1">
        <f t="shared" si="186"/>
        <v>1</v>
      </c>
      <c r="U793" s="26">
        <f t="shared" si="187"/>
        <v>1</v>
      </c>
      <c r="V793" s="26">
        <f t="shared" si="188"/>
        <v>1</v>
      </c>
      <c r="W793" s="1">
        <f t="shared" si="189"/>
        <v>1</v>
      </c>
      <c r="X793" s="26">
        <f t="shared" si="190"/>
        <v>1</v>
      </c>
      <c r="Y793" s="26">
        <f t="shared" si="191"/>
        <v>0</v>
      </c>
      <c r="Z793" s="1">
        <f t="shared" si="192"/>
        <v>1</v>
      </c>
      <c r="AA793"/>
      <c r="AB793"/>
    </row>
    <row r="794" spans="1:28" x14ac:dyDescent="0.55000000000000004">
      <c r="A794" s="1">
        <f t="shared" si="179"/>
        <v>794</v>
      </c>
      <c r="B794" t="s">
        <v>37</v>
      </c>
      <c r="C794" t="s">
        <v>120</v>
      </c>
      <c r="D794" t="s">
        <v>174</v>
      </c>
      <c r="E794" t="s">
        <v>1209</v>
      </c>
      <c r="F794" t="s">
        <v>315</v>
      </c>
      <c r="G794" t="s">
        <v>312</v>
      </c>
      <c r="H794" t="s">
        <v>590</v>
      </c>
      <c r="I794" t="s">
        <v>328</v>
      </c>
      <c r="J794" t="s">
        <v>1300</v>
      </c>
      <c r="K794" t="s">
        <v>314</v>
      </c>
      <c r="L794" t="s">
        <v>866</v>
      </c>
      <c r="M794" t="s">
        <v>28</v>
      </c>
      <c r="N794" s="1">
        <f t="shared" si="180"/>
        <v>0</v>
      </c>
      <c r="O794" s="1">
        <f t="shared" si="181"/>
        <v>1</v>
      </c>
      <c r="P794" s="1">
        <f t="shared" si="182"/>
        <v>1</v>
      </c>
      <c r="Q794" s="1">
        <f t="shared" si="183"/>
        <v>1</v>
      </c>
      <c r="R794" s="1">
        <f t="shared" si="184"/>
        <v>1</v>
      </c>
      <c r="S794" s="1">
        <f t="shared" si="185"/>
        <v>1</v>
      </c>
      <c r="T794" s="1">
        <f t="shared" si="186"/>
        <v>1</v>
      </c>
      <c r="U794" s="26">
        <f t="shared" si="187"/>
        <v>0</v>
      </c>
      <c r="V794" s="26">
        <f t="shared" si="188"/>
        <v>0</v>
      </c>
      <c r="W794" s="1">
        <f t="shared" si="189"/>
        <v>1</v>
      </c>
      <c r="X794" s="26">
        <f t="shared" si="190"/>
        <v>1</v>
      </c>
      <c r="Y794" s="26">
        <f t="shared" si="191"/>
        <v>0</v>
      </c>
      <c r="Z794" s="1">
        <f t="shared" si="192"/>
        <v>0</v>
      </c>
      <c r="AA794"/>
      <c r="AB794"/>
    </row>
    <row r="795" spans="1:28" x14ac:dyDescent="0.55000000000000004">
      <c r="A795" s="1">
        <f t="shared" si="179"/>
        <v>795</v>
      </c>
      <c r="B795" t="s">
        <v>37</v>
      </c>
      <c r="C795" t="s">
        <v>120</v>
      </c>
      <c r="D795" t="s">
        <v>174</v>
      </c>
      <c r="E795" t="s">
        <v>1209</v>
      </c>
      <c r="F795" t="s">
        <v>315</v>
      </c>
      <c r="G795" t="s">
        <v>321</v>
      </c>
      <c r="H795" t="s">
        <v>664</v>
      </c>
      <c r="I795" t="s">
        <v>324</v>
      </c>
      <c r="J795" t="s">
        <v>1301</v>
      </c>
      <c r="K795" t="s">
        <v>323</v>
      </c>
      <c r="L795" t="s">
        <v>1280</v>
      </c>
      <c r="M795" t="s">
        <v>28</v>
      </c>
      <c r="N795" s="1">
        <f t="shared" si="180"/>
        <v>2</v>
      </c>
      <c r="O795" s="1">
        <f t="shared" si="181"/>
        <v>2</v>
      </c>
      <c r="P795" s="1">
        <f t="shared" si="182"/>
        <v>4</v>
      </c>
      <c r="Q795" s="1">
        <f t="shared" si="183"/>
        <v>0</v>
      </c>
      <c r="R795" s="1">
        <f t="shared" si="184"/>
        <v>1</v>
      </c>
      <c r="S795" s="1">
        <f t="shared" si="185"/>
        <v>0</v>
      </c>
      <c r="T795" s="1">
        <f t="shared" si="186"/>
        <v>1</v>
      </c>
      <c r="U795" s="26">
        <f t="shared" si="187"/>
        <v>1</v>
      </c>
      <c r="V795" s="26">
        <f t="shared" si="188"/>
        <v>1</v>
      </c>
      <c r="W795" s="1">
        <f t="shared" si="189"/>
        <v>1</v>
      </c>
      <c r="X795" s="26">
        <f t="shared" si="190"/>
        <v>1</v>
      </c>
      <c r="Y795" s="26">
        <f t="shared" si="191"/>
        <v>1</v>
      </c>
      <c r="Z795" s="1">
        <f t="shared" si="192"/>
        <v>1</v>
      </c>
      <c r="AA795"/>
      <c r="AB795"/>
    </row>
    <row r="796" spans="1:28" x14ac:dyDescent="0.55000000000000004">
      <c r="A796" s="1">
        <f t="shared" si="179"/>
        <v>796</v>
      </c>
      <c r="B796" t="s">
        <v>37</v>
      </c>
      <c r="C796" t="s">
        <v>120</v>
      </c>
      <c r="D796" t="s">
        <v>174</v>
      </c>
      <c r="E796" t="s">
        <v>1209</v>
      </c>
      <c r="F796" t="s">
        <v>311</v>
      </c>
      <c r="G796" t="s">
        <v>313</v>
      </c>
      <c r="H796" t="s">
        <v>575</v>
      </c>
      <c r="I796" t="s">
        <v>319</v>
      </c>
      <c r="J796" t="s">
        <v>1302</v>
      </c>
      <c r="K796" t="s">
        <v>317</v>
      </c>
      <c r="L796" t="s">
        <v>591</v>
      </c>
      <c r="M796" t="s">
        <v>28</v>
      </c>
      <c r="N796" s="1">
        <f t="shared" si="180"/>
        <v>1</v>
      </c>
      <c r="O796" s="1">
        <f t="shared" si="181"/>
        <v>0</v>
      </c>
      <c r="P796" s="1">
        <f t="shared" si="182"/>
        <v>1</v>
      </c>
      <c r="Q796" s="1">
        <f t="shared" si="183"/>
        <v>1</v>
      </c>
      <c r="R796" s="1">
        <f t="shared" si="184"/>
        <v>1</v>
      </c>
      <c r="S796" s="1">
        <f t="shared" si="185"/>
        <v>1</v>
      </c>
      <c r="T796" s="1">
        <f t="shared" si="186"/>
        <v>1</v>
      </c>
      <c r="U796" s="26">
        <f t="shared" si="187"/>
        <v>1</v>
      </c>
      <c r="V796" s="26">
        <f t="shared" si="188"/>
        <v>0</v>
      </c>
      <c r="W796" s="1">
        <f t="shared" si="189"/>
        <v>1</v>
      </c>
      <c r="X796" s="26">
        <f t="shared" si="190"/>
        <v>0</v>
      </c>
      <c r="Y796" s="26">
        <f t="shared" si="191"/>
        <v>0</v>
      </c>
      <c r="Z796" s="1">
        <f t="shared" si="192"/>
        <v>0</v>
      </c>
      <c r="AA796"/>
      <c r="AB796"/>
    </row>
    <row r="797" spans="1:28" x14ac:dyDescent="0.55000000000000004">
      <c r="A797" s="1">
        <f t="shared" si="179"/>
        <v>797</v>
      </c>
      <c r="B797" t="s">
        <v>30</v>
      </c>
      <c r="C797" t="s">
        <v>84</v>
      </c>
      <c r="D797" t="s">
        <v>133</v>
      </c>
      <c r="E797" t="s">
        <v>1723</v>
      </c>
      <c r="F797" t="s">
        <v>346</v>
      </c>
      <c r="G797" t="s">
        <v>57</v>
      </c>
      <c r="H797" t="s">
        <v>608</v>
      </c>
      <c r="I797" t="s">
        <v>49</v>
      </c>
      <c r="J797" t="s">
        <v>1724</v>
      </c>
      <c r="K797" t="s">
        <v>59</v>
      </c>
      <c r="L797" t="s">
        <v>779</v>
      </c>
      <c r="M797" t="s">
        <v>28</v>
      </c>
      <c r="N797" s="1">
        <f t="shared" si="180"/>
        <v>1</v>
      </c>
      <c r="O797" s="1">
        <f t="shared" si="181"/>
        <v>1</v>
      </c>
      <c r="P797" s="1">
        <f t="shared" si="182"/>
        <v>2</v>
      </c>
      <c r="Q797" s="1">
        <f t="shared" si="183"/>
        <v>0</v>
      </c>
      <c r="R797" s="1">
        <f t="shared" si="184"/>
        <v>1</v>
      </c>
      <c r="S797" s="1">
        <f t="shared" si="185"/>
        <v>0</v>
      </c>
      <c r="T797" s="1">
        <f t="shared" si="186"/>
        <v>1</v>
      </c>
      <c r="U797" s="26">
        <f t="shared" si="187"/>
        <v>1</v>
      </c>
      <c r="V797" s="26">
        <f t="shared" si="188"/>
        <v>0</v>
      </c>
      <c r="W797" s="1">
        <f t="shared" si="189"/>
        <v>1</v>
      </c>
      <c r="X797" s="26">
        <f t="shared" si="190"/>
        <v>1</v>
      </c>
      <c r="Y797" s="26">
        <f t="shared" si="191"/>
        <v>0</v>
      </c>
      <c r="Z797" s="1">
        <f t="shared" si="192"/>
        <v>1</v>
      </c>
      <c r="AA797"/>
      <c r="AB797"/>
    </row>
    <row r="798" spans="1:28" x14ac:dyDescent="0.55000000000000004">
      <c r="A798" s="1">
        <f t="shared" si="179"/>
        <v>798</v>
      </c>
      <c r="B798" t="s">
        <v>30</v>
      </c>
      <c r="C798" t="s">
        <v>84</v>
      </c>
      <c r="D798" t="s">
        <v>133</v>
      </c>
      <c r="E798" t="s">
        <v>1723</v>
      </c>
      <c r="F798" t="s">
        <v>350</v>
      </c>
      <c r="G798" t="s">
        <v>61</v>
      </c>
      <c r="H798" t="s">
        <v>608</v>
      </c>
      <c r="I798" t="s">
        <v>44</v>
      </c>
      <c r="J798" t="s">
        <v>1725</v>
      </c>
      <c r="K798" t="s">
        <v>62</v>
      </c>
      <c r="L798" t="s">
        <v>1038</v>
      </c>
      <c r="M798" t="s">
        <v>28</v>
      </c>
      <c r="N798" s="1">
        <f t="shared" si="180"/>
        <v>1</v>
      </c>
      <c r="O798" s="1">
        <f t="shared" si="181"/>
        <v>1</v>
      </c>
      <c r="P798" s="1">
        <f t="shared" si="182"/>
        <v>2</v>
      </c>
      <c r="Q798" s="1">
        <f t="shared" si="183"/>
        <v>0</v>
      </c>
      <c r="R798" s="1">
        <f t="shared" si="184"/>
        <v>1</v>
      </c>
      <c r="S798" s="1">
        <f t="shared" si="185"/>
        <v>0</v>
      </c>
      <c r="T798" s="1">
        <f t="shared" si="186"/>
        <v>1</v>
      </c>
      <c r="U798" s="26">
        <f t="shared" si="187"/>
        <v>1</v>
      </c>
      <c r="V798" s="26">
        <f t="shared" si="188"/>
        <v>0</v>
      </c>
      <c r="W798" s="1">
        <f t="shared" si="189"/>
        <v>1</v>
      </c>
      <c r="X798" s="26">
        <f t="shared" si="190"/>
        <v>1</v>
      </c>
      <c r="Y798" s="26">
        <f t="shared" si="191"/>
        <v>0</v>
      </c>
      <c r="Z798" s="1">
        <f t="shared" si="192"/>
        <v>1</v>
      </c>
      <c r="AA798"/>
      <c r="AB798"/>
    </row>
    <row r="799" spans="1:28" x14ac:dyDescent="0.55000000000000004">
      <c r="A799" s="1">
        <f t="shared" si="179"/>
        <v>799</v>
      </c>
      <c r="B799" t="s">
        <v>33</v>
      </c>
      <c r="C799" t="s">
        <v>115</v>
      </c>
      <c r="D799" t="s">
        <v>133</v>
      </c>
      <c r="E799" t="s">
        <v>1723</v>
      </c>
      <c r="F799" t="s">
        <v>364</v>
      </c>
      <c r="G799" t="s">
        <v>287</v>
      </c>
      <c r="H799" t="s">
        <v>664</v>
      </c>
      <c r="I799" t="s">
        <v>362</v>
      </c>
      <c r="J799" t="s">
        <v>1778</v>
      </c>
      <c r="K799" t="s">
        <v>289</v>
      </c>
      <c r="L799" t="s">
        <v>1465</v>
      </c>
      <c r="M799" t="s">
        <v>28</v>
      </c>
      <c r="N799" s="1">
        <f t="shared" si="180"/>
        <v>2</v>
      </c>
      <c r="O799" s="1">
        <f t="shared" si="181"/>
        <v>2</v>
      </c>
      <c r="P799" s="1">
        <f t="shared" si="182"/>
        <v>4</v>
      </c>
      <c r="Q799" s="1">
        <f t="shared" si="183"/>
        <v>0</v>
      </c>
      <c r="R799" s="1">
        <f t="shared" si="184"/>
        <v>1</v>
      </c>
      <c r="S799" s="1">
        <f t="shared" si="185"/>
        <v>0</v>
      </c>
      <c r="T799" s="1">
        <f t="shared" si="186"/>
        <v>1</v>
      </c>
      <c r="U799" s="26">
        <f t="shared" si="187"/>
        <v>1</v>
      </c>
      <c r="V799" s="26">
        <f t="shared" si="188"/>
        <v>1</v>
      </c>
      <c r="W799" s="1">
        <f t="shared" si="189"/>
        <v>1</v>
      </c>
      <c r="X799" s="26">
        <f t="shared" si="190"/>
        <v>1</v>
      </c>
      <c r="Y799" s="26">
        <f t="shared" si="191"/>
        <v>1</v>
      </c>
      <c r="Z799" s="1">
        <f t="shared" si="192"/>
        <v>1</v>
      </c>
      <c r="AA799"/>
      <c r="AB799"/>
    </row>
    <row r="800" spans="1:28" x14ac:dyDescent="0.55000000000000004">
      <c r="A800" s="1">
        <f t="shared" si="179"/>
        <v>800</v>
      </c>
      <c r="B800" t="s">
        <v>33</v>
      </c>
      <c r="C800" t="s">
        <v>115</v>
      </c>
      <c r="D800" t="s">
        <v>133</v>
      </c>
      <c r="E800" t="s">
        <v>1723</v>
      </c>
      <c r="F800" t="s">
        <v>277</v>
      </c>
      <c r="G800" t="s">
        <v>284</v>
      </c>
      <c r="H800" t="s">
        <v>570</v>
      </c>
      <c r="I800" t="s">
        <v>292</v>
      </c>
      <c r="J800" t="s">
        <v>1779</v>
      </c>
      <c r="K800" t="s">
        <v>286</v>
      </c>
      <c r="L800" t="s">
        <v>1208</v>
      </c>
      <c r="M800" t="s">
        <v>28</v>
      </c>
      <c r="N800" s="1">
        <f t="shared" si="180"/>
        <v>3</v>
      </c>
      <c r="O800" s="1">
        <f t="shared" si="181"/>
        <v>1</v>
      </c>
      <c r="P800" s="1">
        <f t="shared" si="182"/>
        <v>4</v>
      </c>
      <c r="Q800" s="1">
        <f t="shared" si="183"/>
        <v>1</v>
      </c>
      <c r="R800" s="1">
        <f t="shared" si="184"/>
        <v>1</v>
      </c>
      <c r="S800" s="1">
        <f t="shared" si="185"/>
        <v>1</v>
      </c>
      <c r="T800" s="1">
        <f t="shared" si="186"/>
        <v>0</v>
      </c>
      <c r="U800" s="26">
        <f t="shared" si="187"/>
        <v>1</v>
      </c>
      <c r="V800" s="26">
        <f t="shared" si="188"/>
        <v>1</v>
      </c>
      <c r="W800" s="1">
        <f t="shared" si="189"/>
        <v>1</v>
      </c>
      <c r="X800" s="26">
        <f t="shared" si="190"/>
        <v>1</v>
      </c>
      <c r="Y800" s="26">
        <f t="shared" si="191"/>
        <v>0</v>
      </c>
      <c r="Z800" s="1">
        <f t="shared" si="192"/>
        <v>1</v>
      </c>
      <c r="AA800"/>
      <c r="AB800"/>
    </row>
    <row r="801" spans="1:28" x14ac:dyDescent="0.55000000000000004">
      <c r="A801" s="1">
        <f t="shared" si="179"/>
        <v>801</v>
      </c>
      <c r="B801" t="s">
        <v>33</v>
      </c>
      <c r="C801" t="s">
        <v>115</v>
      </c>
      <c r="D801" t="s">
        <v>133</v>
      </c>
      <c r="E801" t="s">
        <v>1723</v>
      </c>
      <c r="F801" t="s">
        <v>290</v>
      </c>
      <c r="G801" t="s">
        <v>365</v>
      </c>
      <c r="H801" t="s">
        <v>575</v>
      </c>
      <c r="I801" t="s">
        <v>360</v>
      </c>
      <c r="J801" t="s">
        <v>1780</v>
      </c>
      <c r="K801" t="s">
        <v>369</v>
      </c>
      <c r="L801" t="s">
        <v>1044</v>
      </c>
      <c r="M801" t="s">
        <v>28</v>
      </c>
      <c r="N801" s="1">
        <f t="shared" si="180"/>
        <v>1</v>
      </c>
      <c r="O801" s="1">
        <f t="shared" si="181"/>
        <v>0</v>
      </c>
      <c r="P801" s="1">
        <f t="shared" si="182"/>
        <v>1</v>
      </c>
      <c r="Q801" s="1">
        <f t="shared" si="183"/>
        <v>1</v>
      </c>
      <c r="R801" s="1">
        <f t="shared" si="184"/>
        <v>1</v>
      </c>
      <c r="S801" s="1">
        <f t="shared" si="185"/>
        <v>1</v>
      </c>
      <c r="T801" s="1">
        <f t="shared" si="186"/>
        <v>1</v>
      </c>
      <c r="U801" s="26">
        <f t="shared" si="187"/>
        <v>1</v>
      </c>
      <c r="V801" s="26">
        <f t="shared" si="188"/>
        <v>0</v>
      </c>
      <c r="W801" s="1">
        <f t="shared" si="189"/>
        <v>1</v>
      </c>
      <c r="X801" s="26">
        <f t="shared" si="190"/>
        <v>0</v>
      </c>
      <c r="Y801" s="26">
        <f t="shared" si="191"/>
        <v>0</v>
      </c>
      <c r="Z801" s="1">
        <f t="shared" si="192"/>
        <v>0</v>
      </c>
      <c r="AA801"/>
      <c r="AB801"/>
    </row>
    <row r="802" spans="1:28" x14ac:dyDescent="0.55000000000000004">
      <c r="A802" s="1">
        <f t="shared" si="179"/>
        <v>802</v>
      </c>
      <c r="B802" t="s">
        <v>35</v>
      </c>
      <c r="C802" t="s">
        <v>104</v>
      </c>
      <c r="D802" t="s">
        <v>133</v>
      </c>
      <c r="E802" t="s">
        <v>1723</v>
      </c>
      <c r="F802" t="s">
        <v>380</v>
      </c>
      <c r="G802" t="s">
        <v>384</v>
      </c>
      <c r="H802" t="s">
        <v>579</v>
      </c>
      <c r="I802" t="s">
        <v>304</v>
      </c>
      <c r="J802" t="s">
        <v>1817</v>
      </c>
      <c r="K802" t="s">
        <v>385</v>
      </c>
      <c r="L802" t="s">
        <v>835</v>
      </c>
      <c r="M802" t="s">
        <v>28</v>
      </c>
      <c r="N802" s="1">
        <f t="shared" si="180"/>
        <v>2</v>
      </c>
      <c r="O802" s="1">
        <f t="shared" si="181"/>
        <v>1</v>
      </c>
      <c r="P802" s="1">
        <f t="shared" si="182"/>
        <v>3</v>
      </c>
      <c r="Q802" s="1">
        <f t="shared" si="183"/>
        <v>1</v>
      </c>
      <c r="R802" s="1">
        <f t="shared" si="184"/>
        <v>1</v>
      </c>
      <c r="S802" s="1">
        <f t="shared" si="185"/>
        <v>1</v>
      </c>
      <c r="T802" s="1">
        <f t="shared" si="186"/>
        <v>1</v>
      </c>
      <c r="U802" s="26">
        <f t="shared" si="187"/>
        <v>1</v>
      </c>
      <c r="V802" s="26">
        <f t="shared" si="188"/>
        <v>1</v>
      </c>
      <c r="W802" s="1">
        <f t="shared" si="189"/>
        <v>1</v>
      </c>
      <c r="X802" s="26">
        <f t="shared" si="190"/>
        <v>1</v>
      </c>
      <c r="Y802" s="26">
        <f t="shared" si="191"/>
        <v>0</v>
      </c>
      <c r="Z802" s="1">
        <f t="shared" si="192"/>
        <v>1</v>
      </c>
      <c r="AA802"/>
      <c r="AB802"/>
    </row>
    <row r="803" spans="1:28" x14ac:dyDescent="0.55000000000000004">
      <c r="A803" s="1">
        <f t="shared" si="179"/>
        <v>803</v>
      </c>
      <c r="B803" t="s">
        <v>35</v>
      </c>
      <c r="C803" t="s">
        <v>104</v>
      </c>
      <c r="D803" t="s">
        <v>133</v>
      </c>
      <c r="E803" t="s">
        <v>1723</v>
      </c>
      <c r="F803" t="s">
        <v>376</v>
      </c>
      <c r="G803" t="s">
        <v>208</v>
      </c>
      <c r="H803" t="s">
        <v>1818</v>
      </c>
      <c r="I803" t="s">
        <v>307</v>
      </c>
      <c r="J803" t="s">
        <v>1229</v>
      </c>
      <c r="K803" t="s">
        <v>381</v>
      </c>
      <c r="L803" t="s">
        <v>845</v>
      </c>
      <c r="M803" t="s">
        <v>28</v>
      </c>
      <c r="N803" s="1">
        <f t="shared" si="180"/>
        <v>6</v>
      </c>
      <c r="O803" s="1">
        <f t="shared" si="181"/>
        <v>3</v>
      </c>
      <c r="P803" s="1">
        <f t="shared" si="182"/>
        <v>9</v>
      </c>
      <c r="Q803" s="1">
        <f t="shared" si="183"/>
        <v>1</v>
      </c>
      <c r="R803" s="1">
        <f t="shared" si="184"/>
        <v>0</v>
      </c>
      <c r="S803" s="1">
        <f t="shared" si="185"/>
        <v>0</v>
      </c>
      <c r="T803" s="1">
        <f t="shared" si="186"/>
        <v>0</v>
      </c>
      <c r="U803" s="26">
        <f t="shared" si="187"/>
        <v>0</v>
      </c>
      <c r="V803" s="26">
        <f t="shared" si="188"/>
        <v>0</v>
      </c>
      <c r="W803" s="1">
        <f t="shared" si="189"/>
        <v>0</v>
      </c>
      <c r="X803" s="26">
        <f t="shared" si="190"/>
        <v>1</v>
      </c>
      <c r="Y803" s="26">
        <f t="shared" si="191"/>
        <v>1</v>
      </c>
      <c r="Z803" s="1">
        <f t="shared" si="192"/>
        <v>1</v>
      </c>
      <c r="AA803"/>
      <c r="AB803"/>
    </row>
    <row r="804" spans="1:28" x14ac:dyDescent="0.55000000000000004">
      <c r="A804" s="1">
        <f t="shared" si="179"/>
        <v>804</v>
      </c>
      <c r="B804" t="s">
        <v>35</v>
      </c>
      <c r="C804" t="s">
        <v>104</v>
      </c>
      <c r="D804" t="s">
        <v>133</v>
      </c>
      <c r="E804" t="s">
        <v>1723</v>
      </c>
      <c r="F804" t="s">
        <v>376</v>
      </c>
      <c r="G804" t="s">
        <v>383</v>
      </c>
      <c r="H804" t="s">
        <v>575</v>
      </c>
      <c r="I804" t="s">
        <v>377</v>
      </c>
      <c r="J804" t="s">
        <v>1819</v>
      </c>
      <c r="K804" t="s">
        <v>387</v>
      </c>
      <c r="L804" t="s">
        <v>677</v>
      </c>
      <c r="M804" t="s">
        <v>28</v>
      </c>
      <c r="N804" s="1">
        <f t="shared" si="180"/>
        <v>1</v>
      </c>
      <c r="O804" s="1">
        <f t="shared" si="181"/>
        <v>0</v>
      </c>
      <c r="P804" s="1">
        <f t="shared" si="182"/>
        <v>1</v>
      </c>
      <c r="Q804" s="1">
        <f t="shared" si="183"/>
        <v>1</v>
      </c>
      <c r="R804" s="1">
        <f t="shared" si="184"/>
        <v>1</v>
      </c>
      <c r="S804" s="1">
        <f t="shared" si="185"/>
        <v>1</v>
      </c>
      <c r="T804" s="1">
        <f t="shared" si="186"/>
        <v>1</v>
      </c>
      <c r="U804" s="26">
        <f t="shared" si="187"/>
        <v>1</v>
      </c>
      <c r="V804" s="26">
        <f t="shared" si="188"/>
        <v>0</v>
      </c>
      <c r="W804" s="1">
        <f t="shared" si="189"/>
        <v>1</v>
      </c>
      <c r="X804" s="26">
        <f t="shared" si="190"/>
        <v>0</v>
      </c>
      <c r="Y804" s="26">
        <f t="shared" si="191"/>
        <v>0</v>
      </c>
      <c r="Z804" s="1">
        <f t="shared" si="192"/>
        <v>0</v>
      </c>
      <c r="AA804"/>
      <c r="AB804"/>
    </row>
    <row r="805" spans="1:28" x14ac:dyDescent="0.55000000000000004">
      <c r="A805" s="1">
        <f t="shared" si="179"/>
        <v>805</v>
      </c>
      <c r="B805" t="s">
        <v>35</v>
      </c>
      <c r="C805" t="s">
        <v>104</v>
      </c>
      <c r="D805" t="s">
        <v>133</v>
      </c>
      <c r="E805" t="s">
        <v>1723</v>
      </c>
      <c r="F805" t="s">
        <v>376</v>
      </c>
      <c r="G805" t="s">
        <v>207</v>
      </c>
      <c r="H805" t="s">
        <v>570</v>
      </c>
      <c r="I805" t="s">
        <v>303</v>
      </c>
      <c r="J805" t="s">
        <v>1820</v>
      </c>
      <c r="K805" t="s">
        <v>209</v>
      </c>
      <c r="L805" t="s">
        <v>578</v>
      </c>
      <c r="M805" t="s">
        <v>28</v>
      </c>
      <c r="N805" s="1">
        <f t="shared" si="180"/>
        <v>3</v>
      </c>
      <c r="O805" s="1">
        <f t="shared" si="181"/>
        <v>1</v>
      </c>
      <c r="P805" s="1">
        <f t="shared" si="182"/>
        <v>4</v>
      </c>
      <c r="Q805" s="1">
        <f t="shared" si="183"/>
        <v>1</v>
      </c>
      <c r="R805" s="1">
        <f t="shared" si="184"/>
        <v>1</v>
      </c>
      <c r="S805" s="1">
        <f t="shared" si="185"/>
        <v>1</v>
      </c>
      <c r="T805" s="1">
        <f t="shared" si="186"/>
        <v>0</v>
      </c>
      <c r="U805" s="26">
        <f t="shared" si="187"/>
        <v>1</v>
      </c>
      <c r="V805" s="26">
        <f t="shared" si="188"/>
        <v>1</v>
      </c>
      <c r="W805" s="1">
        <f t="shared" si="189"/>
        <v>1</v>
      </c>
      <c r="X805" s="26">
        <f t="shared" si="190"/>
        <v>1</v>
      </c>
      <c r="Y805" s="26">
        <f t="shared" si="191"/>
        <v>0</v>
      </c>
      <c r="Z805" s="1">
        <f t="shared" si="192"/>
        <v>1</v>
      </c>
      <c r="AA805"/>
      <c r="AB805"/>
    </row>
    <row r="806" spans="1:28" x14ac:dyDescent="0.55000000000000004">
      <c r="A806" s="1">
        <f t="shared" si="179"/>
        <v>806</v>
      </c>
      <c r="B806" t="s">
        <v>35</v>
      </c>
      <c r="C806" t="s">
        <v>104</v>
      </c>
      <c r="D806" t="s">
        <v>133</v>
      </c>
      <c r="E806" t="s">
        <v>1723</v>
      </c>
      <c r="F806" t="s">
        <v>376</v>
      </c>
      <c r="G806" t="s">
        <v>210</v>
      </c>
      <c r="H806" t="s">
        <v>565</v>
      </c>
      <c r="I806" t="s">
        <v>306</v>
      </c>
      <c r="J806" t="s">
        <v>1821</v>
      </c>
      <c r="K806" t="s">
        <v>212</v>
      </c>
      <c r="L806" t="s">
        <v>839</v>
      </c>
      <c r="M806" t="s">
        <v>28</v>
      </c>
      <c r="N806" s="1">
        <f t="shared" si="180"/>
        <v>2</v>
      </c>
      <c r="O806" s="1">
        <f t="shared" si="181"/>
        <v>3</v>
      </c>
      <c r="P806" s="1">
        <f t="shared" si="182"/>
        <v>5</v>
      </c>
      <c r="Q806" s="1">
        <f t="shared" si="183"/>
        <v>1</v>
      </c>
      <c r="R806" s="1">
        <f t="shared" si="184"/>
        <v>0</v>
      </c>
      <c r="S806" s="1">
        <f t="shared" si="185"/>
        <v>0</v>
      </c>
      <c r="T806" s="1">
        <f t="shared" si="186"/>
        <v>1</v>
      </c>
      <c r="U806" s="26">
        <f t="shared" si="187"/>
        <v>1</v>
      </c>
      <c r="V806" s="26">
        <f t="shared" si="188"/>
        <v>1</v>
      </c>
      <c r="W806" s="1">
        <f t="shared" si="189"/>
        <v>0</v>
      </c>
      <c r="X806" s="26">
        <f t="shared" si="190"/>
        <v>1</v>
      </c>
      <c r="Y806" s="26">
        <f t="shared" si="191"/>
        <v>1</v>
      </c>
      <c r="Z806" s="1">
        <f t="shared" si="192"/>
        <v>1</v>
      </c>
      <c r="AA806"/>
      <c r="AB806"/>
    </row>
    <row r="807" spans="1:28" x14ac:dyDescent="0.55000000000000004">
      <c r="A807" s="1">
        <f t="shared" si="179"/>
        <v>807</v>
      </c>
      <c r="B807" t="s">
        <v>35</v>
      </c>
      <c r="C807" t="s">
        <v>104</v>
      </c>
      <c r="D807" t="s">
        <v>133</v>
      </c>
      <c r="E807" t="s">
        <v>1723</v>
      </c>
      <c r="F807" t="s">
        <v>376</v>
      </c>
      <c r="G807" t="s">
        <v>211</v>
      </c>
      <c r="H807" t="s">
        <v>579</v>
      </c>
      <c r="I807" t="s">
        <v>205</v>
      </c>
      <c r="J807" t="s">
        <v>1822</v>
      </c>
      <c r="K807" t="s">
        <v>309</v>
      </c>
      <c r="L807" t="s">
        <v>576</v>
      </c>
      <c r="M807" t="s">
        <v>28</v>
      </c>
      <c r="N807" s="1">
        <f t="shared" si="180"/>
        <v>2</v>
      </c>
      <c r="O807" s="1">
        <f t="shared" si="181"/>
        <v>1</v>
      </c>
      <c r="P807" s="1">
        <f t="shared" si="182"/>
        <v>3</v>
      </c>
      <c r="Q807" s="1">
        <f t="shared" si="183"/>
        <v>1</v>
      </c>
      <c r="R807" s="1">
        <f t="shared" si="184"/>
        <v>1</v>
      </c>
      <c r="S807" s="1">
        <f t="shared" si="185"/>
        <v>1</v>
      </c>
      <c r="T807" s="1">
        <f t="shared" si="186"/>
        <v>1</v>
      </c>
      <c r="U807" s="26">
        <f t="shared" si="187"/>
        <v>1</v>
      </c>
      <c r="V807" s="26">
        <f t="shared" si="188"/>
        <v>1</v>
      </c>
      <c r="W807" s="1">
        <f t="shared" si="189"/>
        <v>1</v>
      </c>
      <c r="X807" s="26">
        <f t="shared" si="190"/>
        <v>1</v>
      </c>
      <c r="Y807" s="26">
        <f t="shared" si="191"/>
        <v>0</v>
      </c>
      <c r="Z807" s="1">
        <f t="shared" si="192"/>
        <v>1</v>
      </c>
      <c r="AA807"/>
      <c r="AB807"/>
    </row>
    <row r="808" spans="1:28" x14ac:dyDescent="0.55000000000000004">
      <c r="A808" s="1">
        <f t="shared" si="179"/>
        <v>808</v>
      </c>
      <c r="B808" t="s">
        <v>35</v>
      </c>
      <c r="C808" t="s">
        <v>104</v>
      </c>
      <c r="D808" t="s">
        <v>133</v>
      </c>
      <c r="E808" t="s">
        <v>1723</v>
      </c>
      <c r="F808" t="s">
        <v>375</v>
      </c>
      <c r="G808" t="s">
        <v>204</v>
      </c>
      <c r="H808" t="s">
        <v>847</v>
      </c>
      <c r="I808" t="s">
        <v>386</v>
      </c>
      <c r="J808" t="s">
        <v>1823</v>
      </c>
      <c r="K808" t="s">
        <v>206</v>
      </c>
      <c r="L808" t="s">
        <v>831</v>
      </c>
      <c r="M808" t="s">
        <v>28</v>
      </c>
      <c r="N808" s="1">
        <f t="shared" si="180"/>
        <v>5</v>
      </c>
      <c r="O808" s="1">
        <f t="shared" si="181"/>
        <v>0</v>
      </c>
      <c r="P808" s="1">
        <f t="shared" si="182"/>
        <v>5</v>
      </c>
      <c r="Q808" s="1">
        <f t="shared" si="183"/>
        <v>1</v>
      </c>
      <c r="R808" s="1">
        <f t="shared" si="184"/>
        <v>0</v>
      </c>
      <c r="S808" s="1">
        <f t="shared" si="185"/>
        <v>0</v>
      </c>
      <c r="T808" s="1">
        <f t="shared" si="186"/>
        <v>0</v>
      </c>
      <c r="U808" s="26">
        <f t="shared" si="187"/>
        <v>0</v>
      </c>
      <c r="V808" s="26">
        <f t="shared" si="188"/>
        <v>1</v>
      </c>
      <c r="W808" s="1">
        <f t="shared" si="189"/>
        <v>1</v>
      </c>
      <c r="X808" s="26">
        <f t="shared" si="190"/>
        <v>0</v>
      </c>
      <c r="Y808" s="26">
        <f t="shared" si="191"/>
        <v>0</v>
      </c>
      <c r="Z808" s="1">
        <f t="shared" si="192"/>
        <v>1</v>
      </c>
      <c r="AA808"/>
      <c r="AB808"/>
    </row>
    <row r="809" spans="1:28" x14ac:dyDescent="0.55000000000000004">
      <c r="A809" s="1">
        <f t="shared" si="179"/>
        <v>809</v>
      </c>
      <c r="B809" t="s">
        <v>35</v>
      </c>
      <c r="C809" t="s">
        <v>104</v>
      </c>
      <c r="D809" t="s">
        <v>133</v>
      </c>
      <c r="E809" t="s">
        <v>1723</v>
      </c>
      <c r="F809" t="s">
        <v>202</v>
      </c>
      <c r="G809" t="s">
        <v>214</v>
      </c>
      <c r="H809" t="s">
        <v>683</v>
      </c>
      <c r="I809" t="s">
        <v>213</v>
      </c>
      <c r="J809" t="s">
        <v>1824</v>
      </c>
      <c r="K809" t="s">
        <v>301</v>
      </c>
      <c r="L809" t="s">
        <v>582</v>
      </c>
      <c r="M809" t="s">
        <v>28</v>
      </c>
      <c r="N809" s="1">
        <f t="shared" si="180"/>
        <v>3</v>
      </c>
      <c r="O809" s="1">
        <f t="shared" si="181"/>
        <v>2</v>
      </c>
      <c r="P809" s="1">
        <f t="shared" si="182"/>
        <v>5</v>
      </c>
      <c r="Q809" s="1">
        <f t="shared" si="183"/>
        <v>1</v>
      </c>
      <c r="R809" s="1">
        <f t="shared" si="184"/>
        <v>0</v>
      </c>
      <c r="S809" s="1">
        <f t="shared" si="185"/>
        <v>0</v>
      </c>
      <c r="T809" s="1">
        <f t="shared" si="186"/>
        <v>0</v>
      </c>
      <c r="U809" s="26">
        <f t="shared" si="187"/>
        <v>1</v>
      </c>
      <c r="V809" s="26">
        <f t="shared" si="188"/>
        <v>1</v>
      </c>
      <c r="W809" s="1">
        <f t="shared" si="189"/>
        <v>1</v>
      </c>
      <c r="X809" s="26">
        <f t="shared" si="190"/>
        <v>1</v>
      </c>
      <c r="Y809" s="26">
        <f t="shared" si="191"/>
        <v>1</v>
      </c>
      <c r="Z809" s="1">
        <f t="shared" si="192"/>
        <v>1</v>
      </c>
      <c r="AA809"/>
      <c r="AB809"/>
    </row>
    <row r="810" spans="1:28" x14ac:dyDescent="0.55000000000000004">
      <c r="A810" s="1">
        <f t="shared" si="179"/>
        <v>810</v>
      </c>
      <c r="B810" t="s">
        <v>37</v>
      </c>
      <c r="C810" t="s">
        <v>120</v>
      </c>
      <c r="D810" t="s">
        <v>133</v>
      </c>
      <c r="E810" t="s">
        <v>1723</v>
      </c>
      <c r="F810" t="s">
        <v>315</v>
      </c>
      <c r="G810" t="s">
        <v>316</v>
      </c>
      <c r="H810" t="s">
        <v>640</v>
      </c>
      <c r="I810" t="s">
        <v>326</v>
      </c>
      <c r="J810" t="s">
        <v>1836</v>
      </c>
      <c r="K810" t="s">
        <v>341</v>
      </c>
      <c r="L810" t="s">
        <v>861</v>
      </c>
      <c r="M810" t="s">
        <v>28</v>
      </c>
      <c r="N810" s="1">
        <f t="shared" si="180"/>
        <v>1</v>
      </c>
      <c r="O810" s="1">
        <f t="shared" si="181"/>
        <v>4</v>
      </c>
      <c r="P810" s="1">
        <f t="shared" si="182"/>
        <v>5</v>
      </c>
      <c r="Q810" s="1">
        <f t="shared" si="183"/>
        <v>1</v>
      </c>
      <c r="R810" s="1">
        <f t="shared" si="184"/>
        <v>0</v>
      </c>
      <c r="S810" s="1">
        <f t="shared" si="185"/>
        <v>0</v>
      </c>
      <c r="T810" s="1">
        <f t="shared" si="186"/>
        <v>1</v>
      </c>
      <c r="U810" s="26">
        <f t="shared" si="187"/>
        <v>1</v>
      </c>
      <c r="V810" s="26">
        <f t="shared" si="188"/>
        <v>0</v>
      </c>
      <c r="W810" s="1">
        <f t="shared" si="189"/>
        <v>0</v>
      </c>
      <c r="X810" s="26">
        <f t="shared" si="190"/>
        <v>0</v>
      </c>
      <c r="Y810" s="26">
        <f t="shared" si="191"/>
        <v>1</v>
      </c>
      <c r="Z810" s="1">
        <f t="shared" si="192"/>
        <v>1</v>
      </c>
      <c r="AA810"/>
      <c r="AB810"/>
    </row>
    <row r="811" spans="1:28" x14ac:dyDescent="0.55000000000000004">
      <c r="A811" s="1">
        <f t="shared" si="179"/>
        <v>811</v>
      </c>
      <c r="B811" t="s">
        <v>39</v>
      </c>
      <c r="C811" t="s">
        <v>118</v>
      </c>
      <c r="D811" t="s">
        <v>133</v>
      </c>
      <c r="E811" t="s">
        <v>1723</v>
      </c>
      <c r="F811" t="s">
        <v>343</v>
      </c>
      <c r="G811" t="s">
        <v>226</v>
      </c>
      <c r="H811" t="s">
        <v>581</v>
      </c>
      <c r="I811" t="s">
        <v>228</v>
      </c>
      <c r="J811" t="s">
        <v>1875</v>
      </c>
      <c r="K811" t="s">
        <v>241</v>
      </c>
      <c r="L811" t="s">
        <v>995</v>
      </c>
      <c r="M811" t="s">
        <v>28</v>
      </c>
      <c r="N811" s="1">
        <f t="shared" si="180"/>
        <v>1</v>
      </c>
      <c r="O811" s="1">
        <f t="shared" si="181"/>
        <v>2</v>
      </c>
      <c r="P811" s="1">
        <f t="shared" si="182"/>
        <v>3</v>
      </c>
      <c r="Q811" s="1">
        <f t="shared" si="183"/>
        <v>1</v>
      </c>
      <c r="R811" s="1">
        <f t="shared" si="184"/>
        <v>1</v>
      </c>
      <c r="S811" s="1">
        <f t="shared" si="185"/>
        <v>1</v>
      </c>
      <c r="T811" s="1">
        <f t="shared" si="186"/>
        <v>1</v>
      </c>
      <c r="U811" s="26">
        <f t="shared" si="187"/>
        <v>1</v>
      </c>
      <c r="V811" s="26">
        <f t="shared" si="188"/>
        <v>0</v>
      </c>
      <c r="W811" s="1">
        <f t="shared" si="189"/>
        <v>1</v>
      </c>
      <c r="X811" s="26">
        <f t="shared" si="190"/>
        <v>1</v>
      </c>
      <c r="Y811" s="26">
        <f t="shared" si="191"/>
        <v>1</v>
      </c>
      <c r="Z811" s="1">
        <f t="shared" si="192"/>
        <v>1</v>
      </c>
      <c r="AA811"/>
      <c r="AB811"/>
    </row>
    <row r="812" spans="1:28" x14ac:dyDescent="0.55000000000000004">
      <c r="A812" s="1">
        <f t="shared" si="179"/>
        <v>812</v>
      </c>
      <c r="B812" t="s">
        <v>39</v>
      </c>
      <c r="C812" t="s">
        <v>118</v>
      </c>
      <c r="D812" t="s">
        <v>133</v>
      </c>
      <c r="E812" t="s">
        <v>1723</v>
      </c>
      <c r="F812" t="s">
        <v>390</v>
      </c>
      <c r="G812" t="s">
        <v>223</v>
      </c>
      <c r="H812" t="s">
        <v>687</v>
      </c>
      <c r="I812" t="s">
        <v>231</v>
      </c>
      <c r="J812" t="s">
        <v>1876</v>
      </c>
      <c r="K812" t="s">
        <v>244</v>
      </c>
      <c r="L812" t="s">
        <v>1005</v>
      </c>
      <c r="M812" t="s">
        <v>28</v>
      </c>
      <c r="N812" s="1">
        <f t="shared" si="180"/>
        <v>4</v>
      </c>
      <c r="O812" s="1">
        <f t="shared" si="181"/>
        <v>0</v>
      </c>
      <c r="P812" s="1">
        <f t="shared" si="182"/>
        <v>4</v>
      </c>
      <c r="Q812" s="1">
        <f t="shared" si="183"/>
        <v>1</v>
      </c>
      <c r="R812" s="1">
        <f t="shared" si="184"/>
        <v>1</v>
      </c>
      <c r="S812" s="1">
        <f t="shared" si="185"/>
        <v>1</v>
      </c>
      <c r="T812" s="1">
        <f t="shared" si="186"/>
        <v>0</v>
      </c>
      <c r="U812" s="26">
        <f t="shared" si="187"/>
        <v>0</v>
      </c>
      <c r="V812" s="26">
        <f t="shared" si="188"/>
        <v>1</v>
      </c>
      <c r="W812" s="1">
        <f t="shared" si="189"/>
        <v>1</v>
      </c>
      <c r="X812" s="26">
        <f t="shared" si="190"/>
        <v>0</v>
      </c>
      <c r="Y812" s="26">
        <f t="shared" si="191"/>
        <v>0</v>
      </c>
      <c r="Z812" s="1">
        <f t="shared" si="192"/>
        <v>1</v>
      </c>
      <c r="AA812"/>
      <c r="AB812"/>
    </row>
    <row r="813" spans="1:28" x14ac:dyDescent="0.55000000000000004">
      <c r="A813" s="1">
        <f t="shared" si="179"/>
        <v>813</v>
      </c>
      <c r="B813" t="s">
        <v>40</v>
      </c>
      <c r="C813" t="s">
        <v>153</v>
      </c>
      <c r="D813" t="s">
        <v>133</v>
      </c>
      <c r="E813" t="s">
        <v>1723</v>
      </c>
      <c r="F813" t="s">
        <v>396</v>
      </c>
      <c r="G813" t="s">
        <v>256</v>
      </c>
      <c r="H813" t="s">
        <v>664</v>
      </c>
      <c r="I813" t="s">
        <v>249</v>
      </c>
      <c r="J813" t="s">
        <v>1013</v>
      </c>
      <c r="K813" t="s">
        <v>416</v>
      </c>
      <c r="L813" t="s">
        <v>1030</v>
      </c>
      <c r="M813" t="s">
        <v>28</v>
      </c>
      <c r="N813" s="1">
        <f t="shared" si="180"/>
        <v>2</v>
      </c>
      <c r="O813" s="1">
        <f t="shared" si="181"/>
        <v>2</v>
      </c>
      <c r="P813" s="1">
        <f t="shared" si="182"/>
        <v>4</v>
      </c>
      <c r="Q813" s="1">
        <f t="shared" si="183"/>
        <v>0</v>
      </c>
      <c r="R813" s="1">
        <f t="shared" si="184"/>
        <v>1</v>
      </c>
      <c r="S813" s="1">
        <f t="shared" si="185"/>
        <v>0</v>
      </c>
      <c r="T813" s="1">
        <f t="shared" si="186"/>
        <v>1</v>
      </c>
      <c r="U813" s="26">
        <f t="shared" si="187"/>
        <v>1</v>
      </c>
      <c r="V813" s="26">
        <f t="shared" si="188"/>
        <v>1</v>
      </c>
      <c r="W813" s="1">
        <f t="shared" si="189"/>
        <v>1</v>
      </c>
      <c r="X813" s="26">
        <f t="shared" si="190"/>
        <v>1</v>
      </c>
      <c r="Y813" s="26">
        <f t="shared" si="191"/>
        <v>1</v>
      </c>
      <c r="Z813" s="1">
        <f t="shared" si="192"/>
        <v>1</v>
      </c>
      <c r="AA813"/>
      <c r="AB813"/>
    </row>
    <row r="814" spans="1:28" x14ac:dyDescent="0.55000000000000004">
      <c r="A814" s="1">
        <f t="shared" si="179"/>
        <v>814</v>
      </c>
      <c r="B814" t="s">
        <v>40</v>
      </c>
      <c r="C814" t="s">
        <v>153</v>
      </c>
      <c r="D814" t="s">
        <v>133</v>
      </c>
      <c r="E814" t="s">
        <v>1723</v>
      </c>
      <c r="F814" t="s">
        <v>392</v>
      </c>
      <c r="G814" t="s">
        <v>255</v>
      </c>
      <c r="H814" t="s">
        <v>577</v>
      </c>
      <c r="I814" t="s">
        <v>260</v>
      </c>
      <c r="J814" t="s">
        <v>1910</v>
      </c>
      <c r="K814" t="s">
        <v>257</v>
      </c>
      <c r="L814" t="s">
        <v>1025</v>
      </c>
      <c r="M814" t="s">
        <v>28</v>
      </c>
      <c r="N814" s="1">
        <f t="shared" si="180"/>
        <v>1</v>
      </c>
      <c r="O814" s="1">
        <f t="shared" si="181"/>
        <v>3</v>
      </c>
      <c r="P814" s="1">
        <f t="shared" si="182"/>
        <v>4</v>
      </c>
      <c r="Q814" s="1">
        <f t="shared" si="183"/>
        <v>1</v>
      </c>
      <c r="R814" s="1">
        <f t="shared" si="184"/>
        <v>1</v>
      </c>
      <c r="S814" s="1">
        <f t="shared" si="185"/>
        <v>1</v>
      </c>
      <c r="T814" s="1">
        <f t="shared" si="186"/>
        <v>1</v>
      </c>
      <c r="U814" s="26">
        <f t="shared" si="187"/>
        <v>1</v>
      </c>
      <c r="V814" s="26">
        <f t="shared" si="188"/>
        <v>0</v>
      </c>
      <c r="W814" s="1">
        <f t="shared" si="189"/>
        <v>0</v>
      </c>
      <c r="X814" s="26">
        <f t="shared" si="190"/>
        <v>1</v>
      </c>
      <c r="Y814" s="26">
        <f t="shared" si="191"/>
        <v>1</v>
      </c>
      <c r="Z814" s="1">
        <f t="shared" si="192"/>
        <v>1</v>
      </c>
      <c r="AA814"/>
      <c r="AB814"/>
    </row>
    <row r="815" spans="1:28" x14ac:dyDescent="0.55000000000000004">
      <c r="A815" s="1">
        <f t="shared" si="179"/>
        <v>815</v>
      </c>
      <c r="B815" t="s">
        <v>40</v>
      </c>
      <c r="C815" t="s">
        <v>153</v>
      </c>
      <c r="D815" t="s">
        <v>133</v>
      </c>
      <c r="E815" t="s">
        <v>1723</v>
      </c>
      <c r="F815" t="s">
        <v>392</v>
      </c>
      <c r="G815" t="s">
        <v>252</v>
      </c>
      <c r="H815" t="s">
        <v>608</v>
      </c>
      <c r="I815" t="s">
        <v>261</v>
      </c>
      <c r="J815" t="s">
        <v>1911</v>
      </c>
      <c r="K815" t="s">
        <v>254</v>
      </c>
      <c r="L815" t="s">
        <v>1016</v>
      </c>
      <c r="M815" t="s">
        <v>28</v>
      </c>
      <c r="N815" s="1">
        <f t="shared" si="180"/>
        <v>1</v>
      </c>
      <c r="O815" s="1">
        <f t="shared" si="181"/>
        <v>1</v>
      </c>
      <c r="P815" s="1">
        <f t="shared" si="182"/>
        <v>2</v>
      </c>
      <c r="Q815" s="1">
        <f t="shared" si="183"/>
        <v>0</v>
      </c>
      <c r="R815" s="1">
        <f t="shared" si="184"/>
        <v>1</v>
      </c>
      <c r="S815" s="1">
        <f t="shared" si="185"/>
        <v>0</v>
      </c>
      <c r="T815" s="1">
        <f t="shared" si="186"/>
        <v>1</v>
      </c>
      <c r="U815" s="26">
        <f t="shared" si="187"/>
        <v>1</v>
      </c>
      <c r="V815" s="26">
        <f t="shared" si="188"/>
        <v>0</v>
      </c>
      <c r="W815" s="1">
        <f t="shared" si="189"/>
        <v>1</v>
      </c>
      <c r="X815" s="26">
        <f t="shared" si="190"/>
        <v>1</v>
      </c>
      <c r="Y815" s="26">
        <f t="shared" si="191"/>
        <v>0</v>
      </c>
      <c r="Z815" s="1">
        <f t="shared" si="192"/>
        <v>1</v>
      </c>
      <c r="AA815"/>
      <c r="AB815"/>
    </row>
    <row r="816" spans="1:28" x14ac:dyDescent="0.55000000000000004">
      <c r="A816" s="1">
        <f t="shared" si="179"/>
        <v>816</v>
      </c>
      <c r="B816" t="s">
        <v>40</v>
      </c>
      <c r="C816" t="s">
        <v>153</v>
      </c>
      <c r="D816" t="s">
        <v>133</v>
      </c>
      <c r="E816" t="s">
        <v>1723</v>
      </c>
      <c r="F816" t="s">
        <v>251</v>
      </c>
      <c r="G816" t="s">
        <v>266</v>
      </c>
      <c r="H816" t="s">
        <v>575</v>
      </c>
      <c r="I816" t="s">
        <v>248</v>
      </c>
      <c r="J816" t="s">
        <v>1912</v>
      </c>
      <c r="K816" t="s">
        <v>267</v>
      </c>
      <c r="L816" t="s">
        <v>1014</v>
      </c>
      <c r="M816" t="s">
        <v>28</v>
      </c>
      <c r="N816" s="1">
        <f t="shared" si="180"/>
        <v>1</v>
      </c>
      <c r="O816" s="1">
        <f t="shared" si="181"/>
        <v>0</v>
      </c>
      <c r="P816" s="1">
        <f t="shared" si="182"/>
        <v>1</v>
      </c>
      <c r="Q816" s="1">
        <f t="shared" si="183"/>
        <v>1</v>
      </c>
      <c r="R816" s="1">
        <f t="shared" si="184"/>
        <v>1</v>
      </c>
      <c r="S816" s="1">
        <f t="shared" si="185"/>
        <v>1</v>
      </c>
      <c r="T816" s="1">
        <f t="shared" si="186"/>
        <v>1</v>
      </c>
      <c r="U816" s="26">
        <f t="shared" si="187"/>
        <v>1</v>
      </c>
      <c r="V816" s="26">
        <f t="shared" si="188"/>
        <v>0</v>
      </c>
      <c r="W816" s="1">
        <f t="shared" si="189"/>
        <v>1</v>
      </c>
      <c r="X816" s="26">
        <f t="shared" si="190"/>
        <v>0</v>
      </c>
      <c r="Y816" s="26">
        <f t="shared" si="191"/>
        <v>0</v>
      </c>
      <c r="Z816" s="1">
        <f t="shared" si="192"/>
        <v>0</v>
      </c>
      <c r="AA816"/>
      <c r="AB816"/>
    </row>
    <row r="817" spans="1:28" x14ac:dyDescent="0.55000000000000004">
      <c r="A817" s="1">
        <f t="shared" si="179"/>
        <v>817</v>
      </c>
      <c r="B817" t="s">
        <v>40</v>
      </c>
      <c r="C817" t="s">
        <v>153</v>
      </c>
      <c r="D817" t="s">
        <v>133</v>
      </c>
      <c r="E817" t="s">
        <v>1723</v>
      </c>
      <c r="F817" t="s">
        <v>251</v>
      </c>
      <c r="G817" t="s">
        <v>258</v>
      </c>
      <c r="H817" t="s">
        <v>847</v>
      </c>
      <c r="I817" t="s">
        <v>265</v>
      </c>
      <c r="J817" t="s">
        <v>1913</v>
      </c>
      <c r="K817" t="s">
        <v>259</v>
      </c>
      <c r="L817" t="s">
        <v>1027</v>
      </c>
      <c r="M817" t="s">
        <v>28</v>
      </c>
      <c r="N817" s="1">
        <f t="shared" si="180"/>
        <v>5</v>
      </c>
      <c r="O817" s="1">
        <f t="shared" si="181"/>
        <v>0</v>
      </c>
      <c r="P817" s="1">
        <f t="shared" si="182"/>
        <v>5</v>
      </c>
      <c r="Q817" s="1">
        <f t="shared" si="183"/>
        <v>1</v>
      </c>
      <c r="R817" s="1">
        <f t="shared" si="184"/>
        <v>0</v>
      </c>
      <c r="S817" s="1">
        <f t="shared" si="185"/>
        <v>0</v>
      </c>
      <c r="T817" s="1">
        <f t="shared" si="186"/>
        <v>0</v>
      </c>
      <c r="U817" s="26">
        <f t="shared" si="187"/>
        <v>0</v>
      </c>
      <c r="V817" s="26">
        <f t="shared" si="188"/>
        <v>1</v>
      </c>
      <c r="W817" s="1">
        <f t="shared" si="189"/>
        <v>1</v>
      </c>
      <c r="X817" s="26">
        <f t="shared" si="190"/>
        <v>0</v>
      </c>
      <c r="Y817" s="26">
        <f t="shared" si="191"/>
        <v>0</v>
      </c>
      <c r="Z817" s="1">
        <f t="shared" si="192"/>
        <v>1</v>
      </c>
      <c r="AA817"/>
      <c r="AB817"/>
    </row>
    <row r="818" spans="1:28" x14ac:dyDescent="0.55000000000000004">
      <c r="A818" s="1">
        <f t="shared" si="179"/>
        <v>818</v>
      </c>
      <c r="B818" t="s">
        <v>30</v>
      </c>
      <c r="C818" t="s">
        <v>84</v>
      </c>
      <c r="D818" t="s">
        <v>42</v>
      </c>
      <c r="E818" t="s">
        <v>1401</v>
      </c>
      <c r="F818" t="s">
        <v>380</v>
      </c>
      <c r="G818" t="s">
        <v>51</v>
      </c>
      <c r="H818" t="s">
        <v>575</v>
      </c>
      <c r="I818" t="s">
        <v>45</v>
      </c>
      <c r="J818" t="s">
        <v>1402</v>
      </c>
      <c r="K818" t="s">
        <v>53</v>
      </c>
      <c r="L818" t="s">
        <v>767</v>
      </c>
      <c r="M818" t="s">
        <v>28</v>
      </c>
      <c r="N818" s="1">
        <f t="shared" si="180"/>
        <v>1</v>
      </c>
      <c r="O818" s="1">
        <f t="shared" si="181"/>
        <v>0</v>
      </c>
      <c r="P818" s="1">
        <f t="shared" si="182"/>
        <v>1</v>
      </c>
      <c r="Q818" s="1">
        <f t="shared" si="183"/>
        <v>1</v>
      </c>
      <c r="R818" s="1">
        <f t="shared" si="184"/>
        <v>1</v>
      </c>
      <c r="S818" s="1">
        <f t="shared" si="185"/>
        <v>1</v>
      </c>
      <c r="T818" s="1">
        <f t="shared" si="186"/>
        <v>1</v>
      </c>
      <c r="U818" s="26">
        <f t="shared" si="187"/>
        <v>1</v>
      </c>
      <c r="V818" s="26">
        <f t="shared" si="188"/>
        <v>0</v>
      </c>
      <c r="W818" s="1">
        <f t="shared" si="189"/>
        <v>1</v>
      </c>
      <c r="X818" s="26">
        <f t="shared" si="190"/>
        <v>0</v>
      </c>
      <c r="Y818" s="26">
        <f t="shared" si="191"/>
        <v>0</v>
      </c>
      <c r="Z818" s="1">
        <f t="shared" si="192"/>
        <v>0</v>
      </c>
      <c r="AA818"/>
      <c r="AB818"/>
    </row>
    <row r="819" spans="1:28" x14ac:dyDescent="0.55000000000000004">
      <c r="A819" s="1">
        <f t="shared" si="179"/>
        <v>819</v>
      </c>
      <c r="B819" t="s">
        <v>30</v>
      </c>
      <c r="C819" t="s">
        <v>84</v>
      </c>
      <c r="D819" t="s">
        <v>42</v>
      </c>
      <c r="E819" t="s">
        <v>1401</v>
      </c>
      <c r="F819" t="s">
        <v>380</v>
      </c>
      <c r="G819" t="s">
        <v>58</v>
      </c>
      <c r="H819" t="s">
        <v>817</v>
      </c>
      <c r="I819" t="s">
        <v>66</v>
      </c>
      <c r="J819" t="s">
        <v>1403</v>
      </c>
      <c r="K819" t="s">
        <v>71</v>
      </c>
      <c r="L819" t="s">
        <v>759</v>
      </c>
      <c r="M819" t="s">
        <v>28</v>
      </c>
      <c r="N819" s="1">
        <f t="shared" si="180"/>
        <v>4</v>
      </c>
      <c r="O819" s="1">
        <f t="shared" si="181"/>
        <v>1</v>
      </c>
      <c r="P819" s="1">
        <f t="shared" si="182"/>
        <v>5</v>
      </c>
      <c r="Q819" s="1">
        <f t="shared" si="183"/>
        <v>1</v>
      </c>
      <c r="R819" s="1">
        <f t="shared" si="184"/>
        <v>0</v>
      </c>
      <c r="S819" s="1">
        <f t="shared" si="185"/>
        <v>0</v>
      </c>
      <c r="T819" s="1">
        <f t="shared" si="186"/>
        <v>0</v>
      </c>
      <c r="U819" s="26">
        <f t="shared" si="187"/>
        <v>0</v>
      </c>
      <c r="V819" s="26">
        <f t="shared" si="188"/>
        <v>1</v>
      </c>
      <c r="W819" s="1">
        <f t="shared" si="189"/>
        <v>1</v>
      </c>
      <c r="X819" s="26">
        <f t="shared" si="190"/>
        <v>1</v>
      </c>
      <c r="Y819" s="26">
        <f t="shared" si="191"/>
        <v>0</v>
      </c>
      <c r="Z819" s="1">
        <f t="shared" si="192"/>
        <v>1</v>
      </c>
      <c r="AA819"/>
      <c r="AB819"/>
    </row>
    <row r="820" spans="1:28" x14ac:dyDescent="0.55000000000000004">
      <c r="A820" s="1">
        <f t="shared" si="179"/>
        <v>820</v>
      </c>
      <c r="B820" t="s">
        <v>30</v>
      </c>
      <c r="C820" t="s">
        <v>84</v>
      </c>
      <c r="D820" t="s">
        <v>42</v>
      </c>
      <c r="E820" t="s">
        <v>1401</v>
      </c>
      <c r="F820" t="s">
        <v>398</v>
      </c>
      <c r="G820" t="s">
        <v>55</v>
      </c>
      <c r="H820" t="s">
        <v>590</v>
      </c>
      <c r="I820" t="s">
        <v>67</v>
      </c>
      <c r="J820" t="s">
        <v>1404</v>
      </c>
      <c r="K820" t="s">
        <v>75</v>
      </c>
      <c r="L820" t="s">
        <v>769</v>
      </c>
      <c r="M820" t="s">
        <v>28</v>
      </c>
      <c r="N820" s="1">
        <f t="shared" si="180"/>
        <v>0</v>
      </c>
      <c r="O820" s="1">
        <f t="shared" si="181"/>
        <v>1</v>
      </c>
      <c r="P820" s="1">
        <f t="shared" si="182"/>
        <v>1</v>
      </c>
      <c r="Q820" s="1">
        <f t="shared" si="183"/>
        <v>1</v>
      </c>
      <c r="R820" s="1">
        <f t="shared" si="184"/>
        <v>1</v>
      </c>
      <c r="S820" s="1">
        <f t="shared" si="185"/>
        <v>1</v>
      </c>
      <c r="T820" s="1">
        <f t="shared" si="186"/>
        <v>1</v>
      </c>
      <c r="U820" s="26">
        <f t="shared" si="187"/>
        <v>0</v>
      </c>
      <c r="V820" s="26">
        <f t="shared" si="188"/>
        <v>0</v>
      </c>
      <c r="W820" s="1">
        <f t="shared" si="189"/>
        <v>1</v>
      </c>
      <c r="X820" s="26">
        <f t="shared" si="190"/>
        <v>1</v>
      </c>
      <c r="Y820" s="26">
        <f t="shared" si="191"/>
        <v>0</v>
      </c>
      <c r="Z820" s="1">
        <f t="shared" si="192"/>
        <v>0</v>
      </c>
      <c r="AA820"/>
      <c r="AB820"/>
    </row>
    <row r="821" spans="1:28" x14ac:dyDescent="0.55000000000000004">
      <c r="A821" s="1">
        <f t="shared" si="179"/>
        <v>821</v>
      </c>
      <c r="B821" t="s">
        <v>30</v>
      </c>
      <c r="C821" t="s">
        <v>84</v>
      </c>
      <c r="D821" t="s">
        <v>42</v>
      </c>
      <c r="E821" t="s">
        <v>1401</v>
      </c>
      <c r="F821" t="s">
        <v>398</v>
      </c>
      <c r="G821" t="s">
        <v>54</v>
      </c>
      <c r="H821" t="s">
        <v>608</v>
      </c>
      <c r="I821" t="s">
        <v>63</v>
      </c>
      <c r="J821" t="s">
        <v>1405</v>
      </c>
      <c r="K821" t="s">
        <v>56</v>
      </c>
      <c r="L821" t="s">
        <v>781</v>
      </c>
      <c r="M821" t="s">
        <v>28</v>
      </c>
      <c r="N821" s="1">
        <f t="shared" si="180"/>
        <v>1</v>
      </c>
      <c r="O821" s="1">
        <f t="shared" si="181"/>
        <v>1</v>
      </c>
      <c r="P821" s="1">
        <f t="shared" si="182"/>
        <v>2</v>
      </c>
      <c r="Q821" s="1">
        <f t="shared" si="183"/>
        <v>0</v>
      </c>
      <c r="R821" s="1">
        <f t="shared" si="184"/>
        <v>1</v>
      </c>
      <c r="S821" s="1">
        <f t="shared" si="185"/>
        <v>0</v>
      </c>
      <c r="T821" s="1">
        <f t="shared" si="186"/>
        <v>1</v>
      </c>
      <c r="U821" s="26">
        <f t="shared" si="187"/>
        <v>1</v>
      </c>
      <c r="V821" s="26">
        <f t="shared" si="188"/>
        <v>0</v>
      </c>
      <c r="W821" s="1">
        <f t="shared" si="189"/>
        <v>1</v>
      </c>
      <c r="X821" s="26">
        <f t="shared" si="190"/>
        <v>1</v>
      </c>
      <c r="Y821" s="26">
        <f t="shared" si="191"/>
        <v>0</v>
      </c>
      <c r="Z821" s="1">
        <f t="shared" si="192"/>
        <v>1</v>
      </c>
      <c r="AA821"/>
      <c r="AB821"/>
    </row>
    <row r="822" spans="1:28" x14ac:dyDescent="0.55000000000000004">
      <c r="A822" s="1">
        <f t="shared" si="179"/>
        <v>822</v>
      </c>
      <c r="B822" t="s">
        <v>39</v>
      </c>
      <c r="C822" t="s">
        <v>118</v>
      </c>
      <c r="D822" t="s">
        <v>42</v>
      </c>
      <c r="E822" t="s">
        <v>1401</v>
      </c>
      <c r="F822" t="s">
        <v>343</v>
      </c>
      <c r="G822" t="s">
        <v>219</v>
      </c>
      <c r="H822" t="s">
        <v>581</v>
      </c>
      <c r="I822" t="s">
        <v>235</v>
      </c>
      <c r="J822" t="s">
        <v>1537</v>
      </c>
      <c r="K822" t="s">
        <v>221</v>
      </c>
      <c r="L822" t="s">
        <v>987</v>
      </c>
      <c r="M822" t="s">
        <v>28</v>
      </c>
      <c r="N822" s="1">
        <f t="shared" si="180"/>
        <v>1</v>
      </c>
      <c r="O822" s="1">
        <f t="shared" si="181"/>
        <v>2</v>
      </c>
      <c r="P822" s="1">
        <f t="shared" si="182"/>
        <v>3</v>
      </c>
      <c r="Q822" s="1">
        <f t="shared" si="183"/>
        <v>1</v>
      </c>
      <c r="R822" s="1">
        <f t="shared" si="184"/>
        <v>1</v>
      </c>
      <c r="S822" s="1">
        <f t="shared" si="185"/>
        <v>1</v>
      </c>
      <c r="T822" s="1">
        <f t="shared" si="186"/>
        <v>1</v>
      </c>
      <c r="U822" s="26">
        <f t="shared" si="187"/>
        <v>1</v>
      </c>
      <c r="V822" s="26">
        <f t="shared" si="188"/>
        <v>0</v>
      </c>
      <c r="W822" s="1">
        <f t="shared" si="189"/>
        <v>1</v>
      </c>
      <c r="X822" s="26">
        <f t="shared" si="190"/>
        <v>1</v>
      </c>
      <c r="Y822" s="26">
        <f t="shared" si="191"/>
        <v>1</v>
      </c>
      <c r="Z822" s="1">
        <f t="shared" si="192"/>
        <v>1</v>
      </c>
      <c r="AA822"/>
      <c r="AB822"/>
    </row>
    <row r="823" spans="1:28" x14ac:dyDescent="0.55000000000000004">
      <c r="A823" s="1">
        <f t="shared" si="179"/>
        <v>823</v>
      </c>
      <c r="B823" t="s">
        <v>39</v>
      </c>
      <c r="C823" t="s">
        <v>118</v>
      </c>
      <c r="D823" t="s">
        <v>42</v>
      </c>
      <c r="E823" t="s">
        <v>1401</v>
      </c>
      <c r="F823" t="s">
        <v>1538</v>
      </c>
      <c r="G823" t="s">
        <v>225</v>
      </c>
      <c r="H823" t="s">
        <v>575</v>
      </c>
      <c r="I823" t="s">
        <v>232</v>
      </c>
      <c r="J823" t="s">
        <v>1539</v>
      </c>
      <c r="K823" t="s">
        <v>227</v>
      </c>
      <c r="L823" t="s">
        <v>1540</v>
      </c>
      <c r="M823" t="s">
        <v>28</v>
      </c>
      <c r="N823" s="1">
        <f t="shared" si="180"/>
        <v>1</v>
      </c>
      <c r="O823" s="1">
        <f t="shared" si="181"/>
        <v>0</v>
      </c>
      <c r="P823" s="1">
        <f t="shared" si="182"/>
        <v>1</v>
      </c>
      <c r="Q823" s="1">
        <f t="shared" si="183"/>
        <v>1</v>
      </c>
      <c r="R823" s="1">
        <f t="shared" si="184"/>
        <v>1</v>
      </c>
      <c r="S823" s="1">
        <f t="shared" si="185"/>
        <v>1</v>
      </c>
      <c r="T823" s="1">
        <f t="shared" si="186"/>
        <v>1</v>
      </c>
      <c r="U823" s="26">
        <f t="shared" si="187"/>
        <v>1</v>
      </c>
      <c r="V823" s="26">
        <f t="shared" si="188"/>
        <v>0</v>
      </c>
      <c r="W823" s="1">
        <f t="shared" si="189"/>
        <v>1</v>
      </c>
      <c r="X823" s="26">
        <f t="shared" si="190"/>
        <v>0</v>
      </c>
      <c r="Y823" s="26">
        <f t="shared" si="191"/>
        <v>0</v>
      </c>
      <c r="Z823" s="1">
        <f t="shared" si="192"/>
        <v>0</v>
      </c>
      <c r="AA823"/>
      <c r="AB823"/>
    </row>
    <row r="824" spans="1:28" x14ac:dyDescent="0.55000000000000004">
      <c r="A824" s="1">
        <f t="shared" si="179"/>
        <v>824</v>
      </c>
      <c r="B824" t="s">
        <v>39</v>
      </c>
      <c r="C824" t="s">
        <v>118</v>
      </c>
      <c r="D824" t="s">
        <v>42</v>
      </c>
      <c r="E824" t="s">
        <v>1401</v>
      </c>
      <c r="F824" t="s">
        <v>390</v>
      </c>
      <c r="G824" t="s">
        <v>234</v>
      </c>
      <c r="H824" t="s">
        <v>573</v>
      </c>
      <c r="I824" t="s">
        <v>229</v>
      </c>
      <c r="J824" t="s">
        <v>1541</v>
      </c>
      <c r="K824" t="s">
        <v>236</v>
      </c>
      <c r="L824" t="s">
        <v>993</v>
      </c>
      <c r="M824" t="s">
        <v>28</v>
      </c>
      <c r="N824" s="1">
        <f t="shared" si="180"/>
        <v>2</v>
      </c>
      <c r="O824" s="1">
        <f t="shared" si="181"/>
        <v>0</v>
      </c>
      <c r="P824" s="1">
        <f t="shared" si="182"/>
        <v>2</v>
      </c>
      <c r="Q824" s="1">
        <f t="shared" si="183"/>
        <v>1</v>
      </c>
      <c r="R824" s="1">
        <f t="shared" si="184"/>
        <v>1</v>
      </c>
      <c r="S824" s="1">
        <f t="shared" si="185"/>
        <v>1</v>
      </c>
      <c r="T824" s="1">
        <f t="shared" si="186"/>
        <v>1</v>
      </c>
      <c r="U824" s="26">
        <f t="shared" si="187"/>
        <v>1</v>
      </c>
      <c r="V824" s="26">
        <f t="shared" si="188"/>
        <v>1</v>
      </c>
      <c r="W824" s="1">
        <f t="shared" si="189"/>
        <v>1</v>
      </c>
      <c r="X824" s="26">
        <f t="shared" si="190"/>
        <v>0</v>
      </c>
      <c r="Y824" s="26">
        <f t="shared" si="191"/>
        <v>0</v>
      </c>
      <c r="Z824" s="1">
        <f t="shared" si="192"/>
        <v>1</v>
      </c>
      <c r="AA824"/>
      <c r="AB824"/>
    </row>
    <row r="825" spans="1:28" x14ac:dyDescent="0.55000000000000004">
      <c r="A825" s="1">
        <f t="shared" si="179"/>
        <v>825</v>
      </c>
      <c r="B825" t="s">
        <v>39</v>
      </c>
      <c r="C825" t="s">
        <v>118</v>
      </c>
      <c r="D825" t="s">
        <v>42</v>
      </c>
      <c r="E825" t="s">
        <v>1401</v>
      </c>
      <c r="F825" t="s">
        <v>390</v>
      </c>
      <c r="G825" t="s">
        <v>220</v>
      </c>
      <c r="H825" t="s">
        <v>573</v>
      </c>
      <c r="I825" t="s">
        <v>222</v>
      </c>
      <c r="J825" t="s">
        <v>1542</v>
      </c>
      <c r="K825" t="s">
        <v>240</v>
      </c>
      <c r="L825" t="s">
        <v>1140</v>
      </c>
      <c r="M825" t="s">
        <v>28</v>
      </c>
      <c r="N825" s="1">
        <f t="shared" si="180"/>
        <v>2</v>
      </c>
      <c r="O825" s="1">
        <f t="shared" si="181"/>
        <v>0</v>
      </c>
      <c r="P825" s="1">
        <f t="shared" si="182"/>
        <v>2</v>
      </c>
      <c r="Q825" s="1">
        <f t="shared" si="183"/>
        <v>1</v>
      </c>
      <c r="R825" s="1">
        <f t="shared" si="184"/>
        <v>1</v>
      </c>
      <c r="S825" s="1">
        <f t="shared" si="185"/>
        <v>1</v>
      </c>
      <c r="T825" s="1">
        <f t="shared" si="186"/>
        <v>1</v>
      </c>
      <c r="U825" s="26">
        <f t="shared" si="187"/>
        <v>1</v>
      </c>
      <c r="V825" s="26">
        <f t="shared" si="188"/>
        <v>1</v>
      </c>
      <c r="W825" s="1">
        <f t="shared" si="189"/>
        <v>1</v>
      </c>
      <c r="X825" s="26">
        <f t="shared" si="190"/>
        <v>0</v>
      </c>
      <c r="Y825" s="26">
        <f t="shared" si="191"/>
        <v>0</v>
      </c>
      <c r="Z825" s="1">
        <f t="shared" si="192"/>
        <v>1</v>
      </c>
      <c r="AA825"/>
      <c r="AB825"/>
    </row>
    <row r="826" spans="1:28" x14ac:dyDescent="0.55000000000000004">
      <c r="A826" s="1">
        <f t="shared" si="179"/>
        <v>826</v>
      </c>
      <c r="B826" t="s">
        <v>30</v>
      </c>
      <c r="C826" t="s">
        <v>84</v>
      </c>
      <c r="D826" t="s">
        <v>179</v>
      </c>
      <c r="E826" t="s">
        <v>788</v>
      </c>
      <c r="F826" t="s">
        <v>181</v>
      </c>
      <c r="G826" t="s">
        <v>52</v>
      </c>
      <c r="H826" t="s">
        <v>565</v>
      </c>
      <c r="I826" t="s">
        <v>48</v>
      </c>
      <c r="J826" t="s">
        <v>789</v>
      </c>
      <c r="K826" t="s">
        <v>71</v>
      </c>
      <c r="L826" t="s">
        <v>757</v>
      </c>
      <c r="M826" t="s">
        <v>28</v>
      </c>
      <c r="N826" s="1">
        <f t="shared" si="180"/>
        <v>2</v>
      </c>
      <c r="O826" s="1">
        <f t="shared" si="181"/>
        <v>3</v>
      </c>
      <c r="P826" s="1">
        <f t="shared" si="182"/>
        <v>5</v>
      </c>
      <c r="Q826" s="1">
        <f t="shared" si="183"/>
        <v>1</v>
      </c>
      <c r="R826" s="1">
        <f t="shared" si="184"/>
        <v>0</v>
      </c>
      <c r="S826" s="1">
        <f t="shared" si="185"/>
        <v>0</v>
      </c>
      <c r="T826" s="1">
        <f t="shared" si="186"/>
        <v>1</v>
      </c>
      <c r="U826" s="26">
        <f t="shared" si="187"/>
        <v>1</v>
      </c>
      <c r="V826" s="26">
        <f t="shared" si="188"/>
        <v>1</v>
      </c>
      <c r="W826" s="1">
        <f t="shared" si="189"/>
        <v>0</v>
      </c>
      <c r="X826" s="26">
        <f t="shared" si="190"/>
        <v>1</v>
      </c>
      <c r="Y826" s="26">
        <f t="shared" si="191"/>
        <v>1</v>
      </c>
      <c r="Z826" s="1">
        <f t="shared" si="192"/>
        <v>1</v>
      </c>
      <c r="AA826"/>
      <c r="AB826"/>
    </row>
    <row r="827" spans="1:28" x14ac:dyDescent="0.55000000000000004">
      <c r="A827" s="1">
        <f t="shared" si="179"/>
        <v>827</v>
      </c>
      <c r="B827" t="s">
        <v>37</v>
      </c>
      <c r="C827" t="s">
        <v>114</v>
      </c>
      <c r="D827" t="s">
        <v>179</v>
      </c>
      <c r="E827" t="s">
        <v>788</v>
      </c>
      <c r="F827" t="s">
        <v>315</v>
      </c>
      <c r="G827" t="s">
        <v>321</v>
      </c>
      <c r="H827" t="s">
        <v>579</v>
      </c>
      <c r="I827" t="s">
        <v>318</v>
      </c>
      <c r="J827" t="s">
        <v>890</v>
      </c>
      <c r="K827" t="s">
        <v>323</v>
      </c>
      <c r="L827" t="s">
        <v>589</v>
      </c>
      <c r="M827" t="s">
        <v>28</v>
      </c>
      <c r="N827" s="1">
        <f t="shared" si="180"/>
        <v>2</v>
      </c>
      <c r="O827" s="1">
        <f t="shared" si="181"/>
        <v>1</v>
      </c>
      <c r="P827" s="1">
        <f t="shared" si="182"/>
        <v>3</v>
      </c>
      <c r="Q827" s="1">
        <f t="shared" si="183"/>
        <v>1</v>
      </c>
      <c r="R827" s="1">
        <f t="shared" si="184"/>
        <v>1</v>
      </c>
      <c r="S827" s="1">
        <f t="shared" si="185"/>
        <v>1</v>
      </c>
      <c r="T827" s="1">
        <f t="shared" si="186"/>
        <v>1</v>
      </c>
      <c r="U827" s="26">
        <f t="shared" si="187"/>
        <v>1</v>
      </c>
      <c r="V827" s="26">
        <f t="shared" si="188"/>
        <v>1</v>
      </c>
      <c r="W827" s="1">
        <f t="shared" si="189"/>
        <v>1</v>
      </c>
      <c r="X827" s="26">
        <f t="shared" si="190"/>
        <v>1</v>
      </c>
      <c r="Y827" s="26">
        <f t="shared" si="191"/>
        <v>0</v>
      </c>
      <c r="Z827" s="1">
        <f t="shared" si="192"/>
        <v>1</v>
      </c>
      <c r="AA827"/>
      <c r="AB827"/>
    </row>
    <row r="828" spans="1:28" x14ac:dyDescent="0.55000000000000004">
      <c r="A828" s="1">
        <f t="shared" si="179"/>
        <v>828</v>
      </c>
      <c r="B828" t="s">
        <v>40</v>
      </c>
      <c r="C828" t="s">
        <v>153</v>
      </c>
      <c r="D828" t="s">
        <v>179</v>
      </c>
      <c r="E828" t="s">
        <v>788</v>
      </c>
      <c r="F828" t="s">
        <v>247</v>
      </c>
      <c r="G828" t="s">
        <v>253</v>
      </c>
      <c r="H828" t="s">
        <v>608</v>
      </c>
      <c r="I828" t="s">
        <v>263</v>
      </c>
      <c r="J828" t="s">
        <v>1017</v>
      </c>
      <c r="K828" t="s">
        <v>395</v>
      </c>
      <c r="L828" t="s">
        <v>1018</v>
      </c>
      <c r="M828" t="s">
        <v>28</v>
      </c>
      <c r="N828" s="1">
        <f t="shared" si="180"/>
        <v>1</v>
      </c>
      <c r="O828" s="1">
        <f t="shared" si="181"/>
        <v>1</v>
      </c>
      <c r="P828" s="1">
        <f t="shared" si="182"/>
        <v>2</v>
      </c>
      <c r="Q828" s="1">
        <f t="shared" si="183"/>
        <v>0</v>
      </c>
      <c r="R828" s="1">
        <f t="shared" si="184"/>
        <v>1</v>
      </c>
      <c r="S828" s="1">
        <f t="shared" si="185"/>
        <v>0</v>
      </c>
      <c r="T828" s="1">
        <f t="shared" si="186"/>
        <v>1</v>
      </c>
      <c r="U828" s="26">
        <f t="shared" si="187"/>
        <v>1</v>
      </c>
      <c r="V828" s="26">
        <f t="shared" si="188"/>
        <v>0</v>
      </c>
      <c r="W828" s="1">
        <f t="shared" si="189"/>
        <v>1</v>
      </c>
      <c r="X828" s="26">
        <f t="shared" si="190"/>
        <v>1</v>
      </c>
      <c r="Y828" s="26">
        <f t="shared" si="191"/>
        <v>0</v>
      </c>
      <c r="Z828" s="1">
        <f t="shared" si="192"/>
        <v>1</v>
      </c>
      <c r="AA828"/>
      <c r="AB828"/>
    </row>
    <row r="829" spans="1:28" x14ac:dyDescent="0.55000000000000004">
      <c r="A829" s="1">
        <f t="shared" si="179"/>
        <v>829</v>
      </c>
      <c r="B829" t="s">
        <v>30</v>
      </c>
      <c r="C829" t="s">
        <v>84</v>
      </c>
      <c r="D829" t="s">
        <v>216</v>
      </c>
      <c r="E829" t="s">
        <v>564</v>
      </c>
      <c r="F829" t="s">
        <v>350</v>
      </c>
      <c r="G829" t="s">
        <v>60</v>
      </c>
      <c r="H829" t="s">
        <v>565</v>
      </c>
      <c r="I829" t="s">
        <v>64</v>
      </c>
      <c r="K829" t="s">
        <v>62</v>
      </c>
      <c r="L829" t="s">
        <v>566</v>
      </c>
      <c r="M829" t="s">
        <v>28</v>
      </c>
      <c r="N829" s="1">
        <f t="shared" si="180"/>
        <v>2</v>
      </c>
      <c r="O829" s="1">
        <f t="shared" si="181"/>
        <v>3</v>
      </c>
      <c r="P829" s="1">
        <f t="shared" si="182"/>
        <v>5</v>
      </c>
      <c r="Q829" s="1">
        <f t="shared" si="183"/>
        <v>1</v>
      </c>
      <c r="R829" s="1">
        <f t="shared" si="184"/>
        <v>0</v>
      </c>
      <c r="S829" s="1">
        <f t="shared" si="185"/>
        <v>0</v>
      </c>
      <c r="T829" s="1">
        <f t="shared" si="186"/>
        <v>1</v>
      </c>
      <c r="U829" s="26">
        <f t="shared" si="187"/>
        <v>1</v>
      </c>
      <c r="V829" s="26">
        <f t="shared" si="188"/>
        <v>1</v>
      </c>
      <c r="W829" s="1">
        <f t="shared" si="189"/>
        <v>0</v>
      </c>
      <c r="X829" s="26">
        <f t="shared" si="190"/>
        <v>1</v>
      </c>
      <c r="Y829" s="26">
        <f t="shared" si="191"/>
        <v>1</v>
      </c>
      <c r="Z829" s="1">
        <f t="shared" si="192"/>
        <v>1</v>
      </c>
      <c r="AA829"/>
      <c r="AB829"/>
    </row>
    <row r="830" spans="1:28" x14ac:dyDescent="0.55000000000000004">
      <c r="A830" s="1">
        <f t="shared" si="179"/>
        <v>830</v>
      </c>
      <c r="B830" t="s">
        <v>33</v>
      </c>
      <c r="C830" t="s">
        <v>116</v>
      </c>
      <c r="D830" t="s">
        <v>216</v>
      </c>
      <c r="E830" t="s">
        <v>564</v>
      </c>
      <c r="F830" t="s">
        <v>277</v>
      </c>
      <c r="G830" t="s">
        <v>299</v>
      </c>
      <c r="H830" t="s">
        <v>581</v>
      </c>
      <c r="I830" t="s">
        <v>278</v>
      </c>
      <c r="J830" t="s">
        <v>821</v>
      </c>
      <c r="K830" t="s">
        <v>366</v>
      </c>
      <c r="L830" t="s">
        <v>822</v>
      </c>
      <c r="M830" t="s">
        <v>28</v>
      </c>
      <c r="N830" s="1">
        <f t="shared" si="180"/>
        <v>1</v>
      </c>
      <c r="O830" s="1">
        <f t="shared" si="181"/>
        <v>2</v>
      </c>
      <c r="P830" s="1">
        <f t="shared" si="182"/>
        <v>3</v>
      </c>
      <c r="Q830" s="1">
        <f t="shared" si="183"/>
        <v>1</v>
      </c>
      <c r="R830" s="1">
        <f t="shared" si="184"/>
        <v>1</v>
      </c>
      <c r="S830" s="1">
        <f t="shared" si="185"/>
        <v>1</v>
      </c>
      <c r="T830" s="1">
        <f t="shared" si="186"/>
        <v>1</v>
      </c>
      <c r="U830" s="26">
        <f t="shared" si="187"/>
        <v>1</v>
      </c>
      <c r="V830" s="26">
        <f t="shared" si="188"/>
        <v>0</v>
      </c>
      <c r="W830" s="1">
        <f t="shared" si="189"/>
        <v>1</v>
      </c>
      <c r="X830" s="26">
        <f t="shared" si="190"/>
        <v>1</v>
      </c>
      <c r="Y830" s="26">
        <f t="shared" si="191"/>
        <v>1</v>
      </c>
      <c r="Z830" s="1">
        <f t="shared" si="192"/>
        <v>1</v>
      </c>
      <c r="AA830"/>
      <c r="AB830"/>
    </row>
    <row r="831" spans="1:28" x14ac:dyDescent="0.55000000000000004">
      <c r="A831" s="1">
        <f t="shared" si="179"/>
        <v>831</v>
      </c>
      <c r="B831" t="s">
        <v>33</v>
      </c>
      <c r="C831" t="s">
        <v>116</v>
      </c>
      <c r="D831" t="s">
        <v>216</v>
      </c>
      <c r="E831" t="s">
        <v>564</v>
      </c>
      <c r="F831" t="s">
        <v>277</v>
      </c>
      <c r="G831" t="s">
        <v>282</v>
      </c>
      <c r="H831" t="s">
        <v>608</v>
      </c>
      <c r="I831" t="s">
        <v>279</v>
      </c>
      <c r="J831" t="s">
        <v>823</v>
      </c>
      <c r="K831" t="s">
        <v>295</v>
      </c>
      <c r="L831" t="s">
        <v>824</v>
      </c>
      <c r="M831" t="s">
        <v>28</v>
      </c>
      <c r="N831" s="1">
        <f t="shared" si="180"/>
        <v>1</v>
      </c>
      <c r="O831" s="1">
        <f t="shared" si="181"/>
        <v>1</v>
      </c>
      <c r="P831" s="1">
        <f t="shared" si="182"/>
        <v>2</v>
      </c>
      <c r="Q831" s="1">
        <f t="shared" si="183"/>
        <v>0</v>
      </c>
      <c r="R831" s="1">
        <f t="shared" si="184"/>
        <v>1</v>
      </c>
      <c r="S831" s="1">
        <f t="shared" si="185"/>
        <v>0</v>
      </c>
      <c r="T831" s="1">
        <f t="shared" si="186"/>
        <v>1</v>
      </c>
      <c r="U831" s="26">
        <f t="shared" si="187"/>
        <v>1</v>
      </c>
      <c r="V831" s="26">
        <f t="shared" si="188"/>
        <v>0</v>
      </c>
      <c r="W831" s="1">
        <f t="shared" si="189"/>
        <v>1</v>
      </c>
      <c r="X831" s="26">
        <f t="shared" si="190"/>
        <v>1</v>
      </c>
      <c r="Y831" s="26">
        <f t="shared" si="191"/>
        <v>0</v>
      </c>
      <c r="Z831" s="1">
        <f t="shared" si="192"/>
        <v>1</v>
      </c>
      <c r="AA831"/>
      <c r="AB831"/>
    </row>
    <row r="832" spans="1:28" x14ac:dyDescent="0.55000000000000004">
      <c r="A832" s="1">
        <f t="shared" si="179"/>
        <v>832</v>
      </c>
      <c r="B832" t="s">
        <v>33</v>
      </c>
      <c r="C832" t="s">
        <v>116</v>
      </c>
      <c r="D832" t="s">
        <v>216</v>
      </c>
      <c r="E832" t="s">
        <v>564</v>
      </c>
      <c r="F832" t="s">
        <v>290</v>
      </c>
      <c r="G832" t="s">
        <v>291</v>
      </c>
      <c r="H832" t="s">
        <v>608</v>
      </c>
      <c r="I832" t="s">
        <v>281</v>
      </c>
      <c r="J832" t="s">
        <v>825</v>
      </c>
      <c r="K832" t="s">
        <v>293</v>
      </c>
      <c r="L832" t="s">
        <v>826</v>
      </c>
      <c r="M832" t="s">
        <v>28</v>
      </c>
      <c r="N832" s="1">
        <f t="shared" si="180"/>
        <v>1</v>
      </c>
      <c r="O832" s="1">
        <f t="shared" si="181"/>
        <v>1</v>
      </c>
      <c r="P832" s="1">
        <f t="shared" si="182"/>
        <v>2</v>
      </c>
      <c r="Q832" s="1">
        <f t="shared" si="183"/>
        <v>0</v>
      </c>
      <c r="R832" s="1">
        <f t="shared" si="184"/>
        <v>1</v>
      </c>
      <c r="S832" s="1">
        <f t="shared" si="185"/>
        <v>0</v>
      </c>
      <c r="T832" s="1">
        <f t="shared" si="186"/>
        <v>1</v>
      </c>
      <c r="U832" s="26">
        <f t="shared" si="187"/>
        <v>1</v>
      </c>
      <c r="V832" s="26">
        <f t="shared" si="188"/>
        <v>0</v>
      </c>
      <c r="W832" s="1">
        <f t="shared" si="189"/>
        <v>1</v>
      </c>
      <c r="X832" s="26">
        <f t="shared" si="190"/>
        <v>1</v>
      </c>
      <c r="Y832" s="26">
        <f t="shared" si="191"/>
        <v>0</v>
      </c>
      <c r="Z832" s="1">
        <f t="shared" si="192"/>
        <v>1</v>
      </c>
      <c r="AA832"/>
      <c r="AB832"/>
    </row>
    <row r="833" spans="1:28" x14ac:dyDescent="0.55000000000000004">
      <c r="A833" s="1">
        <f t="shared" si="179"/>
        <v>833</v>
      </c>
      <c r="B833" t="s">
        <v>33</v>
      </c>
      <c r="C833" t="s">
        <v>116</v>
      </c>
      <c r="D833" t="s">
        <v>216</v>
      </c>
      <c r="E833" t="s">
        <v>564</v>
      </c>
      <c r="F833" t="s">
        <v>290</v>
      </c>
      <c r="G833" t="s">
        <v>367</v>
      </c>
      <c r="H833" t="s">
        <v>590</v>
      </c>
      <c r="I833" t="s">
        <v>288</v>
      </c>
      <c r="J833" t="s">
        <v>827</v>
      </c>
      <c r="K833" t="s">
        <v>368</v>
      </c>
      <c r="L833" t="s">
        <v>569</v>
      </c>
      <c r="M833" t="s">
        <v>28</v>
      </c>
      <c r="N833" s="1">
        <f t="shared" si="180"/>
        <v>0</v>
      </c>
      <c r="O833" s="1">
        <f t="shared" si="181"/>
        <v>1</v>
      </c>
      <c r="P833" s="1">
        <f t="shared" si="182"/>
        <v>1</v>
      </c>
      <c r="Q833" s="1">
        <f t="shared" si="183"/>
        <v>1</v>
      </c>
      <c r="R833" s="1">
        <f t="shared" si="184"/>
        <v>1</v>
      </c>
      <c r="S833" s="1">
        <f t="shared" si="185"/>
        <v>1</v>
      </c>
      <c r="T833" s="1">
        <f t="shared" si="186"/>
        <v>1</v>
      </c>
      <c r="U833" s="26">
        <f t="shared" si="187"/>
        <v>0</v>
      </c>
      <c r="V833" s="26">
        <f t="shared" si="188"/>
        <v>0</v>
      </c>
      <c r="W833" s="1">
        <f t="shared" si="189"/>
        <v>1</v>
      </c>
      <c r="X833" s="26">
        <f t="shared" si="190"/>
        <v>1</v>
      </c>
      <c r="Y833" s="26">
        <f t="shared" si="191"/>
        <v>0</v>
      </c>
      <c r="Z833" s="1">
        <f t="shared" si="192"/>
        <v>0</v>
      </c>
      <c r="AA833"/>
      <c r="AB833"/>
    </row>
    <row r="834" spans="1:28" x14ac:dyDescent="0.55000000000000004">
      <c r="A834" s="1">
        <f t="shared" si="179"/>
        <v>834</v>
      </c>
      <c r="B834" t="s">
        <v>30</v>
      </c>
      <c r="C834" t="s">
        <v>118</v>
      </c>
      <c r="D834" t="s">
        <v>177</v>
      </c>
      <c r="E834" t="s">
        <v>1039</v>
      </c>
      <c r="F834" t="s">
        <v>182</v>
      </c>
      <c r="G834" t="s">
        <v>61</v>
      </c>
      <c r="H834" t="s">
        <v>573</v>
      </c>
      <c r="I834" t="s">
        <v>58</v>
      </c>
      <c r="J834" t="s">
        <v>1040</v>
      </c>
      <c r="K834" t="s">
        <v>62</v>
      </c>
      <c r="L834" t="s">
        <v>761</v>
      </c>
      <c r="M834" t="s">
        <v>28</v>
      </c>
      <c r="N834" s="1">
        <f t="shared" si="180"/>
        <v>2</v>
      </c>
      <c r="O834" s="1">
        <f t="shared" si="181"/>
        <v>0</v>
      </c>
      <c r="P834" s="1">
        <f t="shared" si="182"/>
        <v>2</v>
      </c>
      <c r="Q834" s="1">
        <f t="shared" si="183"/>
        <v>1</v>
      </c>
      <c r="R834" s="1">
        <f t="shared" si="184"/>
        <v>1</v>
      </c>
      <c r="S834" s="1">
        <f t="shared" si="185"/>
        <v>1</v>
      </c>
      <c r="T834" s="1">
        <f t="shared" si="186"/>
        <v>1</v>
      </c>
      <c r="U834" s="26">
        <f t="shared" si="187"/>
        <v>1</v>
      </c>
      <c r="V834" s="26">
        <f t="shared" si="188"/>
        <v>1</v>
      </c>
      <c r="W834" s="1">
        <f t="shared" si="189"/>
        <v>1</v>
      </c>
      <c r="X834" s="26">
        <f t="shared" si="190"/>
        <v>0</v>
      </c>
      <c r="Y834" s="26">
        <f t="shared" si="191"/>
        <v>0</v>
      </c>
      <c r="Z834" s="1">
        <f t="shared" si="192"/>
        <v>1</v>
      </c>
      <c r="AA834"/>
      <c r="AB834"/>
    </row>
    <row r="835" spans="1:28" x14ac:dyDescent="0.55000000000000004">
      <c r="A835" s="1">
        <f t="shared" ref="A835:A898" si="193">A834+1</f>
        <v>835</v>
      </c>
      <c r="B835" t="s">
        <v>33</v>
      </c>
      <c r="C835" t="s">
        <v>116</v>
      </c>
      <c r="D835" t="s">
        <v>177</v>
      </c>
      <c r="E835" t="s">
        <v>1039</v>
      </c>
      <c r="F835" t="s">
        <v>364</v>
      </c>
      <c r="G835" t="s">
        <v>362</v>
      </c>
      <c r="H835" t="s">
        <v>579</v>
      </c>
      <c r="I835" t="s">
        <v>285</v>
      </c>
      <c r="J835" t="s">
        <v>1054</v>
      </c>
      <c r="K835" t="s">
        <v>363</v>
      </c>
      <c r="L835" t="s">
        <v>1055</v>
      </c>
      <c r="M835" t="s">
        <v>28</v>
      </c>
      <c r="N835" s="1">
        <f t="shared" ref="N835:N898" si="194">VALUE(LEFT(H835,1))</f>
        <v>2</v>
      </c>
      <c r="O835" s="1">
        <f t="shared" ref="O835:O898" si="195">VALUE(RIGHT(H835,1))</f>
        <v>1</v>
      </c>
      <c r="P835" s="1">
        <f t="shared" ref="P835:P898" si="196">SUM(N835,O835)</f>
        <v>3</v>
      </c>
      <c r="Q835" s="1">
        <f t="shared" ref="Q835:Q898" si="197">IF(N835&lt;&gt;O835, 1, 0)</f>
        <v>1</v>
      </c>
      <c r="R835" s="1">
        <f t="shared" ref="R835:R898" si="198">IF(P835&lt;=4,1,0)</f>
        <v>1</v>
      </c>
      <c r="S835" s="1">
        <f t="shared" ref="S835:S898" si="199">IF(AND(Q835=1,R835=1),1,0)</f>
        <v>1</v>
      </c>
      <c r="T835" s="1">
        <f t="shared" ref="T835:T898" si="200">IF(N835&lt;=2,1,0)</f>
        <v>1</v>
      </c>
      <c r="U835" s="26">
        <f t="shared" ref="U835:U898" si="201">IF(AND(N835&gt;=1,N835&lt;=3),1,0)</f>
        <v>1</v>
      </c>
      <c r="V835" s="26">
        <f t="shared" ref="V835:V898" si="202">IF(AND(N835&gt;=2,N835&lt;=5),1,0)</f>
        <v>1</v>
      </c>
      <c r="W835" s="1">
        <f t="shared" ref="W835:W898" si="203">IF(O835&lt;=2,1,0)</f>
        <v>1</v>
      </c>
      <c r="X835" s="26">
        <f t="shared" ref="X835:X898" si="204">IF(AND(O835&gt;=1,O835&lt;=3),1,0)</f>
        <v>1</v>
      </c>
      <c r="Y835" s="26">
        <f t="shared" ref="Y835:Y898" si="205">IF(AND(O835&gt;=2,O835&lt;=5),1,0)</f>
        <v>0</v>
      </c>
      <c r="Z835" s="1">
        <f t="shared" ref="Z835:Z898" si="206">IF(P835&gt;=2,1,0)</f>
        <v>1</v>
      </c>
      <c r="AA835"/>
      <c r="AB835"/>
    </row>
    <row r="836" spans="1:28" x14ac:dyDescent="0.55000000000000004">
      <c r="A836" s="1">
        <f t="shared" si="193"/>
        <v>836</v>
      </c>
      <c r="B836" t="s">
        <v>33</v>
      </c>
      <c r="C836" t="s">
        <v>116</v>
      </c>
      <c r="D836" t="s">
        <v>177</v>
      </c>
      <c r="E836" t="s">
        <v>1039</v>
      </c>
      <c r="F836" t="s">
        <v>277</v>
      </c>
      <c r="G836" t="s">
        <v>360</v>
      </c>
      <c r="H836" t="s">
        <v>664</v>
      </c>
      <c r="I836" t="s">
        <v>287</v>
      </c>
      <c r="J836" t="s">
        <v>1056</v>
      </c>
      <c r="K836" t="s">
        <v>371</v>
      </c>
      <c r="L836" t="s">
        <v>1047</v>
      </c>
      <c r="M836" t="s">
        <v>28</v>
      </c>
      <c r="N836" s="1">
        <f t="shared" si="194"/>
        <v>2</v>
      </c>
      <c r="O836" s="1">
        <f t="shared" si="195"/>
        <v>2</v>
      </c>
      <c r="P836" s="1">
        <f t="shared" si="196"/>
        <v>4</v>
      </c>
      <c r="Q836" s="1">
        <f t="shared" si="197"/>
        <v>0</v>
      </c>
      <c r="R836" s="1">
        <f t="shared" si="198"/>
        <v>1</v>
      </c>
      <c r="S836" s="1">
        <f t="shared" si="199"/>
        <v>0</v>
      </c>
      <c r="T836" s="1">
        <f t="shared" si="200"/>
        <v>1</v>
      </c>
      <c r="U836" s="26">
        <f t="shared" si="201"/>
        <v>1</v>
      </c>
      <c r="V836" s="26">
        <f t="shared" si="202"/>
        <v>1</v>
      </c>
      <c r="W836" s="1">
        <f t="shared" si="203"/>
        <v>1</v>
      </c>
      <c r="X836" s="26">
        <f t="shared" si="204"/>
        <v>1</v>
      </c>
      <c r="Y836" s="26">
        <f t="shared" si="205"/>
        <v>1</v>
      </c>
      <c r="Z836" s="1">
        <f t="shared" si="206"/>
        <v>1</v>
      </c>
      <c r="AA836"/>
      <c r="AB836"/>
    </row>
    <row r="837" spans="1:28" x14ac:dyDescent="0.55000000000000004">
      <c r="A837" s="1">
        <f t="shared" si="193"/>
        <v>837</v>
      </c>
      <c r="B837" t="s">
        <v>33</v>
      </c>
      <c r="C837" t="s">
        <v>116</v>
      </c>
      <c r="D837" t="s">
        <v>177</v>
      </c>
      <c r="E837" t="s">
        <v>1039</v>
      </c>
      <c r="F837" t="s">
        <v>290</v>
      </c>
      <c r="G837" t="s">
        <v>296</v>
      </c>
      <c r="H837" t="s">
        <v>817</v>
      </c>
      <c r="I837" t="s">
        <v>284</v>
      </c>
      <c r="J837" t="s">
        <v>1057</v>
      </c>
      <c r="K837" t="s">
        <v>297</v>
      </c>
      <c r="L837" t="s">
        <v>1053</v>
      </c>
      <c r="M837" t="s">
        <v>28</v>
      </c>
      <c r="N837" s="1">
        <f t="shared" si="194"/>
        <v>4</v>
      </c>
      <c r="O837" s="1">
        <f t="shared" si="195"/>
        <v>1</v>
      </c>
      <c r="P837" s="1">
        <f t="shared" si="196"/>
        <v>5</v>
      </c>
      <c r="Q837" s="1">
        <f t="shared" si="197"/>
        <v>1</v>
      </c>
      <c r="R837" s="1">
        <f t="shared" si="198"/>
        <v>0</v>
      </c>
      <c r="S837" s="1">
        <f t="shared" si="199"/>
        <v>0</v>
      </c>
      <c r="T837" s="1">
        <f t="shared" si="200"/>
        <v>0</v>
      </c>
      <c r="U837" s="26">
        <f t="shared" si="201"/>
        <v>0</v>
      </c>
      <c r="V837" s="26">
        <f t="shared" si="202"/>
        <v>1</v>
      </c>
      <c r="W837" s="1">
        <f t="shared" si="203"/>
        <v>1</v>
      </c>
      <c r="X837" s="26">
        <f t="shared" si="204"/>
        <v>1</v>
      </c>
      <c r="Y837" s="26">
        <f t="shared" si="205"/>
        <v>0</v>
      </c>
      <c r="Z837" s="1">
        <f t="shared" si="206"/>
        <v>1</v>
      </c>
      <c r="AA837"/>
      <c r="AB837"/>
    </row>
    <row r="838" spans="1:28" x14ac:dyDescent="0.55000000000000004">
      <c r="A838" s="1">
        <f t="shared" si="193"/>
        <v>838</v>
      </c>
      <c r="B838" t="s">
        <v>33</v>
      </c>
      <c r="C838" t="s">
        <v>116</v>
      </c>
      <c r="D838" t="s">
        <v>177</v>
      </c>
      <c r="E838" t="s">
        <v>1039</v>
      </c>
      <c r="F838" t="s">
        <v>290</v>
      </c>
      <c r="G838" t="s">
        <v>292</v>
      </c>
      <c r="H838" t="s">
        <v>708</v>
      </c>
      <c r="I838" t="s">
        <v>365</v>
      </c>
      <c r="J838" t="s">
        <v>1058</v>
      </c>
      <c r="K838" t="s">
        <v>408</v>
      </c>
      <c r="L838" t="s">
        <v>1059</v>
      </c>
      <c r="M838" t="s">
        <v>28</v>
      </c>
      <c r="N838" s="1">
        <f t="shared" si="194"/>
        <v>0</v>
      </c>
      <c r="O838" s="1">
        <f t="shared" si="195"/>
        <v>0</v>
      </c>
      <c r="P838" s="1">
        <f t="shared" si="196"/>
        <v>0</v>
      </c>
      <c r="Q838" s="1">
        <f t="shared" si="197"/>
        <v>0</v>
      </c>
      <c r="R838" s="1">
        <f t="shared" si="198"/>
        <v>1</v>
      </c>
      <c r="S838" s="1">
        <f t="shared" si="199"/>
        <v>0</v>
      </c>
      <c r="T838" s="1">
        <f t="shared" si="200"/>
        <v>1</v>
      </c>
      <c r="U838" s="26">
        <f t="shared" si="201"/>
        <v>0</v>
      </c>
      <c r="V838" s="26">
        <f t="shared" si="202"/>
        <v>0</v>
      </c>
      <c r="W838" s="1">
        <f t="shared" si="203"/>
        <v>1</v>
      </c>
      <c r="X838" s="26">
        <f t="shared" si="204"/>
        <v>0</v>
      </c>
      <c r="Y838" s="26">
        <f t="shared" si="205"/>
        <v>0</v>
      </c>
      <c r="Z838" s="1">
        <f t="shared" si="206"/>
        <v>0</v>
      </c>
      <c r="AA838"/>
      <c r="AB838"/>
    </row>
    <row r="839" spans="1:28" x14ac:dyDescent="0.55000000000000004">
      <c r="A839" s="1">
        <f t="shared" si="193"/>
        <v>839</v>
      </c>
      <c r="B839" t="s">
        <v>35</v>
      </c>
      <c r="C839" t="s">
        <v>84</v>
      </c>
      <c r="D839" t="s">
        <v>177</v>
      </c>
      <c r="E839" t="s">
        <v>1039</v>
      </c>
      <c r="F839" t="s">
        <v>375</v>
      </c>
      <c r="G839" t="s">
        <v>307</v>
      </c>
      <c r="H839" t="s">
        <v>640</v>
      </c>
      <c r="I839" t="s">
        <v>204</v>
      </c>
      <c r="J839" t="s">
        <v>1066</v>
      </c>
      <c r="K839" t="s">
        <v>379</v>
      </c>
      <c r="L839" t="s">
        <v>582</v>
      </c>
      <c r="M839" t="s">
        <v>28</v>
      </c>
      <c r="N839" s="1">
        <f t="shared" si="194"/>
        <v>1</v>
      </c>
      <c r="O839" s="1">
        <f t="shared" si="195"/>
        <v>4</v>
      </c>
      <c r="P839" s="1">
        <f t="shared" si="196"/>
        <v>5</v>
      </c>
      <c r="Q839" s="1">
        <f t="shared" si="197"/>
        <v>1</v>
      </c>
      <c r="R839" s="1">
        <f t="shared" si="198"/>
        <v>0</v>
      </c>
      <c r="S839" s="1">
        <f t="shared" si="199"/>
        <v>0</v>
      </c>
      <c r="T839" s="1">
        <f t="shared" si="200"/>
        <v>1</v>
      </c>
      <c r="U839" s="26">
        <f t="shared" si="201"/>
        <v>1</v>
      </c>
      <c r="V839" s="26">
        <f t="shared" si="202"/>
        <v>0</v>
      </c>
      <c r="W839" s="1">
        <f t="shared" si="203"/>
        <v>0</v>
      </c>
      <c r="X839" s="26">
        <f t="shared" si="204"/>
        <v>0</v>
      </c>
      <c r="Y839" s="26">
        <f t="shared" si="205"/>
        <v>1</v>
      </c>
      <c r="Z839" s="1">
        <f t="shared" si="206"/>
        <v>1</v>
      </c>
      <c r="AA839"/>
      <c r="AB839"/>
    </row>
    <row r="840" spans="1:28" x14ac:dyDescent="0.55000000000000004">
      <c r="A840" s="1">
        <f t="shared" si="193"/>
        <v>840</v>
      </c>
      <c r="B840" t="s">
        <v>35</v>
      </c>
      <c r="C840" t="s">
        <v>197</v>
      </c>
      <c r="D840" t="s">
        <v>177</v>
      </c>
      <c r="E840" t="s">
        <v>1039</v>
      </c>
      <c r="F840" t="s">
        <v>1067</v>
      </c>
      <c r="G840" t="s">
        <v>207</v>
      </c>
      <c r="H840" t="s">
        <v>581</v>
      </c>
      <c r="I840" t="s">
        <v>377</v>
      </c>
      <c r="J840" t="s">
        <v>1068</v>
      </c>
      <c r="K840" t="s">
        <v>209</v>
      </c>
      <c r="L840" t="s">
        <v>1069</v>
      </c>
      <c r="M840" t="s">
        <v>28</v>
      </c>
      <c r="N840" s="1">
        <f t="shared" si="194"/>
        <v>1</v>
      </c>
      <c r="O840" s="1">
        <f t="shared" si="195"/>
        <v>2</v>
      </c>
      <c r="P840" s="1">
        <f t="shared" si="196"/>
        <v>3</v>
      </c>
      <c r="Q840" s="1">
        <f t="shared" si="197"/>
        <v>1</v>
      </c>
      <c r="R840" s="1">
        <f t="shared" si="198"/>
        <v>1</v>
      </c>
      <c r="S840" s="1">
        <f t="shared" si="199"/>
        <v>1</v>
      </c>
      <c r="T840" s="1">
        <f t="shared" si="200"/>
        <v>1</v>
      </c>
      <c r="U840" s="26">
        <f t="shared" si="201"/>
        <v>1</v>
      </c>
      <c r="V840" s="26">
        <f t="shared" si="202"/>
        <v>0</v>
      </c>
      <c r="W840" s="1">
        <f t="shared" si="203"/>
        <v>1</v>
      </c>
      <c r="X840" s="26">
        <f t="shared" si="204"/>
        <v>1</v>
      </c>
      <c r="Y840" s="26">
        <f t="shared" si="205"/>
        <v>1</v>
      </c>
      <c r="Z840" s="1">
        <f t="shared" si="206"/>
        <v>1</v>
      </c>
      <c r="AA840"/>
      <c r="AB840"/>
    </row>
    <row r="841" spans="1:28" x14ac:dyDescent="0.55000000000000004">
      <c r="A841" s="1">
        <f t="shared" si="193"/>
        <v>841</v>
      </c>
      <c r="B841" t="s">
        <v>35</v>
      </c>
      <c r="C841" t="s">
        <v>84</v>
      </c>
      <c r="D841" t="s">
        <v>177</v>
      </c>
      <c r="E841" t="s">
        <v>1039</v>
      </c>
      <c r="F841" t="s">
        <v>202</v>
      </c>
      <c r="G841" t="s">
        <v>306</v>
      </c>
      <c r="H841" t="s">
        <v>579</v>
      </c>
      <c r="I841" t="s">
        <v>384</v>
      </c>
      <c r="J841" t="s">
        <v>1070</v>
      </c>
      <c r="K841" t="s">
        <v>308</v>
      </c>
      <c r="L841" t="s">
        <v>1071</v>
      </c>
      <c r="M841" t="s">
        <v>28</v>
      </c>
      <c r="N841" s="1">
        <f t="shared" si="194"/>
        <v>2</v>
      </c>
      <c r="O841" s="1">
        <f t="shared" si="195"/>
        <v>1</v>
      </c>
      <c r="P841" s="1">
        <f t="shared" si="196"/>
        <v>3</v>
      </c>
      <c r="Q841" s="1">
        <f t="shared" si="197"/>
        <v>1</v>
      </c>
      <c r="R841" s="1">
        <f t="shared" si="198"/>
        <v>1</v>
      </c>
      <c r="S841" s="1">
        <f t="shared" si="199"/>
        <v>1</v>
      </c>
      <c r="T841" s="1">
        <f t="shared" si="200"/>
        <v>1</v>
      </c>
      <c r="U841" s="26">
        <f t="shared" si="201"/>
        <v>1</v>
      </c>
      <c r="V841" s="26">
        <f t="shared" si="202"/>
        <v>1</v>
      </c>
      <c r="W841" s="1">
        <f t="shared" si="203"/>
        <v>1</v>
      </c>
      <c r="X841" s="26">
        <f t="shared" si="204"/>
        <v>1</v>
      </c>
      <c r="Y841" s="26">
        <f t="shared" si="205"/>
        <v>0</v>
      </c>
      <c r="Z841" s="1">
        <f t="shared" si="206"/>
        <v>1</v>
      </c>
      <c r="AA841"/>
      <c r="AB841"/>
    </row>
    <row r="842" spans="1:28" x14ac:dyDescent="0.55000000000000004">
      <c r="A842" s="1">
        <f t="shared" si="193"/>
        <v>842</v>
      </c>
      <c r="B842" t="s">
        <v>40</v>
      </c>
      <c r="C842" t="s">
        <v>118</v>
      </c>
      <c r="D842" t="s">
        <v>177</v>
      </c>
      <c r="E842" t="s">
        <v>1039</v>
      </c>
      <c r="F842" t="s">
        <v>247</v>
      </c>
      <c r="G842" t="s">
        <v>249</v>
      </c>
      <c r="H842" t="s">
        <v>577</v>
      </c>
      <c r="I842" t="s">
        <v>260</v>
      </c>
      <c r="J842" t="s">
        <v>1157</v>
      </c>
      <c r="K842" t="s">
        <v>262</v>
      </c>
      <c r="L842" t="s">
        <v>1027</v>
      </c>
      <c r="M842" t="s">
        <v>28</v>
      </c>
      <c r="N842" s="1">
        <f t="shared" si="194"/>
        <v>1</v>
      </c>
      <c r="O842" s="1">
        <f t="shared" si="195"/>
        <v>3</v>
      </c>
      <c r="P842" s="1">
        <f t="shared" si="196"/>
        <v>4</v>
      </c>
      <c r="Q842" s="1">
        <f t="shared" si="197"/>
        <v>1</v>
      </c>
      <c r="R842" s="1">
        <f t="shared" si="198"/>
        <v>1</v>
      </c>
      <c r="S842" s="1">
        <f t="shared" si="199"/>
        <v>1</v>
      </c>
      <c r="T842" s="1">
        <f t="shared" si="200"/>
        <v>1</v>
      </c>
      <c r="U842" s="26">
        <f t="shared" si="201"/>
        <v>1</v>
      </c>
      <c r="V842" s="26">
        <f t="shared" si="202"/>
        <v>0</v>
      </c>
      <c r="W842" s="1">
        <f t="shared" si="203"/>
        <v>0</v>
      </c>
      <c r="X842" s="26">
        <f t="shared" si="204"/>
        <v>1</v>
      </c>
      <c r="Y842" s="26">
        <f t="shared" si="205"/>
        <v>1</v>
      </c>
      <c r="Z842" s="1">
        <f t="shared" si="206"/>
        <v>1</v>
      </c>
      <c r="AA842"/>
      <c r="AB842"/>
    </row>
    <row r="843" spans="1:28" x14ac:dyDescent="0.55000000000000004">
      <c r="A843" s="1">
        <f t="shared" si="193"/>
        <v>843</v>
      </c>
      <c r="B843" t="s">
        <v>40</v>
      </c>
      <c r="C843" t="s">
        <v>118</v>
      </c>
      <c r="D843" t="s">
        <v>177</v>
      </c>
      <c r="E843" t="s">
        <v>1039</v>
      </c>
      <c r="F843" t="s">
        <v>251</v>
      </c>
      <c r="G843" t="s">
        <v>261</v>
      </c>
      <c r="H843" t="s">
        <v>722</v>
      </c>
      <c r="I843" t="s">
        <v>265</v>
      </c>
      <c r="J843" t="s">
        <v>1158</v>
      </c>
      <c r="K843" t="s">
        <v>393</v>
      </c>
      <c r="L843" t="s">
        <v>594</v>
      </c>
      <c r="M843" t="s">
        <v>28</v>
      </c>
      <c r="N843" s="1">
        <f t="shared" si="194"/>
        <v>3</v>
      </c>
      <c r="O843" s="1">
        <f t="shared" si="195"/>
        <v>0</v>
      </c>
      <c r="P843" s="1">
        <f t="shared" si="196"/>
        <v>3</v>
      </c>
      <c r="Q843" s="1">
        <f t="shared" si="197"/>
        <v>1</v>
      </c>
      <c r="R843" s="1">
        <f t="shared" si="198"/>
        <v>1</v>
      </c>
      <c r="S843" s="1">
        <f t="shared" si="199"/>
        <v>1</v>
      </c>
      <c r="T843" s="1">
        <f t="shared" si="200"/>
        <v>0</v>
      </c>
      <c r="U843" s="26">
        <f t="shared" si="201"/>
        <v>1</v>
      </c>
      <c r="V843" s="26">
        <f t="shared" si="202"/>
        <v>1</v>
      </c>
      <c r="W843" s="1">
        <f t="shared" si="203"/>
        <v>1</v>
      </c>
      <c r="X843" s="26">
        <f t="shared" si="204"/>
        <v>0</v>
      </c>
      <c r="Y843" s="26">
        <f t="shared" si="205"/>
        <v>0</v>
      </c>
      <c r="Z843" s="1">
        <f t="shared" si="206"/>
        <v>1</v>
      </c>
      <c r="AA843"/>
      <c r="AB843"/>
    </row>
    <row r="844" spans="1:28" x14ac:dyDescent="0.55000000000000004">
      <c r="A844" s="1">
        <f t="shared" si="193"/>
        <v>844</v>
      </c>
      <c r="B844" t="s">
        <v>30</v>
      </c>
      <c r="C844" t="s">
        <v>118</v>
      </c>
      <c r="D844" t="s">
        <v>189</v>
      </c>
      <c r="E844" t="s">
        <v>790</v>
      </c>
      <c r="F844" t="s">
        <v>181</v>
      </c>
      <c r="G844" t="s">
        <v>49</v>
      </c>
      <c r="H844" t="s">
        <v>608</v>
      </c>
      <c r="I844" t="s">
        <v>55</v>
      </c>
      <c r="J844" t="s">
        <v>791</v>
      </c>
      <c r="K844" t="s">
        <v>72</v>
      </c>
      <c r="L844" t="s">
        <v>781</v>
      </c>
      <c r="M844" t="s">
        <v>28</v>
      </c>
      <c r="N844" s="1">
        <f t="shared" si="194"/>
        <v>1</v>
      </c>
      <c r="O844" s="1">
        <f t="shared" si="195"/>
        <v>1</v>
      </c>
      <c r="P844" s="1">
        <f t="shared" si="196"/>
        <v>2</v>
      </c>
      <c r="Q844" s="1">
        <f t="shared" si="197"/>
        <v>0</v>
      </c>
      <c r="R844" s="1">
        <f t="shared" si="198"/>
        <v>1</v>
      </c>
      <c r="S844" s="1">
        <f t="shared" si="199"/>
        <v>0</v>
      </c>
      <c r="T844" s="1">
        <f t="shared" si="200"/>
        <v>1</v>
      </c>
      <c r="U844" s="26">
        <f t="shared" si="201"/>
        <v>1</v>
      </c>
      <c r="V844" s="26">
        <f t="shared" si="202"/>
        <v>0</v>
      </c>
      <c r="W844" s="1">
        <f t="shared" si="203"/>
        <v>1</v>
      </c>
      <c r="X844" s="26">
        <f t="shared" si="204"/>
        <v>1</v>
      </c>
      <c r="Y844" s="26">
        <f t="shared" si="205"/>
        <v>0</v>
      </c>
      <c r="Z844" s="1">
        <f t="shared" si="206"/>
        <v>1</v>
      </c>
      <c r="AA844"/>
      <c r="AB844"/>
    </row>
    <row r="845" spans="1:28" x14ac:dyDescent="0.55000000000000004">
      <c r="A845" s="1">
        <f t="shared" si="193"/>
        <v>845</v>
      </c>
      <c r="B845" t="s">
        <v>30</v>
      </c>
      <c r="C845" t="s">
        <v>104</v>
      </c>
      <c r="D845" t="s">
        <v>174</v>
      </c>
      <c r="E845" t="s">
        <v>1170</v>
      </c>
      <c r="F845" t="s">
        <v>181</v>
      </c>
      <c r="G845" t="s">
        <v>52</v>
      </c>
      <c r="H845" t="s">
        <v>581</v>
      </c>
      <c r="I845" t="s">
        <v>51</v>
      </c>
      <c r="J845" t="s">
        <v>1171</v>
      </c>
      <c r="K845" t="s">
        <v>71</v>
      </c>
      <c r="L845" t="s">
        <v>774</v>
      </c>
      <c r="M845" t="s">
        <v>28</v>
      </c>
      <c r="N845" s="1">
        <f t="shared" si="194"/>
        <v>1</v>
      </c>
      <c r="O845" s="1">
        <f t="shared" si="195"/>
        <v>2</v>
      </c>
      <c r="P845" s="1">
        <f t="shared" si="196"/>
        <v>3</v>
      </c>
      <c r="Q845" s="1">
        <f t="shared" si="197"/>
        <v>1</v>
      </c>
      <c r="R845" s="1">
        <f t="shared" si="198"/>
        <v>1</v>
      </c>
      <c r="S845" s="1">
        <f t="shared" si="199"/>
        <v>1</v>
      </c>
      <c r="T845" s="1">
        <f t="shared" si="200"/>
        <v>1</v>
      </c>
      <c r="U845" s="26">
        <f t="shared" si="201"/>
        <v>1</v>
      </c>
      <c r="V845" s="26">
        <f t="shared" si="202"/>
        <v>0</v>
      </c>
      <c r="W845" s="1">
        <f t="shared" si="203"/>
        <v>1</v>
      </c>
      <c r="X845" s="26">
        <f t="shared" si="204"/>
        <v>1</v>
      </c>
      <c r="Y845" s="26">
        <f t="shared" si="205"/>
        <v>1</v>
      </c>
      <c r="Z845" s="1">
        <f t="shared" si="206"/>
        <v>1</v>
      </c>
      <c r="AA845"/>
      <c r="AB845"/>
    </row>
    <row r="846" spans="1:28" x14ac:dyDescent="0.55000000000000004">
      <c r="A846" s="1">
        <f t="shared" si="193"/>
        <v>846</v>
      </c>
      <c r="B846" t="s">
        <v>37</v>
      </c>
      <c r="C846" t="s">
        <v>122</v>
      </c>
      <c r="D846" t="s">
        <v>174</v>
      </c>
      <c r="E846" t="s">
        <v>1170</v>
      </c>
      <c r="F846" t="s">
        <v>315</v>
      </c>
      <c r="G846" t="s">
        <v>326</v>
      </c>
      <c r="H846" t="s">
        <v>798</v>
      </c>
      <c r="I846" t="s">
        <v>322</v>
      </c>
      <c r="J846" t="s">
        <v>1303</v>
      </c>
      <c r="K846" t="s">
        <v>327</v>
      </c>
      <c r="L846" t="s">
        <v>1242</v>
      </c>
      <c r="M846" t="s">
        <v>28</v>
      </c>
      <c r="N846" s="1">
        <f t="shared" si="194"/>
        <v>2</v>
      </c>
      <c r="O846" s="1">
        <f t="shared" si="195"/>
        <v>4</v>
      </c>
      <c r="P846" s="1">
        <f t="shared" si="196"/>
        <v>6</v>
      </c>
      <c r="Q846" s="1">
        <f t="shared" si="197"/>
        <v>1</v>
      </c>
      <c r="R846" s="1">
        <f t="shared" si="198"/>
        <v>0</v>
      </c>
      <c r="S846" s="1">
        <f t="shared" si="199"/>
        <v>0</v>
      </c>
      <c r="T846" s="1">
        <f t="shared" si="200"/>
        <v>1</v>
      </c>
      <c r="U846" s="26">
        <f t="shared" si="201"/>
        <v>1</v>
      </c>
      <c r="V846" s="26">
        <f t="shared" si="202"/>
        <v>1</v>
      </c>
      <c r="W846" s="1">
        <f t="shared" si="203"/>
        <v>0</v>
      </c>
      <c r="X846" s="26">
        <f t="shared" si="204"/>
        <v>0</v>
      </c>
      <c r="Y846" s="26">
        <f t="shared" si="205"/>
        <v>1</v>
      </c>
      <c r="Z846" s="1">
        <f t="shared" si="206"/>
        <v>1</v>
      </c>
      <c r="AA846"/>
      <c r="AB846"/>
    </row>
    <row r="847" spans="1:28" x14ac:dyDescent="0.55000000000000004">
      <c r="A847" s="1">
        <f t="shared" si="193"/>
        <v>847</v>
      </c>
      <c r="B847" t="s">
        <v>37</v>
      </c>
      <c r="C847" t="s">
        <v>122</v>
      </c>
      <c r="D847" t="s">
        <v>174</v>
      </c>
      <c r="E847" t="s">
        <v>1170</v>
      </c>
      <c r="F847" t="s">
        <v>315</v>
      </c>
      <c r="G847" t="s">
        <v>328</v>
      </c>
      <c r="H847" t="s">
        <v>579</v>
      </c>
      <c r="I847" t="s">
        <v>321</v>
      </c>
      <c r="J847" t="s">
        <v>1304</v>
      </c>
      <c r="K847" t="s">
        <v>329</v>
      </c>
      <c r="L847" t="s">
        <v>1295</v>
      </c>
      <c r="M847" t="s">
        <v>28</v>
      </c>
      <c r="N847" s="1">
        <f t="shared" si="194"/>
        <v>2</v>
      </c>
      <c r="O847" s="1">
        <f t="shared" si="195"/>
        <v>1</v>
      </c>
      <c r="P847" s="1">
        <f t="shared" si="196"/>
        <v>3</v>
      </c>
      <c r="Q847" s="1">
        <f t="shared" si="197"/>
        <v>1</v>
      </c>
      <c r="R847" s="1">
        <f t="shared" si="198"/>
        <v>1</v>
      </c>
      <c r="S847" s="1">
        <f t="shared" si="199"/>
        <v>1</v>
      </c>
      <c r="T847" s="1">
        <f t="shared" si="200"/>
        <v>1</v>
      </c>
      <c r="U847" s="26">
        <f t="shared" si="201"/>
        <v>1</v>
      </c>
      <c r="V847" s="26">
        <f t="shared" si="202"/>
        <v>1</v>
      </c>
      <c r="W847" s="1">
        <f t="shared" si="203"/>
        <v>1</v>
      </c>
      <c r="X847" s="26">
        <f t="shared" si="204"/>
        <v>1</v>
      </c>
      <c r="Y847" s="26">
        <f t="shared" si="205"/>
        <v>0</v>
      </c>
      <c r="Z847" s="1">
        <f t="shared" si="206"/>
        <v>1</v>
      </c>
      <c r="AA847"/>
      <c r="AB847"/>
    </row>
    <row r="848" spans="1:28" x14ac:dyDescent="0.55000000000000004">
      <c r="A848" s="1">
        <f t="shared" si="193"/>
        <v>848</v>
      </c>
      <c r="B848" t="s">
        <v>37</v>
      </c>
      <c r="C848" t="s">
        <v>122</v>
      </c>
      <c r="D848" t="s">
        <v>174</v>
      </c>
      <c r="E848" t="s">
        <v>1170</v>
      </c>
      <c r="F848" t="s">
        <v>315</v>
      </c>
      <c r="G848" t="s">
        <v>324</v>
      </c>
      <c r="H848" t="s">
        <v>708</v>
      </c>
      <c r="I848" t="s">
        <v>312</v>
      </c>
      <c r="J848" t="s">
        <v>1305</v>
      </c>
      <c r="K848" t="s">
        <v>885</v>
      </c>
      <c r="L848" t="s">
        <v>861</v>
      </c>
      <c r="M848" t="s">
        <v>28</v>
      </c>
      <c r="N848" s="1">
        <f t="shared" si="194"/>
        <v>0</v>
      </c>
      <c r="O848" s="1">
        <f t="shared" si="195"/>
        <v>0</v>
      </c>
      <c r="P848" s="1">
        <f t="shared" si="196"/>
        <v>0</v>
      </c>
      <c r="Q848" s="1">
        <f t="shared" si="197"/>
        <v>0</v>
      </c>
      <c r="R848" s="1">
        <f t="shared" si="198"/>
        <v>1</v>
      </c>
      <c r="S848" s="1">
        <f t="shared" si="199"/>
        <v>0</v>
      </c>
      <c r="T848" s="1">
        <f t="shared" si="200"/>
        <v>1</v>
      </c>
      <c r="U848" s="26">
        <f t="shared" si="201"/>
        <v>0</v>
      </c>
      <c r="V848" s="26">
        <f t="shared" si="202"/>
        <v>0</v>
      </c>
      <c r="W848" s="1">
        <f t="shared" si="203"/>
        <v>1</v>
      </c>
      <c r="X848" s="26">
        <f t="shared" si="204"/>
        <v>0</v>
      </c>
      <c r="Y848" s="26">
        <f t="shared" si="205"/>
        <v>0</v>
      </c>
      <c r="Z848" s="1">
        <f t="shared" si="206"/>
        <v>0</v>
      </c>
      <c r="AA848"/>
      <c r="AB848"/>
    </row>
    <row r="849" spans="1:28" x14ac:dyDescent="0.55000000000000004">
      <c r="A849" s="1">
        <f t="shared" si="193"/>
        <v>849</v>
      </c>
      <c r="B849" t="s">
        <v>37</v>
      </c>
      <c r="C849" t="s">
        <v>122</v>
      </c>
      <c r="D849" t="s">
        <v>174</v>
      </c>
      <c r="E849" t="s">
        <v>1170</v>
      </c>
      <c r="F849" t="s">
        <v>311</v>
      </c>
      <c r="G849" t="s">
        <v>318</v>
      </c>
      <c r="H849" t="s">
        <v>608</v>
      </c>
      <c r="I849" t="s">
        <v>313</v>
      </c>
      <c r="J849" t="s">
        <v>1306</v>
      </c>
      <c r="K849" t="s">
        <v>320</v>
      </c>
      <c r="L849" t="s">
        <v>866</v>
      </c>
      <c r="M849" t="s">
        <v>28</v>
      </c>
      <c r="N849" s="1">
        <f t="shared" si="194"/>
        <v>1</v>
      </c>
      <c r="O849" s="1">
        <f t="shared" si="195"/>
        <v>1</v>
      </c>
      <c r="P849" s="1">
        <f t="shared" si="196"/>
        <v>2</v>
      </c>
      <c r="Q849" s="1">
        <f t="shared" si="197"/>
        <v>0</v>
      </c>
      <c r="R849" s="1">
        <f t="shared" si="198"/>
        <v>1</v>
      </c>
      <c r="S849" s="1">
        <f t="shared" si="199"/>
        <v>0</v>
      </c>
      <c r="T849" s="1">
        <f t="shared" si="200"/>
        <v>1</v>
      </c>
      <c r="U849" s="26">
        <f t="shared" si="201"/>
        <v>1</v>
      </c>
      <c r="V849" s="26">
        <f t="shared" si="202"/>
        <v>0</v>
      </c>
      <c r="W849" s="1">
        <f t="shared" si="203"/>
        <v>1</v>
      </c>
      <c r="X849" s="26">
        <f t="shared" si="204"/>
        <v>1</v>
      </c>
      <c r="Y849" s="26">
        <f t="shared" si="205"/>
        <v>0</v>
      </c>
      <c r="Z849" s="1">
        <f t="shared" si="206"/>
        <v>1</v>
      </c>
      <c r="AA849"/>
      <c r="AB849"/>
    </row>
    <row r="850" spans="1:28" x14ac:dyDescent="0.55000000000000004">
      <c r="A850" s="1">
        <f t="shared" si="193"/>
        <v>850</v>
      </c>
      <c r="B850" t="s">
        <v>37</v>
      </c>
      <c r="C850" t="s">
        <v>122</v>
      </c>
      <c r="D850" t="s">
        <v>174</v>
      </c>
      <c r="E850" t="s">
        <v>1170</v>
      </c>
      <c r="F850" t="s">
        <v>311</v>
      </c>
      <c r="G850" t="s">
        <v>319</v>
      </c>
      <c r="H850" t="s">
        <v>581</v>
      </c>
      <c r="I850" t="s">
        <v>316</v>
      </c>
      <c r="J850" t="s">
        <v>1307</v>
      </c>
      <c r="K850" t="s">
        <v>330</v>
      </c>
      <c r="L850" t="s">
        <v>593</v>
      </c>
      <c r="M850" t="s">
        <v>28</v>
      </c>
      <c r="N850" s="1">
        <f t="shared" si="194"/>
        <v>1</v>
      </c>
      <c r="O850" s="1">
        <f t="shared" si="195"/>
        <v>2</v>
      </c>
      <c r="P850" s="1">
        <f t="shared" si="196"/>
        <v>3</v>
      </c>
      <c r="Q850" s="1">
        <f t="shared" si="197"/>
        <v>1</v>
      </c>
      <c r="R850" s="1">
        <f t="shared" si="198"/>
        <v>1</v>
      </c>
      <c r="S850" s="1">
        <f t="shared" si="199"/>
        <v>1</v>
      </c>
      <c r="T850" s="1">
        <f t="shared" si="200"/>
        <v>1</v>
      </c>
      <c r="U850" s="26">
        <f t="shared" si="201"/>
        <v>1</v>
      </c>
      <c r="V850" s="26">
        <f t="shared" si="202"/>
        <v>0</v>
      </c>
      <c r="W850" s="1">
        <f t="shared" si="203"/>
        <v>1</v>
      </c>
      <c r="X850" s="26">
        <f t="shared" si="204"/>
        <v>1</v>
      </c>
      <c r="Y850" s="26">
        <f t="shared" si="205"/>
        <v>1</v>
      </c>
      <c r="Z850" s="1">
        <f t="shared" si="206"/>
        <v>1</v>
      </c>
      <c r="AA850"/>
      <c r="AB850"/>
    </row>
    <row r="851" spans="1:28" x14ac:dyDescent="0.55000000000000004">
      <c r="A851" s="1">
        <f t="shared" si="193"/>
        <v>851</v>
      </c>
      <c r="B851" t="s">
        <v>40</v>
      </c>
      <c r="C851" t="s">
        <v>84</v>
      </c>
      <c r="D851" t="s">
        <v>174</v>
      </c>
      <c r="E851" t="s">
        <v>1170</v>
      </c>
      <c r="F851" t="s">
        <v>251</v>
      </c>
      <c r="G851" t="s">
        <v>263</v>
      </c>
      <c r="H851" t="s">
        <v>579</v>
      </c>
      <c r="I851" t="s">
        <v>256</v>
      </c>
      <c r="J851" t="s">
        <v>1374</v>
      </c>
      <c r="K851" t="s">
        <v>264</v>
      </c>
      <c r="L851" t="s">
        <v>595</v>
      </c>
      <c r="M851" t="s">
        <v>28</v>
      </c>
      <c r="N851" s="1">
        <f t="shared" si="194"/>
        <v>2</v>
      </c>
      <c r="O851" s="1">
        <f t="shared" si="195"/>
        <v>1</v>
      </c>
      <c r="P851" s="1">
        <f t="shared" si="196"/>
        <v>3</v>
      </c>
      <c r="Q851" s="1">
        <f t="shared" si="197"/>
        <v>1</v>
      </c>
      <c r="R851" s="1">
        <f t="shared" si="198"/>
        <v>1</v>
      </c>
      <c r="S851" s="1">
        <f t="shared" si="199"/>
        <v>1</v>
      </c>
      <c r="T851" s="1">
        <f t="shared" si="200"/>
        <v>1</v>
      </c>
      <c r="U851" s="26">
        <f t="shared" si="201"/>
        <v>1</v>
      </c>
      <c r="V851" s="26">
        <f t="shared" si="202"/>
        <v>1</v>
      </c>
      <c r="W851" s="1">
        <f t="shared" si="203"/>
        <v>1</v>
      </c>
      <c r="X851" s="26">
        <f t="shared" si="204"/>
        <v>1</v>
      </c>
      <c r="Y851" s="26">
        <f t="shared" si="205"/>
        <v>0</v>
      </c>
      <c r="Z851" s="1">
        <f t="shared" si="206"/>
        <v>1</v>
      </c>
      <c r="AA851"/>
      <c r="AB851"/>
    </row>
    <row r="852" spans="1:28" x14ac:dyDescent="0.55000000000000004">
      <c r="A852" s="1">
        <f t="shared" si="193"/>
        <v>852</v>
      </c>
      <c r="B852" t="s">
        <v>30</v>
      </c>
      <c r="C852" t="s">
        <v>104</v>
      </c>
      <c r="D852" t="s">
        <v>133</v>
      </c>
      <c r="E852" t="s">
        <v>1726</v>
      </c>
      <c r="F852" t="s">
        <v>346</v>
      </c>
      <c r="G852" t="s">
        <v>57</v>
      </c>
      <c r="H852" t="s">
        <v>573</v>
      </c>
      <c r="I852" t="s">
        <v>60</v>
      </c>
      <c r="J852" t="s">
        <v>1727</v>
      </c>
      <c r="K852" t="s">
        <v>59</v>
      </c>
      <c r="L852" t="s">
        <v>777</v>
      </c>
      <c r="M852" t="s">
        <v>28</v>
      </c>
      <c r="N852" s="1">
        <f t="shared" si="194"/>
        <v>2</v>
      </c>
      <c r="O852" s="1">
        <f t="shared" si="195"/>
        <v>0</v>
      </c>
      <c r="P852" s="1">
        <f t="shared" si="196"/>
        <v>2</v>
      </c>
      <c r="Q852" s="1">
        <f t="shared" si="197"/>
        <v>1</v>
      </c>
      <c r="R852" s="1">
        <f t="shared" si="198"/>
        <v>1</v>
      </c>
      <c r="S852" s="1">
        <f t="shared" si="199"/>
        <v>1</v>
      </c>
      <c r="T852" s="1">
        <f t="shared" si="200"/>
        <v>1</v>
      </c>
      <c r="U852" s="26">
        <f t="shared" si="201"/>
        <v>1</v>
      </c>
      <c r="V852" s="26">
        <f t="shared" si="202"/>
        <v>1</v>
      </c>
      <c r="W852" s="1">
        <f t="shared" si="203"/>
        <v>1</v>
      </c>
      <c r="X852" s="26">
        <f t="shared" si="204"/>
        <v>0</v>
      </c>
      <c r="Y852" s="26">
        <f t="shared" si="205"/>
        <v>0</v>
      </c>
      <c r="Z852" s="1">
        <f t="shared" si="206"/>
        <v>1</v>
      </c>
      <c r="AA852"/>
      <c r="AB852"/>
    </row>
    <row r="853" spans="1:28" x14ac:dyDescent="0.55000000000000004">
      <c r="A853" s="1">
        <f t="shared" si="193"/>
        <v>853</v>
      </c>
      <c r="B853" t="s">
        <v>30</v>
      </c>
      <c r="C853" t="s">
        <v>104</v>
      </c>
      <c r="D853" t="s">
        <v>133</v>
      </c>
      <c r="E853" t="s">
        <v>1726</v>
      </c>
      <c r="F853" t="s">
        <v>346</v>
      </c>
      <c r="G853" t="s">
        <v>45</v>
      </c>
      <c r="H853" t="s">
        <v>579</v>
      </c>
      <c r="I853" t="s">
        <v>44</v>
      </c>
      <c r="J853" t="s">
        <v>1728</v>
      </c>
      <c r="K853" t="s">
        <v>74</v>
      </c>
      <c r="L853" t="s">
        <v>1729</v>
      </c>
      <c r="M853" t="s">
        <v>28</v>
      </c>
      <c r="N853" s="1">
        <f t="shared" si="194"/>
        <v>2</v>
      </c>
      <c r="O853" s="1">
        <f t="shared" si="195"/>
        <v>1</v>
      </c>
      <c r="P853" s="1">
        <f t="shared" si="196"/>
        <v>3</v>
      </c>
      <c r="Q853" s="1">
        <f t="shared" si="197"/>
        <v>1</v>
      </c>
      <c r="R853" s="1">
        <f t="shared" si="198"/>
        <v>1</v>
      </c>
      <c r="S853" s="1">
        <f t="shared" si="199"/>
        <v>1</v>
      </c>
      <c r="T853" s="1">
        <f t="shared" si="200"/>
        <v>1</v>
      </c>
      <c r="U853" s="26">
        <f t="shared" si="201"/>
        <v>1</v>
      </c>
      <c r="V853" s="26">
        <f t="shared" si="202"/>
        <v>1</v>
      </c>
      <c r="W853" s="1">
        <f t="shared" si="203"/>
        <v>1</v>
      </c>
      <c r="X853" s="26">
        <f t="shared" si="204"/>
        <v>1</v>
      </c>
      <c r="Y853" s="26">
        <f t="shared" si="205"/>
        <v>0</v>
      </c>
      <c r="Z853" s="1">
        <f t="shared" si="206"/>
        <v>1</v>
      </c>
      <c r="AA853"/>
      <c r="AB853"/>
    </row>
    <row r="854" spans="1:28" x14ac:dyDescent="0.55000000000000004">
      <c r="A854" s="1">
        <f t="shared" si="193"/>
        <v>854</v>
      </c>
      <c r="B854" t="s">
        <v>33</v>
      </c>
      <c r="C854" t="s">
        <v>117</v>
      </c>
      <c r="D854" t="s">
        <v>133</v>
      </c>
      <c r="E854" t="s">
        <v>1726</v>
      </c>
      <c r="F854" t="s">
        <v>364</v>
      </c>
      <c r="G854" t="s">
        <v>288</v>
      </c>
      <c r="H854" t="s">
        <v>608</v>
      </c>
      <c r="I854" t="s">
        <v>299</v>
      </c>
      <c r="J854" t="s">
        <v>1781</v>
      </c>
      <c r="K854" t="s">
        <v>361</v>
      </c>
      <c r="L854" t="s">
        <v>1199</v>
      </c>
      <c r="M854" t="s">
        <v>28</v>
      </c>
      <c r="N854" s="1">
        <f t="shared" si="194"/>
        <v>1</v>
      </c>
      <c r="O854" s="1">
        <f t="shared" si="195"/>
        <v>1</v>
      </c>
      <c r="P854" s="1">
        <f t="shared" si="196"/>
        <v>2</v>
      </c>
      <c r="Q854" s="1">
        <f t="shared" si="197"/>
        <v>0</v>
      </c>
      <c r="R854" s="1">
        <f t="shared" si="198"/>
        <v>1</v>
      </c>
      <c r="S854" s="1">
        <f t="shared" si="199"/>
        <v>0</v>
      </c>
      <c r="T854" s="1">
        <f t="shared" si="200"/>
        <v>1</v>
      </c>
      <c r="U854" s="26">
        <f t="shared" si="201"/>
        <v>1</v>
      </c>
      <c r="V854" s="26">
        <f t="shared" si="202"/>
        <v>0</v>
      </c>
      <c r="W854" s="1">
        <f t="shared" si="203"/>
        <v>1</v>
      </c>
      <c r="X854" s="26">
        <f t="shared" si="204"/>
        <v>1</v>
      </c>
      <c r="Y854" s="26">
        <f t="shared" si="205"/>
        <v>0</v>
      </c>
      <c r="Z854" s="1">
        <f t="shared" si="206"/>
        <v>1</v>
      </c>
      <c r="AA854"/>
      <c r="AB854"/>
    </row>
    <row r="855" spans="1:28" x14ac:dyDescent="0.55000000000000004">
      <c r="A855" s="1">
        <f t="shared" si="193"/>
        <v>855</v>
      </c>
      <c r="B855" t="s">
        <v>33</v>
      </c>
      <c r="C855" t="s">
        <v>117</v>
      </c>
      <c r="D855" t="s">
        <v>133</v>
      </c>
      <c r="E855" t="s">
        <v>1726</v>
      </c>
      <c r="F855" t="s">
        <v>277</v>
      </c>
      <c r="G855" t="s">
        <v>281</v>
      </c>
      <c r="H855" t="s">
        <v>581</v>
      </c>
      <c r="I855" t="s">
        <v>278</v>
      </c>
      <c r="J855" t="s">
        <v>1782</v>
      </c>
      <c r="K855" t="s">
        <v>283</v>
      </c>
      <c r="L855" t="s">
        <v>1183</v>
      </c>
      <c r="M855" t="s">
        <v>28</v>
      </c>
      <c r="N855" s="1">
        <f t="shared" si="194"/>
        <v>1</v>
      </c>
      <c r="O855" s="1">
        <f t="shared" si="195"/>
        <v>2</v>
      </c>
      <c r="P855" s="1">
        <f t="shared" si="196"/>
        <v>3</v>
      </c>
      <c r="Q855" s="1">
        <f t="shared" si="197"/>
        <v>1</v>
      </c>
      <c r="R855" s="1">
        <f t="shared" si="198"/>
        <v>1</v>
      </c>
      <c r="S855" s="1">
        <f t="shared" si="199"/>
        <v>1</v>
      </c>
      <c r="T855" s="1">
        <f t="shared" si="200"/>
        <v>1</v>
      </c>
      <c r="U855" s="26">
        <f t="shared" si="201"/>
        <v>1</v>
      </c>
      <c r="V855" s="26">
        <f t="shared" si="202"/>
        <v>0</v>
      </c>
      <c r="W855" s="1">
        <f t="shared" si="203"/>
        <v>1</v>
      </c>
      <c r="X855" s="26">
        <f t="shared" si="204"/>
        <v>1</v>
      </c>
      <c r="Y855" s="26">
        <f t="shared" si="205"/>
        <v>1</v>
      </c>
      <c r="Z855" s="1">
        <f t="shared" si="206"/>
        <v>1</v>
      </c>
      <c r="AA855"/>
      <c r="AB855"/>
    </row>
    <row r="856" spans="1:28" x14ac:dyDescent="0.55000000000000004">
      <c r="A856" s="1">
        <f t="shared" si="193"/>
        <v>856</v>
      </c>
      <c r="B856" t="s">
        <v>33</v>
      </c>
      <c r="C856" t="s">
        <v>117</v>
      </c>
      <c r="D856" t="s">
        <v>133</v>
      </c>
      <c r="E856" t="s">
        <v>1726</v>
      </c>
      <c r="F856" t="s">
        <v>290</v>
      </c>
      <c r="G856" t="s">
        <v>279</v>
      </c>
      <c r="H856" t="s">
        <v>573</v>
      </c>
      <c r="I856" t="s">
        <v>367</v>
      </c>
      <c r="J856" t="s">
        <v>1783</v>
      </c>
      <c r="K856" t="s">
        <v>294</v>
      </c>
      <c r="L856" t="s">
        <v>1044</v>
      </c>
      <c r="M856" t="s">
        <v>28</v>
      </c>
      <c r="N856" s="1">
        <f t="shared" si="194"/>
        <v>2</v>
      </c>
      <c r="O856" s="1">
        <f t="shared" si="195"/>
        <v>0</v>
      </c>
      <c r="P856" s="1">
        <f t="shared" si="196"/>
        <v>2</v>
      </c>
      <c r="Q856" s="1">
        <f t="shared" si="197"/>
        <v>1</v>
      </c>
      <c r="R856" s="1">
        <f t="shared" si="198"/>
        <v>1</v>
      </c>
      <c r="S856" s="1">
        <f t="shared" si="199"/>
        <v>1</v>
      </c>
      <c r="T856" s="1">
        <f t="shared" si="200"/>
        <v>1</v>
      </c>
      <c r="U856" s="26">
        <f t="shared" si="201"/>
        <v>1</v>
      </c>
      <c r="V856" s="26">
        <f t="shared" si="202"/>
        <v>1</v>
      </c>
      <c r="W856" s="1">
        <f t="shared" si="203"/>
        <v>1</v>
      </c>
      <c r="X856" s="26">
        <f t="shared" si="204"/>
        <v>0</v>
      </c>
      <c r="Y856" s="26">
        <f t="shared" si="205"/>
        <v>0</v>
      </c>
      <c r="Z856" s="1">
        <f t="shared" si="206"/>
        <v>1</v>
      </c>
      <c r="AA856"/>
      <c r="AB856"/>
    </row>
    <row r="857" spans="1:28" x14ac:dyDescent="0.55000000000000004">
      <c r="A857" s="1">
        <f t="shared" si="193"/>
        <v>857</v>
      </c>
      <c r="B857" t="s">
        <v>40</v>
      </c>
      <c r="C857" t="s">
        <v>84</v>
      </c>
      <c r="D857" t="s">
        <v>133</v>
      </c>
      <c r="E857" t="s">
        <v>1726</v>
      </c>
      <c r="F857" t="s">
        <v>396</v>
      </c>
      <c r="G857" t="s">
        <v>260</v>
      </c>
      <c r="H857" t="s">
        <v>579</v>
      </c>
      <c r="I857" t="s">
        <v>248</v>
      </c>
      <c r="J857" t="s">
        <v>1914</v>
      </c>
      <c r="K857" t="s">
        <v>250</v>
      </c>
      <c r="L857" t="s">
        <v>1030</v>
      </c>
      <c r="M857" t="s">
        <v>28</v>
      </c>
      <c r="N857" s="1">
        <f t="shared" si="194"/>
        <v>2</v>
      </c>
      <c r="O857" s="1">
        <f t="shared" si="195"/>
        <v>1</v>
      </c>
      <c r="P857" s="1">
        <f t="shared" si="196"/>
        <v>3</v>
      </c>
      <c r="Q857" s="1">
        <f t="shared" si="197"/>
        <v>1</v>
      </c>
      <c r="R857" s="1">
        <f t="shared" si="198"/>
        <v>1</v>
      </c>
      <c r="S857" s="1">
        <f t="shared" si="199"/>
        <v>1</v>
      </c>
      <c r="T857" s="1">
        <f t="shared" si="200"/>
        <v>1</v>
      </c>
      <c r="U857" s="26">
        <f t="shared" si="201"/>
        <v>1</v>
      </c>
      <c r="V857" s="26">
        <f t="shared" si="202"/>
        <v>1</v>
      </c>
      <c r="W857" s="1">
        <f t="shared" si="203"/>
        <v>1</v>
      </c>
      <c r="X857" s="26">
        <f t="shared" si="204"/>
        <v>1</v>
      </c>
      <c r="Y857" s="26">
        <f t="shared" si="205"/>
        <v>0</v>
      </c>
      <c r="Z857" s="1">
        <f t="shared" si="206"/>
        <v>1</v>
      </c>
      <c r="AA857"/>
      <c r="AB857"/>
    </row>
    <row r="858" spans="1:28" x14ac:dyDescent="0.55000000000000004">
      <c r="A858" s="1">
        <f t="shared" si="193"/>
        <v>858</v>
      </c>
      <c r="B858" t="s">
        <v>40</v>
      </c>
      <c r="C858" t="s">
        <v>84</v>
      </c>
      <c r="D858" t="s">
        <v>133</v>
      </c>
      <c r="E858" t="s">
        <v>1726</v>
      </c>
      <c r="F858" t="s">
        <v>392</v>
      </c>
      <c r="G858" t="s">
        <v>261</v>
      </c>
      <c r="H858" t="s">
        <v>579</v>
      </c>
      <c r="I858" t="s">
        <v>253</v>
      </c>
      <c r="J858" t="s">
        <v>1915</v>
      </c>
      <c r="K858" t="s">
        <v>393</v>
      </c>
      <c r="L858" t="s">
        <v>1025</v>
      </c>
      <c r="M858" t="s">
        <v>28</v>
      </c>
      <c r="N858" s="1">
        <f t="shared" si="194"/>
        <v>2</v>
      </c>
      <c r="O858" s="1">
        <f t="shared" si="195"/>
        <v>1</v>
      </c>
      <c r="P858" s="1">
        <f t="shared" si="196"/>
        <v>3</v>
      </c>
      <c r="Q858" s="1">
        <f t="shared" si="197"/>
        <v>1</v>
      </c>
      <c r="R858" s="1">
        <f t="shared" si="198"/>
        <v>1</v>
      </c>
      <c r="S858" s="1">
        <f t="shared" si="199"/>
        <v>1</v>
      </c>
      <c r="T858" s="1">
        <f t="shared" si="200"/>
        <v>1</v>
      </c>
      <c r="U858" s="26">
        <f t="shared" si="201"/>
        <v>1</v>
      </c>
      <c r="V858" s="26">
        <f t="shared" si="202"/>
        <v>1</v>
      </c>
      <c r="W858" s="1">
        <f t="shared" si="203"/>
        <v>1</v>
      </c>
      <c r="X858" s="26">
        <f t="shared" si="204"/>
        <v>1</v>
      </c>
      <c r="Y858" s="26">
        <f t="shared" si="205"/>
        <v>0</v>
      </c>
      <c r="Z858" s="1">
        <f t="shared" si="206"/>
        <v>1</v>
      </c>
      <c r="AA858"/>
      <c r="AB858"/>
    </row>
    <row r="859" spans="1:28" x14ac:dyDescent="0.55000000000000004">
      <c r="A859" s="1">
        <f t="shared" si="193"/>
        <v>859</v>
      </c>
      <c r="B859" t="s">
        <v>40</v>
      </c>
      <c r="C859" t="s">
        <v>84</v>
      </c>
      <c r="D859" t="s">
        <v>133</v>
      </c>
      <c r="E859" t="s">
        <v>1726</v>
      </c>
      <c r="F859" t="s">
        <v>392</v>
      </c>
      <c r="G859" t="s">
        <v>255</v>
      </c>
      <c r="H859" t="s">
        <v>590</v>
      </c>
      <c r="I859" t="s">
        <v>266</v>
      </c>
      <c r="J859" t="s">
        <v>1916</v>
      </c>
      <c r="K859" t="s">
        <v>257</v>
      </c>
      <c r="L859" t="s">
        <v>596</v>
      </c>
      <c r="M859" t="s">
        <v>28</v>
      </c>
      <c r="N859" s="1">
        <f t="shared" si="194"/>
        <v>0</v>
      </c>
      <c r="O859" s="1">
        <f t="shared" si="195"/>
        <v>1</v>
      </c>
      <c r="P859" s="1">
        <f t="shared" si="196"/>
        <v>1</v>
      </c>
      <c r="Q859" s="1">
        <f t="shared" si="197"/>
        <v>1</v>
      </c>
      <c r="R859" s="1">
        <f t="shared" si="198"/>
        <v>1</v>
      </c>
      <c r="S859" s="1">
        <f t="shared" si="199"/>
        <v>1</v>
      </c>
      <c r="T859" s="1">
        <f t="shared" si="200"/>
        <v>1</v>
      </c>
      <c r="U859" s="26">
        <f t="shared" si="201"/>
        <v>0</v>
      </c>
      <c r="V859" s="26">
        <f t="shared" si="202"/>
        <v>0</v>
      </c>
      <c r="W859" s="1">
        <f t="shared" si="203"/>
        <v>1</v>
      </c>
      <c r="X859" s="26">
        <f t="shared" si="204"/>
        <v>1</v>
      </c>
      <c r="Y859" s="26">
        <f t="shared" si="205"/>
        <v>0</v>
      </c>
      <c r="Z859" s="1">
        <f t="shared" si="206"/>
        <v>0</v>
      </c>
      <c r="AA859"/>
      <c r="AB859"/>
    </row>
    <row r="860" spans="1:28" x14ac:dyDescent="0.55000000000000004">
      <c r="A860" s="1">
        <f t="shared" si="193"/>
        <v>860</v>
      </c>
      <c r="B860" t="s">
        <v>40</v>
      </c>
      <c r="C860" t="s">
        <v>84</v>
      </c>
      <c r="D860" t="s">
        <v>133</v>
      </c>
      <c r="E860" t="s">
        <v>1726</v>
      </c>
      <c r="F860" t="s">
        <v>392</v>
      </c>
      <c r="G860" t="s">
        <v>249</v>
      </c>
      <c r="H860" t="s">
        <v>573</v>
      </c>
      <c r="I860" t="s">
        <v>258</v>
      </c>
      <c r="J860" t="s">
        <v>1917</v>
      </c>
      <c r="K860" t="s">
        <v>262</v>
      </c>
      <c r="L860" t="s">
        <v>594</v>
      </c>
      <c r="M860" t="s">
        <v>28</v>
      </c>
      <c r="N860" s="1">
        <f t="shared" si="194"/>
        <v>2</v>
      </c>
      <c r="O860" s="1">
        <f t="shared" si="195"/>
        <v>0</v>
      </c>
      <c r="P860" s="1">
        <f t="shared" si="196"/>
        <v>2</v>
      </c>
      <c r="Q860" s="1">
        <f t="shared" si="197"/>
        <v>1</v>
      </c>
      <c r="R860" s="1">
        <f t="shared" si="198"/>
        <v>1</v>
      </c>
      <c r="S860" s="1">
        <f t="shared" si="199"/>
        <v>1</v>
      </c>
      <c r="T860" s="1">
        <f t="shared" si="200"/>
        <v>1</v>
      </c>
      <c r="U860" s="26">
        <f t="shared" si="201"/>
        <v>1</v>
      </c>
      <c r="V860" s="26">
        <f t="shared" si="202"/>
        <v>1</v>
      </c>
      <c r="W860" s="1">
        <f t="shared" si="203"/>
        <v>1</v>
      </c>
      <c r="X860" s="26">
        <f t="shared" si="204"/>
        <v>0</v>
      </c>
      <c r="Y860" s="26">
        <f t="shared" si="205"/>
        <v>0</v>
      </c>
      <c r="Z860" s="1">
        <f t="shared" si="206"/>
        <v>1</v>
      </c>
      <c r="AA860"/>
      <c r="AB860"/>
    </row>
    <row r="861" spans="1:28" x14ac:dyDescent="0.55000000000000004">
      <c r="A861" s="1">
        <f t="shared" si="193"/>
        <v>861</v>
      </c>
      <c r="B861" t="s">
        <v>40</v>
      </c>
      <c r="C861" t="s">
        <v>84</v>
      </c>
      <c r="D861" t="s">
        <v>133</v>
      </c>
      <c r="E861" t="s">
        <v>1726</v>
      </c>
      <c r="F861" t="s">
        <v>392</v>
      </c>
      <c r="G861" t="s">
        <v>265</v>
      </c>
      <c r="H861" t="s">
        <v>722</v>
      </c>
      <c r="I861" t="s">
        <v>252</v>
      </c>
      <c r="J861" t="s">
        <v>1284</v>
      </c>
      <c r="K861" t="s">
        <v>344</v>
      </c>
      <c r="L861" t="s">
        <v>1018</v>
      </c>
      <c r="M861" t="s">
        <v>28</v>
      </c>
      <c r="N861" s="1">
        <f t="shared" si="194"/>
        <v>3</v>
      </c>
      <c r="O861" s="1">
        <f t="shared" si="195"/>
        <v>0</v>
      </c>
      <c r="P861" s="1">
        <f t="shared" si="196"/>
        <v>3</v>
      </c>
      <c r="Q861" s="1">
        <f t="shared" si="197"/>
        <v>1</v>
      </c>
      <c r="R861" s="1">
        <f t="shared" si="198"/>
        <v>1</v>
      </c>
      <c r="S861" s="1">
        <f t="shared" si="199"/>
        <v>1</v>
      </c>
      <c r="T861" s="1">
        <f t="shared" si="200"/>
        <v>0</v>
      </c>
      <c r="U861" s="26">
        <f t="shared" si="201"/>
        <v>1</v>
      </c>
      <c r="V861" s="26">
        <f t="shared" si="202"/>
        <v>1</v>
      </c>
      <c r="W861" s="1">
        <f t="shared" si="203"/>
        <v>1</v>
      </c>
      <c r="X861" s="26">
        <f t="shared" si="204"/>
        <v>0</v>
      </c>
      <c r="Y861" s="26">
        <f t="shared" si="205"/>
        <v>0</v>
      </c>
      <c r="Z861" s="1">
        <f t="shared" si="206"/>
        <v>1</v>
      </c>
      <c r="AA861"/>
      <c r="AB861"/>
    </row>
    <row r="862" spans="1:28" x14ac:dyDescent="0.55000000000000004">
      <c r="A862" s="1">
        <f t="shared" si="193"/>
        <v>862</v>
      </c>
      <c r="B862" t="s">
        <v>30</v>
      </c>
      <c r="C862" t="s">
        <v>104</v>
      </c>
      <c r="D862" t="s">
        <v>42</v>
      </c>
      <c r="E862" t="s">
        <v>1406</v>
      </c>
      <c r="F862" t="s">
        <v>380</v>
      </c>
      <c r="G862" t="s">
        <v>58</v>
      </c>
      <c r="H862" t="s">
        <v>581</v>
      </c>
      <c r="I862" t="s">
        <v>63</v>
      </c>
      <c r="J862" t="s">
        <v>1407</v>
      </c>
      <c r="K862" t="s">
        <v>71</v>
      </c>
      <c r="L862" t="s">
        <v>767</v>
      </c>
      <c r="M862" t="s">
        <v>28</v>
      </c>
      <c r="N862" s="1">
        <f t="shared" si="194"/>
        <v>1</v>
      </c>
      <c r="O862" s="1">
        <f t="shared" si="195"/>
        <v>2</v>
      </c>
      <c r="P862" s="1">
        <f t="shared" si="196"/>
        <v>3</v>
      </c>
      <c r="Q862" s="1">
        <f t="shared" si="197"/>
        <v>1</v>
      </c>
      <c r="R862" s="1">
        <f t="shared" si="198"/>
        <v>1</v>
      </c>
      <c r="S862" s="1">
        <f t="shared" si="199"/>
        <v>1</v>
      </c>
      <c r="T862" s="1">
        <f t="shared" si="200"/>
        <v>1</v>
      </c>
      <c r="U862" s="26">
        <f t="shared" si="201"/>
        <v>1</v>
      </c>
      <c r="V862" s="26">
        <f t="shared" si="202"/>
        <v>0</v>
      </c>
      <c r="W862" s="1">
        <f t="shared" si="203"/>
        <v>1</v>
      </c>
      <c r="X862" s="26">
        <f t="shared" si="204"/>
        <v>1</v>
      </c>
      <c r="Y862" s="26">
        <f t="shared" si="205"/>
        <v>1</v>
      </c>
      <c r="Z862" s="1">
        <f t="shared" si="206"/>
        <v>1</v>
      </c>
      <c r="AA862"/>
      <c r="AB862"/>
    </row>
    <row r="863" spans="1:28" x14ac:dyDescent="0.55000000000000004">
      <c r="A863" s="1">
        <f t="shared" si="193"/>
        <v>863</v>
      </c>
      <c r="B863" t="s">
        <v>30</v>
      </c>
      <c r="C863" t="s">
        <v>104</v>
      </c>
      <c r="D863" t="s">
        <v>42</v>
      </c>
      <c r="E863" t="s">
        <v>1406</v>
      </c>
      <c r="F863" t="s">
        <v>380</v>
      </c>
      <c r="G863" t="s">
        <v>48</v>
      </c>
      <c r="H863" t="s">
        <v>579</v>
      </c>
      <c r="I863" t="s">
        <v>61</v>
      </c>
      <c r="J863" t="s">
        <v>1408</v>
      </c>
      <c r="K863" t="s">
        <v>50</v>
      </c>
      <c r="L863" t="s">
        <v>769</v>
      </c>
      <c r="M863" t="s">
        <v>28</v>
      </c>
      <c r="N863" s="1">
        <f t="shared" si="194"/>
        <v>2</v>
      </c>
      <c r="O863" s="1">
        <f t="shared" si="195"/>
        <v>1</v>
      </c>
      <c r="P863" s="1">
        <f t="shared" si="196"/>
        <v>3</v>
      </c>
      <c r="Q863" s="1">
        <f t="shared" si="197"/>
        <v>1</v>
      </c>
      <c r="R863" s="1">
        <f t="shared" si="198"/>
        <v>1</v>
      </c>
      <c r="S863" s="1">
        <f t="shared" si="199"/>
        <v>1</v>
      </c>
      <c r="T863" s="1">
        <f t="shared" si="200"/>
        <v>1</v>
      </c>
      <c r="U863" s="26">
        <f t="shared" si="201"/>
        <v>1</v>
      </c>
      <c r="V863" s="26">
        <f t="shared" si="202"/>
        <v>1</v>
      </c>
      <c r="W863" s="1">
        <f t="shared" si="203"/>
        <v>1</v>
      </c>
      <c r="X863" s="26">
        <f t="shared" si="204"/>
        <v>1</v>
      </c>
      <c r="Y863" s="26">
        <f t="shared" si="205"/>
        <v>0</v>
      </c>
      <c r="Z863" s="1">
        <f t="shared" si="206"/>
        <v>1</v>
      </c>
      <c r="AA863"/>
      <c r="AB863"/>
    </row>
    <row r="864" spans="1:28" x14ac:dyDescent="0.55000000000000004">
      <c r="A864" s="1">
        <f t="shared" si="193"/>
        <v>864</v>
      </c>
      <c r="B864" t="s">
        <v>30</v>
      </c>
      <c r="C864" t="s">
        <v>104</v>
      </c>
      <c r="D864" t="s">
        <v>42</v>
      </c>
      <c r="E864" t="s">
        <v>1406</v>
      </c>
      <c r="F864" t="s">
        <v>398</v>
      </c>
      <c r="G864" t="s">
        <v>66</v>
      </c>
      <c r="H864" t="s">
        <v>565</v>
      </c>
      <c r="I864" t="s">
        <v>54</v>
      </c>
      <c r="J864" t="s">
        <v>1409</v>
      </c>
      <c r="K864" t="s">
        <v>68</v>
      </c>
      <c r="L864" t="s">
        <v>779</v>
      </c>
      <c r="M864" t="s">
        <v>28</v>
      </c>
      <c r="N864" s="1">
        <f t="shared" si="194"/>
        <v>2</v>
      </c>
      <c r="O864" s="1">
        <f t="shared" si="195"/>
        <v>3</v>
      </c>
      <c r="P864" s="1">
        <f t="shared" si="196"/>
        <v>5</v>
      </c>
      <c r="Q864" s="1">
        <f t="shared" si="197"/>
        <v>1</v>
      </c>
      <c r="R864" s="1">
        <f t="shared" si="198"/>
        <v>0</v>
      </c>
      <c r="S864" s="1">
        <f t="shared" si="199"/>
        <v>0</v>
      </c>
      <c r="T864" s="1">
        <f t="shared" si="200"/>
        <v>1</v>
      </c>
      <c r="U864" s="26">
        <f t="shared" si="201"/>
        <v>1</v>
      </c>
      <c r="V864" s="26">
        <f t="shared" si="202"/>
        <v>1</v>
      </c>
      <c r="W864" s="1">
        <f t="shared" si="203"/>
        <v>0</v>
      </c>
      <c r="X864" s="26">
        <f t="shared" si="204"/>
        <v>1</v>
      </c>
      <c r="Y864" s="26">
        <f t="shared" si="205"/>
        <v>1</v>
      </c>
      <c r="Z864" s="1">
        <f t="shared" si="206"/>
        <v>1</v>
      </c>
      <c r="AA864"/>
      <c r="AB864"/>
    </row>
    <row r="865" spans="1:28" x14ac:dyDescent="0.55000000000000004">
      <c r="A865" s="1">
        <f t="shared" si="193"/>
        <v>865</v>
      </c>
      <c r="B865" t="s">
        <v>33</v>
      </c>
      <c r="C865" t="s">
        <v>117</v>
      </c>
      <c r="D865" t="s">
        <v>42</v>
      </c>
      <c r="E865" t="s">
        <v>1406</v>
      </c>
      <c r="F865" t="s">
        <v>372</v>
      </c>
      <c r="G865" t="s">
        <v>285</v>
      </c>
      <c r="H865" t="s">
        <v>590</v>
      </c>
      <c r="I865" t="s">
        <v>292</v>
      </c>
      <c r="J865" t="s">
        <v>1454</v>
      </c>
      <c r="K865" t="s">
        <v>359</v>
      </c>
      <c r="L865" t="s">
        <v>1203</v>
      </c>
      <c r="M865" t="s">
        <v>28</v>
      </c>
      <c r="N865" s="1">
        <f t="shared" si="194"/>
        <v>0</v>
      </c>
      <c r="O865" s="1">
        <f t="shared" si="195"/>
        <v>1</v>
      </c>
      <c r="P865" s="1">
        <f t="shared" si="196"/>
        <v>1</v>
      </c>
      <c r="Q865" s="1">
        <f t="shared" si="197"/>
        <v>1</v>
      </c>
      <c r="R865" s="1">
        <f t="shared" si="198"/>
        <v>1</v>
      </c>
      <c r="S865" s="1">
        <f t="shared" si="199"/>
        <v>1</v>
      </c>
      <c r="T865" s="1">
        <f t="shared" si="200"/>
        <v>1</v>
      </c>
      <c r="U865" s="26">
        <f t="shared" si="201"/>
        <v>0</v>
      </c>
      <c r="V865" s="26">
        <f t="shared" si="202"/>
        <v>0</v>
      </c>
      <c r="W865" s="1">
        <f t="shared" si="203"/>
        <v>1</v>
      </c>
      <c r="X865" s="26">
        <f t="shared" si="204"/>
        <v>1</v>
      </c>
      <c r="Y865" s="26">
        <f t="shared" si="205"/>
        <v>0</v>
      </c>
      <c r="Z865" s="1">
        <f t="shared" si="206"/>
        <v>0</v>
      </c>
      <c r="AA865"/>
      <c r="AB865"/>
    </row>
    <row r="866" spans="1:28" x14ac:dyDescent="0.55000000000000004">
      <c r="A866" s="1">
        <f t="shared" si="193"/>
        <v>866</v>
      </c>
      <c r="B866" t="s">
        <v>33</v>
      </c>
      <c r="C866" t="s">
        <v>117</v>
      </c>
      <c r="D866" t="s">
        <v>42</v>
      </c>
      <c r="E866" t="s">
        <v>1406</v>
      </c>
      <c r="F866" t="s">
        <v>364</v>
      </c>
      <c r="G866" t="s">
        <v>365</v>
      </c>
      <c r="H866" t="s">
        <v>565</v>
      </c>
      <c r="I866" t="s">
        <v>291</v>
      </c>
      <c r="J866" t="s">
        <v>1455</v>
      </c>
      <c r="K866" t="s">
        <v>369</v>
      </c>
      <c r="L866" t="s">
        <v>816</v>
      </c>
      <c r="M866" t="s">
        <v>28</v>
      </c>
      <c r="N866" s="1">
        <f t="shared" si="194"/>
        <v>2</v>
      </c>
      <c r="O866" s="1">
        <f t="shared" si="195"/>
        <v>3</v>
      </c>
      <c r="P866" s="1">
        <f t="shared" si="196"/>
        <v>5</v>
      </c>
      <c r="Q866" s="1">
        <f t="shared" si="197"/>
        <v>1</v>
      </c>
      <c r="R866" s="1">
        <f t="shared" si="198"/>
        <v>0</v>
      </c>
      <c r="S866" s="1">
        <f t="shared" si="199"/>
        <v>0</v>
      </c>
      <c r="T866" s="1">
        <f t="shared" si="200"/>
        <v>1</v>
      </c>
      <c r="U866" s="26">
        <f t="shared" si="201"/>
        <v>1</v>
      </c>
      <c r="V866" s="26">
        <f t="shared" si="202"/>
        <v>1</v>
      </c>
      <c r="W866" s="1">
        <f t="shared" si="203"/>
        <v>0</v>
      </c>
      <c r="X866" s="26">
        <f t="shared" si="204"/>
        <v>1</v>
      </c>
      <c r="Y866" s="26">
        <f t="shared" si="205"/>
        <v>1</v>
      </c>
      <c r="Z866" s="1">
        <f t="shared" si="206"/>
        <v>1</v>
      </c>
      <c r="AA866"/>
      <c r="AB866"/>
    </row>
    <row r="867" spans="1:28" x14ac:dyDescent="0.55000000000000004">
      <c r="A867" s="1">
        <f t="shared" si="193"/>
        <v>867</v>
      </c>
      <c r="B867" t="s">
        <v>33</v>
      </c>
      <c r="C867" t="s">
        <v>117</v>
      </c>
      <c r="D867" t="s">
        <v>42</v>
      </c>
      <c r="E867" t="s">
        <v>1406</v>
      </c>
      <c r="F867" t="s">
        <v>277</v>
      </c>
      <c r="G867" t="s">
        <v>296</v>
      </c>
      <c r="H867" t="s">
        <v>1064</v>
      </c>
      <c r="I867" t="s">
        <v>362</v>
      </c>
      <c r="J867" t="s">
        <v>1456</v>
      </c>
      <c r="K867" t="s">
        <v>297</v>
      </c>
      <c r="L867" t="s">
        <v>1439</v>
      </c>
      <c r="M867" t="s">
        <v>28</v>
      </c>
      <c r="N867" s="1">
        <f t="shared" si="194"/>
        <v>0</v>
      </c>
      <c r="O867" s="1">
        <f t="shared" si="195"/>
        <v>5</v>
      </c>
      <c r="P867" s="1">
        <f t="shared" si="196"/>
        <v>5</v>
      </c>
      <c r="Q867" s="1">
        <f t="shared" si="197"/>
        <v>1</v>
      </c>
      <c r="R867" s="1">
        <f t="shared" si="198"/>
        <v>0</v>
      </c>
      <c r="S867" s="1">
        <f t="shared" si="199"/>
        <v>0</v>
      </c>
      <c r="T867" s="1">
        <f t="shared" si="200"/>
        <v>1</v>
      </c>
      <c r="U867" s="26">
        <f t="shared" si="201"/>
        <v>0</v>
      </c>
      <c r="V867" s="26">
        <f t="shared" si="202"/>
        <v>0</v>
      </c>
      <c r="W867" s="1">
        <f t="shared" si="203"/>
        <v>0</v>
      </c>
      <c r="X867" s="26">
        <f t="shared" si="204"/>
        <v>0</v>
      </c>
      <c r="Y867" s="26">
        <f t="shared" si="205"/>
        <v>1</v>
      </c>
      <c r="Z867" s="1">
        <f t="shared" si="206"/>
        <v>1</v>
      </c>
      <c r="AA867"/>
      <c r="AB867"/>
    </row>
    <row r="868" spans="1:28" x14ac:dyDescent="0.55000000000000004">
      <c r="A868" s="1">
        <f t="shared" si="193"/>
        <v>868</v>
      </c>
      <c r="B868" t="s">
        <v>33</v>
      </c>
      <c r="C868" t="s">
        <v>117</v>
      </c>
      <c r="D868" t="s">
        <v>42</v>
      </c>
      <c r="E868" t="s">
        <v>1406</v>
      </c>
      <c r="F868" t="s">
        <v>277</v>
      </c>
      <c r="G868" t="s">
        <v>284</v>
      </c>
      <c r="H868" t="s">
        <v>881</v>
      </c>
      <c r="I868" t="s">
        <v>287</v>
      </c>
      <c r="J868" t="s">
        <v>1457</v>
      </c>
      <c r="K868" t="s">
        <v>286</v>
      </c>
      <c r="L868" t="s">
        <v>810</v>
      </c>
      <c r="M868" t="s">
        <v>28</v>
      </c>
      <c r="N868" s="1">
        <f t="shared" si="194"/>
        <v>3</v>
      </c>
      <c r="O868" s="1">
        <f t="shared" si="195"/>
        <v>3</v>
      </c>
      <c r="P868" s="1">
        <f t="shared" si="196"/>
        <v>6</v>
      </c>
      <c r="Q868" s="1">
        <f t="shared" si="197"/>
        <v>0</v>
      </c>
      <c r="R868" s="1">
        <f t="shared" si="198"/>
        <v>0</v>
      </c>
      <c r="S868" s="1">
        <f t="shared" si="199"/>
        <v>0</v>
      </c>
      <c r="T868" s="1">
        <f t="shared" si="200"/>
        <v>0</v>
      </c>
      <c r="U868" s="26">
        <f t="shared" si="201"/>
        <v>1</v>
      </c>
      <c r="V868" s="26">
        <f t="shared" si="202"/>
        <v>1</v>
      </c>
      <c r="W868" s="1">
        <f t="shared" si="203"/>
        <v>0</v>
      </c>
      <c r="X868" s="26">
        <f t="shared" si="204"/>
        <v>1</v>
      </c>
      <c r="Y868" s="26">
        <f t="shared" si="205"/>
        <v>1</v>
      </c>
      <c r="Z868" s="1">
        <f t="shared" si="206"/>
        <v>1</v>
      </c>
      <c r="AA868"/>
      <c r="AB868"/>
    </row>
    <row r="869" spans="1:28" x14ac:dyDescent="0.55000000000000004">
      <c r="A869" s="1">
        <f t="shared" si="193"/>
        <v>869</v>
      </c>
      <c r="B869" t="s">
        <v>33</v>
      </c>
      <c r="C869" t="s">
        <v>117</v>
      </c>
      <c r="D869" t="s">
        <v>42</v>
      </c>
      <c r="E869" t="s">
        <v>1406</v>
      </c>
      <c r="F869" t="s">
        <v>290</v>
      </c>
      <c r="G869" t="s">
        <v>360</v>
      </c>
      <c r="H869" t="s">
        <v>581</v>
      </c>
      <c r="I869" t="s">
        <v>282</v>
      </c>
      <c r="J869" t="s">
        <v>1458</v>
      </c>
      <c r="K869" t="s">
        <v>371</v>
      </c>
      <c r="L869" t="s">
        <v>1059</v>
      </c>
      <c r="M869" t="s">
        <v>28</v>
      </c>
      <c r="N869" s="1">
        <f t="shared" si="194"/>
        <v>1</v>
      </c>
      <c r="O869" s="1">
        <f t="shared" si="195"/>
        <v>2</v>
      </c>
      <c r="P869" s="1">
        <f t="shared" si="196"/>
        <v>3</v>
      </c>
      <c r="Q869" s="1">
        <f t="shared" si="197"/>
        <v>1</v>
      </c>
      <c r="R869" s="1">
        <f t="shared" si="198"/>
        <v>1</v>
      </c>
      <c r="S869" s="1">
        <f t="shared" si="199"/>
        <v>1</v>
      </c>
      <c r="T869" s="1">
        <f t="shared" si="200"/>
        <v>1</v>
      </c>
      <c r="U869" s="26">
        <f t="shared" si="201"/>
        <v>1</v>
      </c>
      <c r="V869" s="26">
        <f t="shared" si="202"/>
        <v>0</v>
      </c>
      <c r="W869" s="1">
        <f t="shared" si="203"/>
        <v>1</v>
      </c>
      <c r="X869" s="26">
        <f t="shared" si="204"/>
        <v>1</v>
      </c>
      <c r="Y869" s="26">
        <f t="shared" si="205"/>
        <v>1</v>
      </c>
      <c r="Z869" s="1">
        <f t="shared" si="206"/>
        <v>1</v>
      </c>
      <c r="AA869"/>
      <c r="AB869"/>
    </row>
    <row r="870" spans="1:28" x14ac:dyDescent="0.55000000000000004">
      <c r="A870" s="1">
        <f t="shared" si="193"/>
        <v>870</v>
      </c>
      <c r="B870" t="s">
        <v>35</v>
      </c>
      <c r="C870" t="s">
        <v>111</v>
      </c>
      <c r="D870" t="s">
        <v>42</v>
      </c>
      <c r="E870" t="s">
        <v>1406</v>
      </c>
      <c r="F870" t="s">
        <v>376</v>
      </c>
      <c r="G870" t="s">
        <v>204</v>
      </c>
      <c r="H870" t="s">
        <v>570</v>
      </c>
      <c r="I870" t="s">
        <v>384</v>
      </c>
      <c r="J870" t="s">
        <v>1501</v>
      </c>
      <c r="K870" t="s">
        <v>206</v>
      </c>
      <c r="L870" t="s">
        <v>574</v>
      </c>
      <c r="M870" t="s">
        <v>28</v>
      </c>
      <c r="N870" s="1">
        <f t="shared" si="194"/>
        <v>3</v>
      </c>
      <c r="O870" s="1">
        <f t="shared" si="195"/>
        <v>1</v>
      </c>
      <c r="P870" s="1">
        <f t="shared" si="196"/>
        <v>4</v>
      </c>
      <c r="Q870" s="1">
        <f t="shared" si="197"/>
        <v>1</v>
      </c>
      <c r="R870" s="1">
        <f t="shared" si="198"/>
        <v>1</v>
      </c>
      <c r="S870" s="1">
        <f t="shared" si="199"/>
        <v>1</v>
      </c>
      <c r="T870" s="1">
        <f t="shared" si="200"/>
        <v>0</v>
      </c>
      <c r="U870" s="26">
        <f t="shared" si="201"/>
        <v>1</v>
      </c>
      <c r="V870" s="26">
        <f t="shared" si="202"/>
        <v>1</v>
      </c>
      <c r="W870" s="1">
        <f t="shared" si="203"/>
        <v>1</v>
      </c>
      <c r="X870" s="26">
        <f t="shared" si="204"/>
        <v>1</v>
      </c>
      <c r="Y870" s="26">
        <f t="shared" si="205"/>
        <v>0</v>
      </c>
      <c r="Z870" s="1">
        <f t="shared" si="206"/>
        <v>1</v>
      </c>
      <c r="AA870"/>
      <c r="AB870"/>
    </row>
    <row r="871" spans="1:28" x14ac:dyDescent="0.55000000000000004">
      <c r="A871" s="1">
        <f t="shared" si="193"/>
        <v>871</v>
      </c>
      <c r="B871" t="s">
        <v>35</v>
      </c>
      <c r="C871" t="s">
        <v>111</v>
      </c>
      <c r="D871" t="s">
        <v>42</v>
      </c>
      <c r="E871" t="s">
        <v>1406</v>
      </c>
      <c r="F871" t="s">
        <v>375</v>
      </c>
      <c r="G871" t="s">
        <v>377</v>
      </c>
      <c r="H871" t="s">
        <v>581</v>
      </c>
      <c r="I871" t="s">
        <v>208</v>
      </c>
      <c r="J871" t="s">
        <v>1502</v>
      </c>
      <c r="K871" t="s">
        <v>378</v>
      </c>
      <c r="L871" t="s">
        <v>1232</v>
      </c>
      <c r="M871" t="s">
        <v>28</v>
      </c>
      <c r="N871" s="1">
        <f t="shared" si="194"/>
        <v>1</v>
      </c>
      <c r="O871" s="1">
        <f t="shared" si="195"/>
        <v>2</v>
      </c>
      <c r="P871" s="1">
        <f t="shared" si="196"/>
        <v>3</v>
      </c>
      <c r="Q871" s="1">
        <f t="shared" si="197"/>
        <v>1</v>
      </c>
      <c r="R871" s="1">
        <f t="shared" si="198"/>
        <v>1</v>
      </c>
      <c r="S871" s="1">
        <f t="shared" si="199"/>
        <v>1</v>
      </c>
      <c r="T871" s="1">
        <f t="shared" si="200"/>
        <v>1</v>
      </c>
      <c r="U871" s="26">
        <f t="shared" si="201"/>
        <v>1</v>
      </c>
      <c r="V871" s="26">
        <f t="shared" si="202"/>
        <v>0</v>
      </c>
      <c r="W871" s="1">
        <f t="shared" si="203"/>
        <v>1</v>
      </c>
      <c r="X871" s="26">
        <f t="shared" si="204"/>
        <v>1</v>
      </c>
      <c r="Y871" s="26">
        <f t="shared" si="205"/>
        <v>1</v>
      </c>
      <c r="Z871" s="1">
        <f t="shared" si="206"/>
        <v>1</v>
      </c>
      <c r="AA871"/>
      <c r="AB871"/>
    </row>
    <row r="872" spans="1:28" x14ac:dyDescent="0.55000000000000004">
      <c r="A872" s="1">
        <f t="shared" si="193"/>
        <v>872</v>
      </c>
      <c r="B872" t="s">
        <v>30</v>
      </c>
      <c r="C872" t="s">
        <v>104</v>
      </c>
      <c r="D872" t="s">
        <v>179</v>
      </c>
      <c r="E872" t="s">
        <v>792</v>
      </c>
      <c r="F872" t="s">
        <v>181</v>
      </c>
      <c r="G872" t="s">
        <v>49</v>
      </c>
      <c r="H872" t="s">
        <v>608</v>
      </c>
      <c r="I872" t="s">
        <v>67</v>
      </c>
      <c r="J872" t="s">
        <v>793</v>
      </c>
      <c r="K872" t="s">
        <v>72</v>
      </c>
      <c r="L872" t="s">
        <v>794</v>
      </c>
      <c r="M872" t="s">
        <v>28</v>
      </c>
      <c r="N872" s="1">
        <f t="shared" si="194"/>
        <v>1</v>
      </c>
      <c r="O872" s="1">
        <f t="shared" si="195"/>
        <v>1</v>
      </c>
      <c r="P872" s="1">
        <f t="shared" si="196"/>
        <v>2</v>
      </c>
      <c r="Q872" s="1">
        <f t="shared" si="197"/>
        <v>0</v>
      </c>
      <c r="R872" s="1">
        <f t="shared" si="198"/>
        <v>1</v>
      </c>
      <c r="S872" s="1">
        <f t="shared" si="199"/>
        <v>0</v>
      </c>
      <c r="T872" s="1">
        <f t="shared" si="200"/>
        <v>1</v>
      </c>
      <c r="U872" s="26">
        <f t="shared" si="201"/>
        <v>1</v>
      </c>
      <c r="V872" s="26">
        <f t="shared" si="202"/>
        <v>0</v>
      </c>
      <c r="W872" s="1">
        <f t="shared" si="203"/>
        <v>1</v>
      </c>
      <c r="X872" s="26">
        <f t="shared" si="204"/>
        <v>1</v>
      </c>
      <c r="Y872" s="26">
        <f t="shared" si="205"/>
        <v>0</v>
      </c>
      <c r="Z872" s="1">
        <f t="shared" si="206"/>
        <v>1</v>
      </c>
      <c r="AA872"/>
      <c r="AB872"/>
    </row>
    <row r="873" spans="1:28" x14ac:dyDescent="0.55000000000000004">
      <c r="A873" s="1">
        <f t="shared" si="193"/>
        <v>873</v>
      </c>
      <c r="B873" t="s">
        <v>30</v>
      </c>
      <c r="C873" t="s">
        <v>104</v>
      </c>
      <c r="D873" t="s">
        <v>179</v>
      </c>
      <c r="E873" t="s">
        <v>792</v>
      </c>
      <c r="F873" t="s">
        <v>182</v>
      </c>
      <c r="G873" t="s">
        <v>64</v>
      </c>
      <c r="H873" t="s">
        <v>608</v>
      </c>
      <c r="I873" t="s">
        <v>55</v>
      </c>
      <c r="J873" t="s">
        <v>795</v>
      </c>
      <c r="K873" t="s">
        <v>62</v>
      </c>
      <c r="L873" t="s">
        <v>759</v>
      </c>
      <c r="M873" t="s">
        <v>28</v>
      </c>
      <c r="N873" s="1">
        <f t="shared" si="194"/>
        <v>1</v>
      </c>
      <c r="O873" s="1">
        <f t="shared" si="195"/>
        <v>1</v>
      </c>
      <c r="P873" s="1">
        <f t="shared" si="196"/>
        <v>2</v>
      </c>
      <c r="Q873" s="1">
        <f t="shared" si="197"/>
        <v>0</v>
      </c>
      <c r="R873" s="1">
        <f t="shared" si="198"/>
        <v>1</v>
      </c>
      <c r="S873" s="1">
        <f t="shared" si="199"/>
        <v>0</v>
      </c>
      <c r="T873" s="1">
        <f t="shared" si="200"/>
        <v>1</v>
      </c>
      <c r="U873" s="26">
        <f t="shared" si="201"/>
        <v>1</v>
      </c>
      <c r="V873" s="26">
        <f t="shared" si="202"/>
        <v>0</v>
      </c>
      <c r="W873" s="1">
        <f t="shared" si="203"/>
        <v>1</v>
      </c>
      <c r="X873" s="26">
        <f t="shared" si="204"/>
        <v>1</v>
      </c>
      <c r="Y873" s="26">
        <f t="shared" si="205"/>
        <v>0</v>
      </c>
      <c r="Z873" s="1">
        <f t="shared" si="206"/>
        <v>1</v>
      </c>
      <c r="AA873"/>
      <c r="AB873"/>
    </row>
    <row r="874" spans="1:28" x14ac:dyDescent="0.55000000000000004">
      <c r="A874" s="1">
        <f t="shared" si="193"/>
        <v>874</v>
      </c>
      <c r="B874" t="s">
        <v>35</v>
      </c>
      <c r="C874" t="s">
        <v>111</v>
      </c>
      <c r="D874" t="s">
        <v>179</v>
      </c>
      <c r="E874" t="s">
        <v>792</v>
      </c>
      <c r="F874" t="s">
        <v>411</v>
      </c>
      <c r="G874" t="s">
        <v>307</v>
      </c>
      <c r="H874" t="s">
        <v>573</v>
      </c>
      <c r="I874" t="s">
        <v>214</v>
      </c>
      <c r="J874" t="s">
        <v>850</v>
      </c>
      <c r="K874" t="s">
        <v>379</v>
      </c>
      <c r="L874" t="s">
        <v>576</v>
      </c>
      <c r="M874" t="s">
        <v>28</v>
      </c>
      <c r="N874" s="1">
        <f t="shared" si="194"/>
        <v>2</v>
      </c>
      <c r="O874" s="1">
        <f t="shared" si="195"/>
        <v>0</v>
      </c>
      <c r="P874" s="1">
        <f t="shared" si="196"/>
        <v>2</v>
      </c>
      <c r="Q874" s="1">
        <f t="shared" si="197"/>
        <v>1</v>
      </c>
      <c r="R874" s="1">
        <f t="shared" si="198"/>
        <v>1</v>
      </c>
      <c r="S874" s="1">
        <f t="shared" si="199"/>
        <v>1</v>
      </c>
      <c r="T874" s="1">
        <f t="shared" si="200"/>
        <v>1</v>
      </c>
      <c r="U874" s="26">
        <f t="shared" si="201"/>
        <v>1</v>
      </c>
      <c r="V874" s="26">
        <f t="shared" si="202"/>
        <v>1</v>
      </c>
      <c r="W874" s="1">
        <f t="shared" si="203"/>
        <v>1</v>
      </c>
      <c r="X874" s="26">
        <f t="shared" si="204"/>
        <v>0</v>
      </c>
      <c r="Y874" s="26">
        <f t="shared" si="205"/>
        <v>0</v>
      </c>
      <c r="Z874" s="1">
        <f t="shared" si="206"/>
        <v>1</v>
      </c>
      <c r="AA874"/>
      <c r="AB874"/>
    </row>
    <row r="875" spans="1:28" x14ac:dyDescent="0.55000000000000004">
      <c r="A875" s="1">
        <f t="shared" si="193"/>
        <v>875</v>
      </c>
      <c r="B875" t="s">
        <v>35</v>
      </c>
      <c r="C875" t="s">
        <v>111</v>
      </c>
      <c r="D875" t="s">
        <v>179</v>
      </c>
      <c r="E875" t="s">
        <v>792</v>
      </c>
      <c r="F875" t="s">
        <v>357</v>
      </c>
      <c r="G875" t="s">
        <v>304</v>
      </c>
      <c r="H875" t="s">
        <v>573</v>
      </c>
      <c r="I875" t="s">
        <v>210</v>
      </c>
      <c r="J875" t="s">
        <v>851</v>
      </c>
      <c r="K875" t="s">
        <v>382</v>
      </c>
      <c r="L875" t="s">
        <v>852</v>
      </c>
      <c r="M875" t="s">
        <v>28</v>
      </c>
      <c r="N875" s="1">
        <f t="shared" si="194"/>
        <v>2</v>
      </c>
      <c r="O875" s="1">
        <f t="shared" si="195"/>
        <v>0</v>
      </c>
      <c r="P875" s="1">
        <f t="shared" si="196"/>
        <v>2</v>
      </c>
      <c r="Q875" s="1">
        <f t="shared" si="197"/>
        <v>1</v>
      </c>
      <c r="R875" s="1">
        <f t="shared" si="198"/>
        <v>1</v>
      </c>
      <c r="S875" s="1">
        <f t="shared" si="199"/>
        <v>1</v>
      </c>
      <c r="T875" s="1">
        <f t="shared" si="200"/>
        <v>1</v>
      </c>
      <c r="U875" s="26">
        <f t="shared" si="201"/>
        <v>1</v>
      </c>
      <c r="V875" s="26">
        <f t="shared" si="202"/>
        <v>1</v>
      </c>
      <c r="W875" s="1">
        <f t="shared" si="203"/>
        <v>1</v>
      </c>
      <c r="X875" s="26">
        <f t="shared" si="204"/>
        <v>0</v>
      </c>
      <c r="Y875" s="26">
        <f t="shared" si="205"/>
        <v>0</v>
      </c>
      <c r="Z875" s="1">
        <f t="shared" si="206"/>
        <v>1</v>
      </c>
      <c r="AA875"/>
      <c r="AB875"/>
    </row>
    <row r="876" spans="1:28" x14ac:dyDescent="0.55000000000000004">
      <c r="A876" s="1">
        <f t="shared" si="193"/>
        <v>876</v>
      </c>
      <c r="B876" t="s">
        <v>35</v>
      </c>
      <c r="C876" t="s">
        <v>111</v>
      </c>
      <c r="D876" t="s">
        <v>179</v>
      </c>
      <c r="E876" t="s">
        <v>792</v>
      </c>
      <c r="F876" t="s">
        <v>357</v>
      </c>
      <c r="G876" t="s">
        <v>205</v>
      </c>
      <c r="H876" t="s">
        <v>573</v>
      </c>
      <c r="I876" t="s">
        <v>207</v>
      </c>
      <c r="J876" t="s">
        <v>853</v>
      </c>
      <c r="K876" t="s">
        <v>417</v>
      </c>
      <c r="L876" t="s">
        <v>843</v>
      </c>
      <c r="M876" t="s">
        <v>28</v>
      </c>
      <c r="N876" s="1">
        <f t="shared" si="194"/>
        <v>2</v>
      </c>
      <c r="O876" s="1">
        <f t="shared" si="195"/>
        <v>0</v>
      </c>
      <c r="P876" s="1">
        <f t="shared" si="196"/>
        <v>2</v>
      </c>
      <c r="Q876" s="1">
        <f t="shared" si="197"/>
        <v>1</v>
      </c>
      <c r="R876" s="1">
        <f t="shared" si="198"/>
        <v>1</v>
      </c>
      <c r="S876" s="1">
        <f t="shared" si="199"/>
        <v>1</v>
      </c>
      <c r="T876" s="1">
        <f t="shared" si="200"/>
        <v>1</v>
      </c>
      <c r="U876" s="26">
        <f t="shared" si="201"/>
        <v>1</v>
      </c>
      <c r="V876" s="26">
        <f t="shared" si="202"/>
        <v>1</v>
      </c>
      <c r="W876" s="1">
        <f t="shared" si="203"/>
        <v>1</v>
      </c>
      <c r="X876" s="26">
        <f t="shared" si="204"/>
        <v>0</v>
      </c>
      <c r="Y876" s="26">
        <f t="shared" si="205"/>
        <v>0</v>
      </c>
      <c r="Z876" s="1">
        <f t="shared" si="206"/>
        <v>1</v>
      </c>
      <c r="AA876"/>
      <c r="AB876"/>
    </row>
    <row r="877" spans="1:28" x14ac:dyDescent="0.55000000000000004">
      <c r="A877" s="1">
        <f t="shared" si="193"/>
        <v>877</v>
      </c>
      <c r="B877" t="s">
        <v>35</v>
      </c>
      <c r="C877" t="s">
        <v>111</v>
      </c>
      <c r="D877" t="s">
        <v>179</v>
      </c>
      <c r="E877" t="s">
        <v>792</v>
      </c>
      <c r="F877" t="s">
        <v>357</v>
      </c>
      <c r="G877" t="s">
        <v>213</v>
      </c>
      <c r="H877" t="s">
        <v>579</v>
      </c>
      <c r="I877" t="s">
        <v>383</v>
      </c>
      <c r="J877" t="s">
        <v>854</v>
      </c>
      <c r="K877" t="s">
        <v>215</v>
      </c>
      <c r="L877" t="s">
        <v>580</v>
      </c>
      <c r="M877" t="s">
        <v>28</v>
      </c>
      <c r="N877" s="1">
        <f t="shared" si="194"/>
        <v>2</v>
      </c>
      <c r="O877" s="1">
        <f t="shared" si="195"/>
        <v>1</v>
      </c>
      <c r="P877" s="1">
        <f t="shared" si="196"/>
        <v>3</v>
      </c>
      <c r="Q877" s="1">
        <f t="shared" si="197"/>
        <v>1</v>
      </c>
      <c r="R877" s="1">
        <f t="shared" si="198"/>
        <v>1</v>
      </c>
      <c r="S877" s="1">
        <f t="shared" si="199"/>
        <v>1</v>
      </c>
      <c r="T877" s="1">
        <f t="shared" si="200"/>
        <v>1</v>
      </c>
      <c r="U877" s="26">
        <f t="shared" si="201"/>
        <v>1</v>
      </c>
      <c r="V877" s="26">
        <f t="shared" si="202"/>
        <v>1</v>
      </c>
      <c r="W877" s="1">
        <f t="shared" si="203"/>
        <v>1</v>
      </c>
      <c r="X877" s="26">
        <f t="shared" si="204"/>
        <v>1</v>
      </c>
      <c r="Y877" s="26">
        <f t="shared" si="205"/>
        <v>0</v>
      </c>
      <c r="Z877" s="1">
        <f t="shared" si="206"/>
        <v>1</v>
      </c>
      <c r="AA877"/>
      <c r="AB877"/>
    </row>
    <row r="878" spans="1:28" x14ac:dyDescent="0.55000000000000004">
      <c r="A878" s="1">
        <f t="shared" si="193"/>
        <v>878</v>
      </c>
      <c r="B878" t="s">
        <v>35</v>
      </c>
      <c r="C878" t="s">
        <v>111</v>
      </c>
      <c r="D878" t="s">
        <v>179</v>
      </c>
      <c r="E878" t="s">
        <v>792</v>
      </c>
      <c r="F878" t="s">
        <v>357</v>
      </c>
      <c r="G878" t="s">
        <v>386</v>
      </c>
      <c r="H878" t="s">
        <v>608</v>
      </c>
      <c r="I878" t="s">
        <v>306</v>
      </c>
      <c r="J878" t="s">
        <v>855</v>
      </c>
      <c r="K878" t="s">
        <v>418</v>
      </c>
      <c r="L878" t="s">
        <v>578</v>
      </c>
      <c r="M878" t="s">
        <v>28</v>
      </c>
      <c r="N878" s="1">
        <f t="shared" si="194"/>
        <v>1</v>
      </c>
      <c r="O878" s="1">
        <f t="shared" si="195"/>
        <v>1</v>
      </c>
      <c r="P878" s="1">
        <f t="shared" si="196"/>
        <v>2</v>
      </c>
      <c r="Q878" s="1">
        <f t="shared" si="197"/>
        <v>0</v>
      </c>
      <c r="R878" s="1">
        <f t="shared" si="198"/>
        <v>1</v>
      </c>
      <c r="S878" s="1">
        <f t="shared" si="199"/>
        <v>0</v>
      </c>
      <c r="T878" s="1">
        <f t="shared" si="200"/>
        <v>1</v>
      </c>
      <c r="U878" s="26">
        <f t="shared" si="201"/>
        <v>1</v>
      </c>
      <c r="V878" s="26">
        <f t="shared" si="202"/>
        <v>0</v>
      </c>
      <c r="W878" s="1">
        <f t="shared" si="203"/>
        <v>1</v>
      </c>
      <c r="X878" s="26">
        <f t="shared" si="204"/>
        <v>1</v>
      </c>
      <c r="Y878" s="26">
        <f t="shared" si="205"/>
        <v>0</v>
      </c>
      <c r="Z878" s="1">
        <f t="shared" si="206"/>
        <v>1</v>
      </c>
      <c r="AA878"/>
      <c r="AB878"/>
    </row>
    <row r="879" spans="1:28" x14ac:dyDescent="0.55000000000000004">
      <c r="A879" s="1">
        <f t="shared" si="193"/>
        <v>879</v>
      </c>
      <c r="B879" t="s">
        <v>35</v>
      </c>
      <c r="C879" t="s">
        <v>111</v>
      </c>
      <c r="D879" t="s">
        <v>179</v>
      </c>
      <c r="E879" t="s">
        <v>792</v>
      </c>
      <c r="F879" t="s">
        <v>412</v>
      </c>
      <c r="G879" t="s">
        <v>303</v>
      </c>
      <c r="H879" t="s">
        <v>608</v>
      </c>
      <c r="I879" t="s">
        <v>211</v>
      </c>
      <c r="J879" t="s">
        <v>856</v>
      </c>
      <c r="K879" t="s">
        <v>305</v>
      </c>
      <c r="L879" t="s">
        <v>833</v>
      </c>
      <c r="M879" t="s">
        <v>28</v>
      </c>
      <c r="N879" s="1">
        <f t="shared" si="194"/>
        <v>1</v>
      </c>
      <c r="O879" s="1">
        <f t="shared" si="195"/>
        <v>1</v>
      </c>
      <c r="P879" s="1">
        <f t="shared" si="196"/>
        <v>2</v>
      </c>
      <c r="Q879" s="1">
        <f t="shared" si="197"/>
        <v>0</v>
      </c>
      <c r="R879" s="1">
        <f t="shared" si="198"/>
        <v>1</v>
      </c>
      <c r="S879" s="1">
        <f t="shared" si="199"/>
        <v>0</v>
      </c>
      <c r="T879" s="1">
        <f t="shared" si="200"/>
        <v>1</v>
      </c>
      <c r="U879" s="26">
        <f t="shared" si="201"/>
        <v>1</v>
      </c>
      <c r="V879" s="26">
        <f t="shared" si="202"/>
        <v>0</v>
      </c>
      <c r="W879" s="1">
        <f t="shared" si="203"/>
        <v>1</v>
      </c>
      <c r="X879" s="26">
        <f t="shared" si="204"/>
        <v>1</v>
      </c>
      <c r="Y879" s="26">
        <f t="shared" si="205"/>
        <v>0</v>
      </c>
      <c r="Z879" s="1">
        <f t="shared" si="206"/>
        <v>1</v>
      </c>
      <c r="AA879"/>
      <c r="AB879"/>
    </row>
    <row r="880" spans="1:28" x14ac:dyDescent="0.55000000000000004">
      <c r="A880" s="1">
        <f t="shared" si="193"/>
        <v>880</v>
      </c>
      <c r="B880" t="s">
        <v>37</v>
      </c>
      <c r="C880" t="s">
        <v>41</v>
      </c>
      <c r="D880" t="s">
        <v>179</v>
      </c>
      <c r="E880" t="s">
        <v>792</v>
      </c>
      <c r="F880" t="s">
        <v>315</v>
      </c>
      <c r="G880" t="s">
        <v>324</v>
      </c>
      <c r="H880" t="s">
        <v>708</v>
      </c>
      <c r="I880" t="s">
        <v>328</v>
      </c>
      <c r="J880" t="s">
        <v>891</v>
      </c>
      <c r="K880" t="s">
        <v>885</v>
      </c>
      <c r="L880" t="s">
        <v>888</v>
      </c>
      <c r="M880" t="s">
        <v>28</v>
      </c>
      <c r="N880" s="1">
        <f t="shared" si="194"/>
        <v>0</v>
      </c>
      <c r="O880" s="1">
        <f t="shared" si="195"/>
        <v>0</v>
      </c>
      <c r="P880" s="1">
        <f t="shared" si="196"/>
        <v>0</v>
      </c>
      <c r="Q880" s="1">
        <f t="shared" si="197"/>
        <v>0</v>
      </c>
      <c r="R880" s="1">
        <f t="shared" si="198"/>
        <v>1</v>
      </c>
      <c r="S880" s="1">
        <f t="shared" si="199"/>
        <v>0</v>
      </c>
      <c r="T880" s="1">
        <f t="shared" si="200"/>
        <v>1</v>
      </c>
      <c r="U880" s="26">
        <f t="shared" si="201"/>
        <v>0</v>
      </c>
      <c r="V880" s="26">
        <f t="shared" si="202"/>
        <v>0</v>
      </c>
      <c r="W880" s="1">
        <f t="shared" si="203"/>
        <v>1</v>
      </c>
      <c r="X880" s="26">
        <f t="shared" si="204"/>
        <v>0</v>
      </c>
      <c r="Y880" s="26">
        <f t="shared" si="205"/>
        <v>0</v>
      </c>
      <c r="Z880" s="1">
        <f t="shared" si="206"/>
        <v>0</v>
      </c>
      <c r="AA880"/>
      <c r="AB880"/>
    </row>
    <row r="881" spans="1:28" x14ac:dyDescent="0.55000000000000004">
      <c r="A881" s="1">
        <f t="shared" si="193"/>
        <v>881</v>
      </c>
      <c r="B881" t="s">
        <v>37</v>
      </c>
      <c r="C881" t="s">
        <v>41</v>
      </c>
      <c r="D881" t="s">
        <v>179</v>
      </c>
      <c r="E881" t="s">
        <v>792</v>
      </c>
      <c r="F881" t="s">
        <v>311</v>
      </c>
      <c r="G881" t="s">
        <v>322</v>
      </c>
      <c r="H881" t="s">
        <v>581</v>
      </c>
      <c r="I881" t="s">
        <v>319</v>
      </c>
      <c r="J881" t="s">
        <v>892</v>
      </c>
      <c r="K881" t="s">
        <v>331</v>
      </c>
      <c r="L881" t="s">
        <v>875</v>
      </c>
      <c r="M881" t="s">
        <v>28</v>
      </c>
      <c r="N881" s="1">
        <f t="shared" si="194"/>
        <v>1</v>
      </c>
      <c r="O881" s="1">
        <f t="shared" si="195"/>
        <v>2</v>
      </c>
      <c r="P881" s="1">
        <f t="shared" si="196"/>
        <v>3</v>
      </c>
      <c r="Q881" s="1">
        <f t="shared" si="197"/>
        <v>1</v>
      </c>
      <c r="R881" s="1">
        <f t="shared" si="198"/>
        <v>1</v>
      </c>
      <c r="S881" s="1">
        <f t="shared" si="199"/>
        <v>1</v>
      </c>
      <c r="T881" s="1">
        <f t="shared" si="200"/>
        <v>1</v>
      </c>
      <c r="U881" s="26">
        <f t="shared" si="201"/>
        <v>1</v>
      </c>
      <c r="V881" s="26">
        <f t="shared" si="202"/>
        <v>0</v>
      </c>
      <c r="W881" s="1">
        <f t="shared" si="203"/>
        <v>1</v>
      </c>
      <c r="X881" s="26">
        <f t="shared" si="204"/>
        <v>1</v>
      </c>
      <c r="Y881" s="26">
        <f t="shared" si="205"/>
        <v>1</v>
      </c>
      <c r="Z881" s="1">
        <f t="shared" si="206"/>
        <v>1</v>
      </c>
      <c r="AA881"/>
      <c r="AB881"/>
    </row>
    <row r="882" spans="1:28" x14ac:dyDescent="0.55000000000000004">
      <c r="A882" s="1">
        <f t="shared" si="193"/>
        <v>882</v>
      </c>
      <c r="B882" t="s">
        <v>30</v>
      </c>
      <c r="C882" t="s">
        <v>111</v>
      </c>
      <c r="D882" t="s">
        <v>174</v>
      </c>
      <c r="E882" t="s">
        <v>1172</v>
      </c>
      <c r="F882" t="s">
        <v>182</v>
      </c>
      <c r="G882" t="s">
        <v>60</v>
      </c>
      <c r="H882" t="s">
        <v>664</v>
      </c>
      <c r="I882" t="s">
        <v>49</v>
      </c>
      <c r="J882" t="s">
        <v>1173</v>
      </c>
      <c r="K882" t="s">
        <v>62</v>
      </c>
      <c r="L882" t="s">
        <v>774</v>
      </c>
      <c r="M882" t="s">
        <v>28</v>
      </c>
      <c r="N882" s="1">
        <f t="shared" si="194"/>
        <v>2</v>
      </c>
      <c r="O882" s="1">
        <f t="shared" si="195"/>
        <v>2</v>
      </c>
      <c r="P882" s="1">
        <f t="shared" si="196"/>
        <v>4</v>
      </c>
      <c r="Q882" s="1">
        <f t="shared" si="197"/>
        <v>0</v>
      </c>
      <c r="R882" s="1">
        <f t="shared" si="198"/>
        <v>1</v>
      </c>
      <c r="S882" s="1">
        <f t="shared" si="199"/>
        <v>0</v>
      </c>
      <c r="T882" s="1">
        <f t="shared" si="200"/>
        <v>1</v>
      </c>
      <c r="U882" s="26">
        <f t="shared" si="201"/>
        <v>1</v>
      </c>
      <c r="V882" s="26">
        <f t="shared" si="202"/>
        <v>1</v>
      </c>
      <c r="W882" s="1">
        <f t="shared" si="203"/>
        <v>1</v>
      </c>
      <c r="X882" s="26">
        <f t="shared" si="204"/>
        <v>1</v>
      </c>
      <c r="Y882" s="26">
        <f t="shared" si="205"/>
        <v>1</v>
      </c>
      <c r="Z882" s="1">
        <f t="shared" si="206"/>
        <v>1</v>
      </c>
      <c r="AA882"/>
      <c r="AB882"/>
    </row>
    <row r="883" spans="1:28" x14ac:dyDescent="0.55000000000000004">
      <c r="A883" s="1">
        <f t="shared" si="193"/>
        <v>883</v>
      </c>
      <c r="B883" t="s">
        <v>33</v>
      </c>
      <c r="C883" t="s">
        <v>118</v>
      </c>
      <c r="D883" t="s">
        <v>174</v>
      </c>
      <c r="E883" t="s">
        <v>1172</v>
      </c>
      <c r="F883" t="s">
        <v>277</v>
      </c>
      <c r="G883" t="s">
        <v>362</v>
      </c>
      <c r="H883" t="s">
        <v>683</v>
      </c>
      <c r="I883" t="s">
        <v>288</v>
      </c>
      <c r="J883" t="s">
        <v>1217</v>
      </c>
      <c r="K883" t="s">
        <v>363</v>
      </c>
      <c r="L883" t="s">
        <v>1203</v>
      </c>
      <c r="M883" t="s">
        <v>28</v>
      </c>
      <c r="N883" s="1">
        <f t="shared" si="194"/>
        <v>3</v>
      </c>
      <c r="O883" s="1">
        <f t="shared" si="195"/>
        <v>2</v>
      </c>
      <c r="P883" s="1">
        <f t="shared" si="196"/>
        <v>5</v>
      </c>
      <c r="Q883" s="1">
        <f t="shared" si="197"/>
        <v>1</v>
      </c>
      <c r="R883" s="1">
        <f t="shared" si="198"/>
        <v>0</v>
      </c>
      <c r="S883" s="1">
        <f t="shared" si="199"/>
        <v>0</v>
      </c>
      <c r="T883" s="1">
        <f t="shared" si="200"/>
        <v>0</v>
      </c>
      <c r="U883" s="26">
        <f t="shared" si="201"/>
        <v>1</v>
      </c>
      <c r="V883" s="26">
        <f t="shared" si="202"/>
        <v>1</v>
      </c>
      <c r="W883" s="1">
        <f t="shared" si="203"/>
        <v>1</v>
      </c>
      <c r="X883" s="26">
        <f t="shared" si="204"/>
        <v>1</v>
      </c>
      <c r="Y883" s="26">
        <f t="shared" si="205"/>
        <v>1</v>
      </c>
      <c r="Z883" s="1">
        <f t="shared" si="206"/>
        <v>1</v>
      </c>
      <c r="AA883"/>
      <c r="AB883"/>
    </row>
    <row r="884" spans="1:28" x14ac:dyDescent="0.55000000000000004">
      <c r="A884" s="1">
        <f t="shared" si="193"/>
        <v>884</v>
      </c>
      <c r="B884" t="s">
        <v>35</v>
      </c>
      <c r="C884" t="s">
        <v>114</v>
      </c>
      <c r="D884" t="s">
        <v>174</v>
      </c>
      <c r="E884" t="s">
        <v>1172</v>
      </c>
      <c r="F884" t="s">
        <v>181</v>
      </c>
      <c r="G884" t="s">
        <v>306</v>
      </c>
      <c r="H884" t="s">
        <v>664</v>
      </c>
      <c r="I884" t="s">
        <v>205</v>
      </c>
      <c r="J884" t="s">
        <v>1231</v>
      </c>
      <c r="K884" t="s">
        <v>308</v>
      </c>
      <c r="L884" t="s">
        <v>1232</v>
      </c>
      <c r="M884" t="s">
        <v>28</v>
      </c>
      <c r="N884" s="1">
        <f t="shared" si="194"/>
        <v>2</v>
      </c>
      <c r="O884" s="1">
        <f t="shared" si="195"/>
        <v>2</v>
      </c>
      <c r="P884" s="1">
        <f t="shared" si="196"/>
        <v>4</v>
      </c>
      <c r="Q884" s="1">
        <f t="shared" si="197"/>
        <v>0</v>
      </c>
      <c r="R884" s="1">
        <f t="shared" si="198"/>
        <v>1</v>
      </c>
      <c r="S884" s="1">
        <f t="shared" si="199"/>
        <v>0</v>
      </c>
      <c r="T884" s="1">
        <f t="shared" si="200"/>
        <v>1</v>
      </c>
      <c r="U884" s="26">
        <f t="shared" si="201"/>
        <v>1</v>
      </c>
      <c r="V884" s="26">
        <f t="shared" si="202"/>
        <v>1</v>
      </c>
      <c r="W884" s="1">
        <f t="shared" si="203"/>
        <v>1</v>
      </c>
      <c r="X884" s="26">
        <f t="shared" si="204"/>
        <v>1</v>
      </c>
      <c r="Y884" s="26">
        <f t="shared" si="205"/>
        <v>1</v>
      </c>
      <c r="Z884" s="1">
        <f t="shared" si="206"/>
        <v>1</v>
      </c>
      <c r="AA884"/>
      <c r="AB884"/>
    </row>
    <row r="885" spans="1:28" x14ac:dyDescent="0.55000000000000004">
      <c r="A885" s="1">
        <f t="shared" si="193"/>
        <v>885</v>
      </c>
      <c r="B885" t="s">
        <v>35</v>
      </c>
      <c r="C885" t="s">
        <v>114</v>
      </c>
      <c r="D885" t="s">
        <v>174</v>
      </c>
      <c r="E885" t="s">
        <v>1172</v>
      </c>
      <c r="F885" t="s">
        <v>181</v>
      </c>
      <c r="G885" t="s">
        <v>304</v>
      </c>
      <c r="H885" t="s">
        <v>708</v>
      </c>
      <c r="I885" t="s">
        <v>386</v>
      </c>
      <c r="J885" t="s">
        <v>1233</v>
      </c>
      <c r="K885" t="s">
        <v>382</v>
      </c>
      <c r="L885" t="s">
        <v>677</v>
      </c>
      <c r="M885" t="s">
        <v>28</v>
      </c>
      <c r="N885" s="1">
        <f t="shared" si="194"/>
        <v>0</v>
      </c>
      <c r="O885" s="1">
        <f t="shared" si="195"/>
        <v>0</v>
      </c>
      <c r="P885" s="1">
        <f t="shared" si="196"/>
        <v>0</v>
      </c>
      <c r="Q885" s="1">
        <f t="shared" si="197"/>
        <v>0</v>
      </c>
      <c r="R885" s="1">
        <f t="shared" si="198"/>
        <v>1</v>
      </c>
      <c r="S885" s="1">
        <f t="shared" si="199"/>
        <v>0</v>
      </c>
      <c r="T885" s="1">
        <f t="shared" si="200"/>
        <v>1</v>
      </c>
      <c r="U885" s="26">
        <f t="shared" si="201"/>
        <v>0</v>
      </c>
      <c r="V885" s="26">
        <f t="shared" si="202"/>
        <v>0</v>
      </c>
      <c r="W885" s="1">
        <f t="shared" si="203"/>
        <v>1</v>
      </c>
      <c r="X885" s="26">
        <f t="shared" si="204"/>
        <v>0</v>
      </c>
      <c r="Y885" s="26">
        <f t="shared" si="205"/>
        <v>0</v>
      </c>
      <c r="Z885" s="1">
        <f t="shared" si="206"/>
        <v>0</v>
      </c>
      <c r="AA885"/>
      <c r="AB885"/>
    </row>
    <row r="886" spans="1:28" x14ac:dyDescent="0.55000000000000004">
      <c r="A886" s="1">
        <f t="shared" si="193"/>
        <v>886</v>
      </c>
      <c r="B886" t="s">
        <v>35</v>
      </c>
      <c r="C886" t="s">
        <v>114</v>
      </c>
      <c r="D886" t="s">
        <v>174</v>
      </c>
      <c r="E886" t="s">
        <v>1172</v>
      </c>
      <c r="F886" t="s">
        <v>181</v>
      </c>
      <c r="G886" t="s">
        <v>214</v>
      </c>
      <c r="H886" t="s">
        <v>570</v>
      </c>
      <c r="I886" t="s">
        <v>377</v>
      </c>
      <c r="J886" t="s">
        <v>1234</v>
      </c>
      <c r="K886" t="s">
        <v>301</v>
      </c>
      <c r="L886" t="s">
        <v>831</v>
      </c>
      <c r="M886" t="s">
        <v>28</v>
      </c>
      <c r="N886" s="1">
        <f t="shared" si="194"/>
        <v>3</v>
      </c>
      <c r="O886" s="1">
        <f t="shared" si="195"/>
        <v>1</v>
      </c>
      <c r="P886" s="1">
        <f t="shared" si="196"/>
        <v>4</v>
      </c>
      <c r="Q886" s="1">
        <f t="shared" si="197"/>
        <v>1</v>
      </c>
      <c r="R886" s="1">
        <f t="shared" si="198"/>
        <v>1</v>
      </c>
      <c r="S886" s="1">
        <f t="shared" si="199"/>
        <v>1</v>
      </c>
      <c r="T886" s="1">
        <f t="shared" si="200"/>
        <v>0</v>
      </c>
      <c r="U886" s="26">
        <f t="shared" si="201"/>
        <v>1</v>
      </c>
      <c r="V886" s="26">
        <f t="shared" si="202"/>
        <v>1</v>
      </c>
      <c r="W886" s="1">
        <f t="shared" si="203"/>
        <v>1</v>
      </c>
      <c r="X886" s="26">
        <f t="shared" si="204"/>
        <v>1</v>
      </c>
      <c r="Y886" s="26">
        <f t="shared" si="205"/>
        <v>0</v>
      </c>
      <c r="Z886" s="1">
        <f t="shared" si="206"/>
        <v>1</v>
      </c>
      <c r="AA886"/>
      <c r="AB886"/>
    </row>
    <row r="887" spans="1:28" x14ac:dyDescent="0.55000000000000004">
      <c r="A887" s="1">
        <f t="shared" si="193"/>
        <v>887</v>
      </c>
      <c r="B887" t="s">
        <v>35</v>
      </c>
      <c r="C887" t="s">
        <v>114</v>
      </c>
      <c r="D887" t="s">
        <v>174</v>
      </c>
      <c r="E887" t="s">
        <v>1172</v>
      </c>
      <c r="F887" t="s">
        <v>181</v>
      </c>
      <c r="G887" t="s">
        <v>384</v>
      </c>
      <c r="H887" t="s">
        <v>581</v>
      </c>
      <c r="I887" t="s">
        <v>213</v>
      </c>
      <c r="J887" t="s">
        <v>1235</v>
      </c>
      <c r="K887" t="s">
        <v>385</v>
      </c>
      <c r="L887" t="s">
        <v>839</v>
      </c>
      <c r="M887" t="s">
        <v>28</v>
      </c>
      <c r="N887" s="1">
        <f t="shared" si="194"/>
        <v>1</v>
      </c>
      <c r="O887" s="1">
        <f t="shared" si="195"/>
        <v>2</v>
      </c>
      <c r="P887" s="1">
        <f t="shared" si="196"/>
        <v>3</v>
      </c>
      <c r="Q887" s="1">
        <f t="shared" si="197"/>
        <v>1</v>
      </c>
      <c r="R887" s="1">
        <f t="shared" si="198"/>
        <v>1</v>
      </c>
      <c r="S887" s="1">
        <f t="shared" si="199"/>
        <v>1</v>
      </c>
      <c r="T887" s="1">
        <f t="shared" si="200"/>
        <v>1</v>
      </c>
      <c r="U887" s="26">
        <f t="shared" si="201"/>
        <v>1</v>
      </c>
      <c r="V887" s="26">
        <f t="shared" si="202"/>
        <v>0</v>
      </c>
      <c r="W887" s="1">
        <f t="shared" si="203"/>
        <v>1</v>
      </c>
      <c r="X887" s="26">
        <f t="shared" si="204"/>
        <v>1</v>
      </c>
      <c r="Y887" s="26">
        <f t="shared" si="205"/>
        <v>1</v>
      </c>
      <c r="Z887" s="1">
        <f t="shared" si="206"/>
        <v>1</v>
      </c>
      <c r="AA887"/>
      <c r="AB887"/>
    </row>
    <row r="888" spans="1:28" x14ac:dyDescent="0.55000000000000004">
      <c r="A888" s="1">
        <f t="shared" si="193"/>
        <v>888</v>
      </c>
      <c r="B888" t="s">
        <v>35</v>
      </c>
      <c r="C888" t="s">
        <v>114</v>
      </c>
      <c r="D888" t="s">
        <v>174</v>
      </c>
      <c r="E888" t="s">
        <v>1172</v>
      </c>
      <c r="F888" t="s">
        <v>181</v>
      </c>
      <c r="G888" t="s">
        <v>211</v>
      </c>
      <c r="H888" t="s">
        <v>579</v>
      </c>
      <c r="I888" t="s">
        <v>307</v>
      </c>
      <c r="J888" t="s">
        <v>1236</v>
      </c>
      <c r="K888" t="s">
        <v>309</v>
      </c>
      <c r="L888" t="s">
        <v>843</v>
      </c>
      <c r="M888" t="s">
        <v>28</v>
      </c>
      <c r="N888" s="1">
        <f t="shared" si="194"/>
        <v>2</v>
      </c>
      <c r="O888" s="1">
        <f t="shared" si="195"/>
        <v>1</v>
      </c>
      <c r="P888" s="1">
        <f t="shared" si="196"/>
        <v>3</v>
      </c>
      <c r="Q888" s="1">
        <f t="shared" si="197"/>
        <v>1</v>
      </c>
      <c r="R888" s="1">
        <f t="shared" si="198"/>
        <v>1</v>
      </c>
      <c r="S888" s="1">
        <f t="shared" si="199"/>
        <v>1</v>
      </c>
      <c r="T888" s="1">
        <f t="shared" si="200"/>
        <v>1</v>
      </c>
      <c r="U888" s="26">
        <f t="shared" si="201"/>
        <v>1</v>
      </c>
      <c r="V888" s="26">
        <f t="shared" si="202"/>
        <v>1</v>
      </c>
      <c r="W888" s="1">
        <f t="shared" si="203"/>
        <v>1</v>
      </c>
      <c r="X888" s="26">
        <f t="shared" si="204"/>
        <v>1</v>
      </c>
      <c r="Y888" s="26">
        <f t="shared" si="205"/>
        <v>0</v>
      </c>
      <c r="Z888" s="1">
        <f t="shared" si="206"/>
        <v>1</v>
      </c>
      <c r="AA888"/>
      <c r="AB888"/>
    </row>
    <row r="889" spans="1:28" x14ac:dyDescent="0.55000000000000004">
      <c r="A889" s="1">
        <f t="shared" si="193"/>
        <v>889</v>
      </c>
      <c r="B889" t="s">
        <v>35</v>
      </c>
      <c r="C889" t="s">
        <v>114</v>
      </c>
      <c r="D889" t="s">
        <v>174</v>
      </c>
      <c r="E889" t="s">
        <v>1172</v>
      </c>
      <c r="F889" t="s">
        <v>181</v>
      </c>
      <c r="G889" t="s">
        <v>210</v>
      </c>
      <c r="H889" t="s">
        <v>664</v>
      </c>
      <c r="I889" t="s">
        <v>204</v>
      </c>
      <c r="J889" t="s">
        <v>1237</v>
      </c>
      <c r="K889" t="s">
        <v>212</v>
      </c>
      <c r="L889" t="s">
        <v>1069</v>
      </c>
      <c r="M889" t="s">
        <v>28</v>
      </c>
      <c r="N889" s="1">
        <f t="shared" si="194"/>
        <v>2</v>
      </c>
      <c r="O889" s="1">
        <f t="shared" si="195"/>
        <v>2</v>
      </c>
      <c r="P889" s="1">
        <f t="shared" si="196"/>
        <v>4</v>
      </c>
      <c r="Q889" s="1">
        <f t="shared" si="197"/>
        <v>0</v>
      </c>
      <c r="R889" s="1">
        <f t="shared" si="198"/>
        <v>1</v>
      </c>
      <c r="S889" s="1">
        <f t="shared" si="199"/>
        <v>0</v>
      </c>
      <c r="T889" s="1">
        <f t="shared" si="200"/>
        <v>1</v>
      </c>
      <c r="U889" s="26">
        <f t="shared" si="201"/>
        <v>1</v>
      </c>
      <c r="V889" s="26">
        <f t="shared" si="202"/>
        <v>1</v>
      </c>
      <c r="W889" s="1">
        <f t="shared" si="203"/>
        <v>1</v>
      </c>
      <c r="X889" s="26">
        <f t="shared" si="204"/>
        <v>1</v>
      </c>
      <c r="Y889" s="26">
        <f t="shared" si="205"/>
        <v>1</v>
      </c>
      <c r="Z889" s="1">
        <f t="shared" si="206"/>
        <v>1</v>
      </c>
      <c r="AA889"/>
      <c r="AB889"/>
    </row>
    <row r="890" spans="1:28" x14ac:dyDescent="0.55000000000000004">
      <c r="A890" s="1">
        <f t="shared" si="193"/>
        <v>890</v>
      </c>
      <c r="B890" t="s">
        <v>37</v>
      </c>
      <c r="C890" t="s">
        <v>124</v>
      </c>
      <c r="D890" t="s">
        <v>174</v>
      </c>
      <c r="E890" t="s">
        <v>1172</v>
      </c>
      <c r="F890" t="s">
        <v>315</v>
      </c>
      <c r="G890" t="s">
        <v>313</v>
      </c>
      <c r="H890" t="s">
        <v>579</v>
      </c>
      <c r="I890" t="s">
        <v>324</v>
      </c>
      <c r="J890" t="s">
        <v>1308</v>
      </c>
      <c r="K890" t="s">
        <v>317</v>
      </c>
      <c r="L890" t="s">
        <v>587</v>
      </c>
      <c r="M890" t="s">
        <v>28</v>
      </c>
      <c r="N890" s="1">
        <f t="shared" si="194"/>
        <v>2</v>
      </c>
      <c r="O890" s="1">
        <f t="shared" si="195"/>
        <v>1</v>
      </c>
      <c r="P890" s="1">
        <f t="shared" si="196"/>
        <v>3</v>
      </c>
      <c r="Q890" s="1">
        <f t="shared" si="197"/>
        <v>1</v>
      </c>
      <c r="R890" s="1">
        <f t="shared" si="198"/>
        <v>1</v>
      </c>
      <c r="S890" s="1">
        <f t="shared" si="199"/>
        <v>1</v>
      </c>
      <c r="T890" s="1">
        <f t="shared" si="200"/>
        <v>1</v>
      </c>
      <c r="U890" s="26">
        <f t="shared" si="201"/>
        <v>1</v>
      </c>
      <c r="V890" s="26">
        <f t="shared" si="202"/>
        <v>1</v>
      </c>
      <c r="W890" s="1">
        <f t="shared" si="203"/>
        <v>1</v>
      </c>
      <c r="X890" s="26">
        <f t="shared" si="204"/>
        <v>1</v>
      </c>
      <c r="Y890" s="26">
        <f t="shared" si="205"/>
        <v>0</v>
      </c>
      <c r="Z890" s="1">
        <f t="shared" si="206"/>
        <v>1</v>
      </c>
      <c r="AA890"/>
      <c r="AB890"/>
    </row>
    <row r="891" spans="1:28" x14ac:dyDescent="0.55000000000000004">
      <c r="A891" s="1">
        <f t="shared" si="193"/>
        <v>891</v>
      </c>
      <c r="B891" t="s">
        <v>37</v>
      </c>
      <c r="C891" t="s">
        <v>124</v>
      </c>
      <c r="D891" t="s">
        <v>174</v>
      </c>
      <c r="E891" t="s">
        <v>1172</v>
      </c>
      <c r="F891" t="s">
        <v>315</v>
      </c>
      <c r="G891" t="s">
        <v>318</v>
      </c>
      <c r="H891" t="s">
        <v>881</v>
      </c>
      <c r="I891" t="s">
        <v>321</v>
      </c>
      <c r="J891" t="s">
        <v>1309</v>
      </c>
      <c r="K891" t="s">
        <v>320</v>
      </c>
      <c r="L891" t="s">
        <v>593</v>
      </c>
      <c r="M891" t="s">
        <v>28</v>
      </c>
      <c r="N891" s="1">
        <f t="shared" si="194"/>
        <v>3</v>
      </c>
      <c r="O891" s="1">
        <f t="shared" si="195"/>
        <v>3</v>
      </c>
      <c r="P891" s="1">
        <f t="shared" si="196"/>
        <v>6</v>
      </c>
      <c r="Q891" s="1">
        <f t="shared" si="197"/>
        <v>0</v>
      </c>
      <c r="R891" s="1">
        <f t="shared" si="198"/>
        <v>0</v>
      </c>
      <c r="S891" s="1">
        <f t="shared" si="199"/>
        <v>0</v>
      </c>
      <c r="T891" s="1">
        <f t="shared" si="200"/>
        <v>0</v>
      </c>
      <c r="U891" s="26">
        <f t="shared" si="201"/>
        <v>1</v>
      </c>
      <c r="V891" s="26">
        <f t="shared" si="202"/>
        <v>1</v>
      </c>
      <c r="W891" s="1">
        <f t="shared" si="203"/>
        <v>0</v>
      </c>
      <c r="X891" s="26">
        <f t="shared" si="204"/>
        <v>1</v>
      </c>
      <c r="Y891" s="26">
        <f t="shared" si="205"/>
        <v>1</v>
      </c>
      <c r="Z891" s="1">
        <f t="shared" si="206"/>
        <v>1</v>
      </c>
      <c r="AA891"/>
      <c r="AB891"/>
    </row>
    <row r="892" spans="1:28" x14ac:dyDescent="0.55000000000000004">
      <c r="A892" s="1">
        <f t="shared" si="193"/>
        <v>892</v>
      </c>
      <c r="B892" t="s">
        <v>37</v>
      </c>
      <c r="C892" t="s">
        <v>124</v>
      </c>
      <c r="D892" t="s">
        <v>174</v>
      </c>
      <c r="E892" t="s">
        <v>1172</v>
      </c>
      <c r="F892" t="s">
        <v>315</v>
      </c>
      <c r="G892" t="s">
        <v>328</v>
      </c>
      <c r="H892" t="s">
        <v>608</v>
      </c>
      <c r="I892" t="s">
        <v>326</v>
      </c>
      <c r="J892" t="s">
        <v>1310</v>
      </c>
      <c r="K892" t="s">
        <v>329</v>
      </c>
      <c r="L892" t="s">
        <v>1311</v>
      </c>
      <c r="M892" t="s">
        <v>28</v>
      </c>
      <c r="N892" s="1">
        <f t="shared" si="194"/>
        <v>1</v>
      </c>
      <c r="O892" s="1">
        <f t="shared" si="195"/>
        <v>1</v>
      </c>
      <c r="P892" s="1">
        <f t="shared" si="196"/>
        <v>2</v>
      </c>
      <c r="Q892" s="1">
        <f t="shared" si="197"/>
        <v>0</v>
      </c>
      <c r="R892" s="1">
        <f t="shared" si="198"/>
        <v>1</v>
      </c>
      <c r="S892" s="1">
        <f t="shared" si="199"/>
        <v>0</v>
      </c>
      <c r="T892" s="1">
        <f t="shared" si="200"/>
        <v>1</v>
      </c>
      <c r="U892" s="26">
        <f t="shared" si="201"/>
        <v>1</v>
      </c>
      <c r="V892" s="26">
        <f t="shared" si="202"/>
        <v>0</v>
      </c>
      <c r="W892" s="1">
        <f t="shared" si="203"/>
        <v>1</v>
      </c>
      <c r="X892" s="26">
        <f t="shared" si="204"/>
        <v>1</v>
      </c>
      <c r="Y892" s="26">
        <f t="shared" si="205"/>
        <v>0</v>
      </c>
      <c r="Z892" s="1">
        <f t="shared" si="206"/>
        <v>1</v>
      </c>
      <c r="AA892"/>
      <c r="AB892"/>
    </row>
    <row r="893" spans="1:28" x14ac:dyDescent="0.55000000000000004">
      <c r="A893" s="1">
        <f t="shared" si="193"/>
        <v>893</v>
      </c>
      <c r="B893" t="s">
        <v>37</v>
      </c>
      <c r="C893" t="s">
        <v>124</v>
      </c>
      <c r="D893" t="s">
        <v>174</v>
      </c>
      <c r="E893" t="s">
        <v>1172</v>
      </c>
      <c r="F893" t="s">
        <v>315</v>
      </c>
      <c r="G893" t="s">
        <v>316</v>
      </c>
      <c r="H893" t="s">
        <v>577</v>
      </c>
      <c r="I893" t="s">
        <v>322</v>
      </c>
      <c r="J893" t="s">
        <v>1312</v>
      </c>
      <c r="K893" t="s">
        <v>341</v>
      </c>
      <c r="L893" t="s">
        <v>585</v>
      </c>
      <c r="M893" t="s">
        <v>28</v>
      </c>
      <c r="N893" s="1">
        <f t="shared" si="194"/>
        <v>1</v>
      </c>
      <c r="O893" s="1">
        <f t="shared" si="195"/>
        <v>3</v>
      </c>
      <c r="P893" s="1">
        <f t="shared" si="196"/>
        <v>4</v>
      </c>
      <c r="Q893" s="1">
        <f t="shared" si="197"/>
        <v>1</v>
      </c>
      <c r="R893" s="1">
        <f t="shared" si="198"/>
        <v>1</v>
      </c>
      <c r="S893" s="1">
        <f t="shared" si="199"/>
        <v>1</v>
      </c>
      <c r="T893" s="1">
        <f t="shared" si="200"/>
        <v>1</v>
      </c>
      <c r="U893" s="26">
        <f t="shared" si="201"/>
        <v>1</v>
      </c>
      <c r="V893" s="26">
        <f t="shared" si="202"/>
        <v>0</v>
      </c>
      <c r="W893" s="1">
        <f t="shared" si="203"/>
        <v>0</v>
      </c>
      <c r="X893" s="26">
        <f t="shared" si="204"/>
        <v>1</v>
      </c>
      <c r="Y893" s="26">
        <f t="shared" si="205"/>
        <v>1</v>
      </c>
      <c r="Z893" s="1">
        <f t="shared" si="206"/>
        <v>1</v>
      </c>
      <c r="AA893"/>
      <c r="AB893"/>
    </row>
    <row r="894" spans="1:28" x14ac:dyDescent="0.55000000000000004">
      <c r="A894" s="1">
        <f t="shared" si="193"/>
        <v>894</v>
      </c>
      <c r="B894" t="s">
        <v>37</v>
      </c>
      <c r="C894" t="s">
        <v>124</v>
      </c>
      <c r="D894" t="s">
        <v>174</v>
      </c>
      <c r="E894" t="s">
        <v>1172</v>
      </c>
      <c r="F894" t="s">
        <v>311</v>
      </c>
      <c r="G894" t="s">
        <v>319</v>
      </c>
      <c r="H894" t="s">
        <v>575</v>
      </c>
      <c r="I894" t="s">
        <v>312</v>
      </c>
      <c r="J894" t="s">
        <v>1313</v>
      </c>
      <c r="K894" t="s">
        <v>330</v>
      </c>
      <c r="L894" t="s">
        <v>866</v>
      </c>
      <c r="M894" t="s">
        <v>28</v>
      </c>
      <c r="N894" s="1">
        <f t="shared" si="194"/>
        <v>1</v>
      </c>
      <c r="O894" s="1">
        <f t="shared" si="195"/>
        <v>0</v>
      </c>
      <c r="P894" s="1">
        <f t="shared" si="196"/>
        <v>1</v>
      </c>
      <c r="Q894" s="1">
        <f t="shared" si="197"/>
        <v>1</v>
      </c>
      <c r="R894" s="1">
        <f t="shared" si="198"/>
        <v>1</v>
      </c>
      <c r="S894" s="1">
        <f t="shared" si="199"/>
        <v>1</v>
      </c>
      <c r="T894" s="1">
        <f t="shared" si="200"/>
        <v>1</v>
      </c>
      <c r="U894" s="26">
        <f t="shared" si="201"/>
        <v>1</v>
      </c>
      <c r="V894" s="26">
        <f t="shared" si="202"/>
        <v>0</v>
      </c>
      <c r="W894" s="1">
        <f t="shared" si="203"/>
        <v>1</v>
      </c>
      <c r="X894" s="26">
        <f t="shared" si="204"/>
        <v>0</v>
      </c>
      <c r="Y894" s="26">
        <f t="shared" si="205"/>
        <v>0</v>
      </c>
      <c r="Z894" s="1">
        <f t="shared" si="206"/>
        <v>0</v>
      </c>
      <c r="AA894"/>
      <c r="AB894"/>
    </row>
    <row r="895" spans="1:28" x14ac:dyDescent="0.55000000000000004">
      <c r="A895" s="1">
        <f t="shared" si="193"/>
        <v>895</v>
      </c>
      <c r="B895" t="s">
        <v>30</v>
      </c>
      <c r="C895" t="s">
        <v>111</v>
      </c>
      <c r="D895" t="s">
        <v>133</v>
      </c>
      <c r="E895" t="s">
        <v>1730</v>
      </c>
      <c r="F895" t="s">
        <v>346</v>
      </c>
      <c r="G895" t="s">
        <v>63</v>
      </c>
      <c r="H895" t="s">
        <v>739</v>
      </c>
      <c r="I895" t="s">
        <v>48</v>
      </c>
      <c r="J895" t="s">
        <v>1731</v>
      </c>
      <c r="K895" t="s">
        <v>65</v>
      </c>
      <c r="L895" t="s">
        <v>794</v>
      </c>
      <c r="M895" t="s">
        <v>28</v>
      </c>
      <c r="N895" s="1">
        <f t="shared" si="194"/>
        <v>0</v>
      </c>
      <c r="O895" s="1">
        <f t="shared" si="195"/>
        <v>3</v>
      </c>
      <c r="P895" s="1">
        <f t="shared" si="196"/>
        <v>3</v>
      </c>
      <c r="Q895" s="1">
        <f t="shared" si="197"/>
        <v>1</v>
      </c>
      <c r="R895" s="1">
        <f t="shared" si="198"/>
        <v>1</v>
      </c>
      <c r="S895" s="1">
        <f t="shared" si="199"/>
        <v>1</v>
      </c>
      <c r="T895" s="1">
        <f t="shared" si="200"/>
        <v>1</v>
      </c>
      <c r="U895" s="26">
        <f t="shared" si="201"/>
        <v>0</v>
      </c>
      <c r="V895" s="26">
        <f t="shared" si="202"/>
        <v>0</v>
      </c>
      <c r="W895" s="1">
        <f t="shared" si="203"/>
        <v>0</v>
      </c>
      <c r="X895" s="26">
        <f t="shared" si="204"/>
        <v>1</v>
      </c>
      <c r="Y895" s="26">
        <f t="shared" si="205"/>
        <v>1</v>
      </c>
      <c r="Z895" s="1">
        <f t="shared" si="206"/>
        <v>1</v>
      </c>
      <c r="AA895"/>
      <c r="AB895"/>
    </row>
    <row r="896" spans="1:28" x14ac:dyDescent="0.55000000000000004">
      <c r="A896" s="1">
        <f t="shared" si="193"/>
        <v>896</v>
      </c>
      <c r="B896" t="s">
        <v>30</v>
      </c>
      <c r="C896" t="s">
        <v>111</v>
      </c>
      <c r="D896" t="s">
        <v>133</v>
      </c>
      <c r="E896" t="s">
        <v>1730</v>
      </c>
      <c r="F896" t="s">
        <v>346</v>
      </c>
      <c r="G896" t="s">
        <v>66</v>
      </c>
      <c r="H896" t="s">
        <v>1431</v>
      </c>
      <c r="I896" t="s">
        <v>57</v>
      </c>
      <c r="J896" t="s">
        <v>1732</v>
      </c>
      <c r="K896" t="s">
        <v>68</v>
      </c>
      <c r="L896" t="s">
        <v>757</v>
      </c>
      <c r="M896" t="s">
        <v>28</v>
      </c>
      <c r="N896" s="1">
        <f t="shared" si="194"/>
        <v>5</v>
      </c>
      <c r="O896" s="1">
        <f t="shared" si="195"/>
        <v>2</v>
      </c>
      <c r="P896" s="1">
        <f t="shared" si="196"/>
        <v>7</v>
      </c>
      <c r="Q896" s="1">
        <f t="shared" si="197"/>
        <v>1</v>
      </c>
      <c r="R896" s="1">
        <f t="shared" si="198"/>
        <v>0</v>
      </c>
      <c r="S896" s="1">
        <f t="shared" si="199"/>
        <v>0</v>
      </c>
      <c r="T896" s="1">
        <f t="shared" si="200"/>
        <v>0</v>
      </c>
      <c r="U896" s="26">
        <f t="shared" si="201"/>
        <v>0</v>
      </c>
      <c r="V896" s="26">
        <f t="shared" si="202"/>
        <v>1</v>
      </c>
      <c r="W896" s="1">
        <f t="shared" si="203"/>
        <v>1</v>
      </c>
      <c r="X896" s="26">
        <f t="shared" si="204"/>
        <v>1</v>
      </c>
      <c r="Y896" s="26">
        <f t="shared" si="205"/>
        <v>1</v>
      </c>
      <c r="Z896" s="1">
        <f t="shared" si="206"/>
        <v>1</v>
      </c>
      <c r="AA896"/>
      <c r="AB896"/>
    </row>
    <row r="897" spans="1:28" x14ac:dyDescent="0.55000000000000004">
      <c r="A897" s="1">
        <f t="shared" si="193"/>
        <v>897</v>
      </c>
      <c r="B897" t="s">
        <v>30</v>
      </c>
      <c r="C897" t="s">
        <v>111</v>
      </c>
      <c r="D897" t="s">
        <v>133</v>
      </c>
      <c r="E897" t="s">
        <v>1730</v>
      </c>
      <c r="F897" t="s">
        <v>350</v>
      </c>
      <c r="G897" t="s">
        <v>61</v>
      </c>
      <c r="H897" t="s">
        <v>722</v>
      </c>
      <c r="I897" t="s">
        <v>45</v>
      </c>
      <c r="J897" t="s">
        <v>1733</v>
      </c>
      <c r="K897" t="s">
        <v>62</v>
      </c>
      <c r="L897" t="s">
        <v>781</v>
      </c>
      <c r="M897" t="s">
        <v>28</v>
      </c>
      <c r="N897" s="1">
        <f t="shared" si="194"/>
        <v>3</v>
      </c>
      <c r="O897" s="1">
        <f t="shared" si="195"/>
        <v>0</v>
      </c>
      <c r="P897" s="1">
        <f t="shared" si="196"/>
        <v>3</v>
      </c>
      <c r="Q897" s="1">
        <f t="shared" si="197"/>
        <v>1</v>
      </c>
      <c r="R897" s="1">
        <f t="shared" si="198"/>
        <v>1</v>
      </c>
      <c r="S897" s="1">
        <f t="shared" si="199"/>
        <v>1</v>
      </c>
      <c r="T897" s="1">
        <f t="shared" si="200"/>
        <v>0</v>
      </c>
      <c r="U897" s="26">
        <f t="shared" si="201"/>
        <v>1</v>
      </c>
      <c r="V897" s="26">
        <f t="shared" si="202"/>
        <v>1</v>
      </c>
      <c r="W897" s="1">
        <f t="shared" si="203"/>
        <v>1</v>
      </c>
      <c r="X897" s="26">
        <f t="shared" si="204"/>
        <v>0</v>
      </c>
      <c r="Y897" s="26">
        <f t="shared" si="205"/>
        <v>0</v>
      </c>
      <c r="Z897" s="1">
        <f t="shared" si="206"/>
        <v>1</v>
      </c>
      <c r="AA897"/>
      <c r="AB897"/>
    </row>
    <row r="898" spans="1:28" x14ac:dyDescent="0.55000000000000004">
      <c r="A898" s="1">
        <f t="shared" si="193"/>
        <v>898</v>
      </c>
      <c r="B898" t="s">
        <v>33</v>
      </c>
      <c r="C898" t="s">
        <v>118</v>
      </c>
      <c r="D898" t="s">
        <v>133</v>
      </c>
      <c r="E898" t="s">
        <v>1730</v>
      </c>
      <c r="F898" t="s">
        <v>407</v>
      </c>
      <c r="G898" t="s">
        <v>291</v>
      </c>
      <c r="H898" t="s">
        <v>664</v>
      </c>
      <c r="I898" t="s">
        <v>360</v>
      </c>
      <c r="J898" t="s">
        <v>1784</v>
      </c>
      <c r="K898" t="s">
        <v>293</v>
      </c>
      <c r="L898" t="s">
        <v>820</v>
      </c>
      <c r="M898" t="s">
        <v>28</v>
      </c>
      <c r="N898" s="1">
        <f t="shared" si="194"/>
        <v>2</v>
      </c>
      <c r="O898" s="1">
        <f t="shared" si="195"/>
        <v>2</v>
      </c>
      <c r="P898" s="1">
        <f t="shared" si="196"/>
        <v>4</v>
      </c>
      <c r="Q898" s="1">
        <f t="shared" si="197"/>
        <v>0</v>
      </c>
      <c r="R898" s="1">
        <f t="shared" si="198"/>
        <v>1</v>
      </c>
      <c r="S898" s="1">
        <f t="shared" si="199"/>
        <v>0</v>
      </c>
      <c r="T898" s="1">
        <f t="shared" si="200"/>
        <v>1</v>
      </c>
      <c r="U898" s="26">
        <f t="shared" si="201"/>
        <v>1</v>
      </c>
      <c r="V898" s="26">
        <f t="shared" si="202"/>
        <v>1</v>
      </c>
      <c r="W898" s="1">
        <f t="shared" si="203"/>
        <v>1</v>
      </c>
      <c r="X898" s="26">
        <f t="shared" si="204"/>
        <v>1</v>
      </c>
      <c r="Y898" s="26">
        <f t="shared" si="205"/>
        <v>1</v>
      </c>
      <c r="Z898" s="1">
        <f t="shared" si="206"/>
        <v>1</v>
      </c>
      <c r="AA898"/>
      <c r="AB898"/>
    </row>
    <row r="899" spans="1:28" x14ac:dyDescent="0.55000000000000004">
      <c r="A899" s="1">
        <f t="shared" ref="A899:A962" si="207">A898+1</f>
        <v>899</v>
      </c>
      <c r="B899" t="s">
        <v>33</v>
      </c>
      <c r="C899" t="s">
        <v>118</v>
      </c>
      <c r="D899" t="s">
        <v>133</v>
      </c>
      <c r="E899" t="s">
        <v>1730</v>
      </c>
      <c r="F899" t="s">
        <v>364</v>
      </c>
      <c r="G899" t="s">
        <v>278</v>
      </c>
      <c r="H899" t="s">
        <v>568</v>
      </c>
      <c r="I899" t="s">
        <v>296</v>
      </c>
      <c r="J899" t="s">
        <v>1785</v>
      </c>
      <c r="K899" t="s">
        <v>280</v>
      </c>
      <c r="L899" t="s">
        <v>1055</v>
      </c>
      <c r="M899" t="s">
        <v>28</v>
      </c>
      <c r="N899" s="1">
        <f t="shared" ref="N899:N962" si="208">VALUE(LEFT(H899,1))</f>
        <v>0</v>
      </c>
      <c r="O899" s="1">
        <f t="shared" ref="O899:O962" si="209">VALUE(RIGHT(H899,1))</f>
        <v>2</v>
      </c>
      <c r="P899" s="1">
        <f t="shared" ref="P899:P962" si="210">SUM(N899,O899)</f>
        <v>2</v>
      </c>
      <c r="Q899" s="1">
        <f t="shared" ref="Q899:Q962" si="211">IF(N899&lt;&gt;O899, 1, 0)</f>
        <v>1</v>
      </c>
      <c r="R899" s="1">
        <f t="shared" ref="R899:R962" si="212">IF(P899&lt;=4,1,0)</f>
        <v>1</v>
      </c>
      <c r="S899" s="1">
        <f t="shared" ref="S899:S962" si="213">IF(AND(Q899=1,R899=1),1,0)</f>
        <v>1</v>
      </c>
      <c r="T899" s="1">
        <f t="shared" ref="T899:T962" si="214">IF(N899&lt;=2,1,0)</f>
        <v>1</v>
      </c>
      <c r="U899" s="26">
        <f t="shared" ref="U899:U962" si="215">IF(AND(N899&gt;=1,N899&lt;=3),1,0)</f>
        <v>0</v>
      </c>
      <c r="V899" s="26">
        <f t="shared" ref="V899:V962" si="216">IF(AND(N899&gt;=2,N899&lt;=5),1,0)</f>
        <v>0</v>
      </c>
      <c r="W899" s="1">
        <f t="shared" ref="W899:W962" si="217">IF(O899&lt;=2,1,0)</f>
        <v>1</v>
      </c>
      <c r="X899" s="26">
        <f t="shared" ref="X899:X962" si="218">IF(AND(O899&gt;=1,O899&lt;=3),1,0)</f>
        <v>1</v>
      </c>
      <c r="Y899" s="26">
        <f t="shared" ref="Y899:Y962" si="219">IF(AND(O899&gt;=2,O899&lt;=5),1,0)</f>
        <v>1</v>
      </c>
      <c r="Z899" s="1">
        <f t="shared" ref="Z899:Z962" si="220">IF(P899&gt;=2,1,0)</f>
        <v>1</v>
      </c>
      <c r="AA899"/>
      <c r="AB899"/>
    </row>
    <row r="900" spans="1:28" x14ac:dyDescent="0.55000000000000004">
      <c r="A900" s="1">
        <f t="shared" si="207"/>
        <v>900</v>
      </c>
      <c r="B900" t="s">
        <v>33</v>
      </c>
      <c r="C900" t="s">
        <v>118</v>
      </c>
      <c r="D900" t="s">
        <v>133</v>
      </c>
      <c r="E900" t="s">
        <v>1730</v>
      </c>
      <c r="F900" t="s">
        <v>277</v>
      </c>
      <c r="G900" t="s">
        <v>367</v>
      </c>
      <c r="H900" t="s">
        <v>575</v>
      </c>
      <c r="I900" t="s">
        <v>284</v>
      </c>
      <c r="J900" t="s">
        <v>1786</v>
      </c>
      <c r="K900" t="s">
        <v>368</v>
      </c>
      <c r="L900" t="s">
        <v>804</v>
      </c>
      <c r="M900" t="s">
        <v>28</v>
      </c>
      <c r="N900" s="1">
        <f t="shared" si="208"/>
        <v>1</v>
      </c>
      <c r="O900" s="1">
        <f t="shared" si="209"/>
        <v>0</v>
      </c>
      <c r="P900" s="1">
        <f t="shared" si="210"/>
        <v>1</v>
      </c>
      <c r="Q900" s="1">
        <f t="shared" si="211"/>
        <v>1</v>
      </c>
      <c r="R900" s="1">
        <f t="shared" si="212"/>
        <v>1</v>
      </c>
      <c r="S900" s="1">
        <f t="shared" si="213"/>
        <v>1</v>
      </c>
      <c r="T900" s="1">
        <f t="shared" si="214"/>
        <v>1</v>
      </c>
      <c r="U900" s="26">
        <f t="shared" si="215"/>
        <v>1</v>
      </c>
      <c r="V900" s="26">
        <f t="shared" si="216"/>
        <v>0</v>
      </c>
      <c r="W900" s="1">
        <f t="shared" si="217"/>
        <v>1</v>
      </c>
      <c r="X900" s="26">
        <f t="shared" si="218"/>
        <v>0</v>
      </c>
      <c r="Y900" s="26">
        <f t="shared" si="219"/>
        <v>0</v>
      </c>
      <c r="Z900" s="1">
        <f t="shared" si="220"/>
        <v>0</v>
      </c>
      <c r="AA900"/>
      <c r="AB900"/>
    </row>
    <row r="901" spans="1:28" x14ac:dyDescent="0.55000000000000004">
      <c r="A901" s="1">
        <f t="shared" si="207"/>
        <v>901</v>
      </c>
      <c r="B901" t="s">
        <v>33</v>
      </c>
      <c r="C901" t="s">
        <v>118</v>
      </c>
      <c r="D901" t="s">
        <v>133</v>
      </c>
      <c r="E901" t="s">
        <v>1730</v>
      </c>
      <c r="F901" t="s">
        <v>290</v>
      </c>
      <c r="G901" t="s">
        <v>282</v>
      </c>
      <c r="H901" t="s">
        <v>683</v>
      </c>
      <c r="I901" t="s">
        <v>285</v>
      </c>
      <c r="J901" t="s">
        <v>1787</v>
      </c>
      <c r="K901" t="s">
        <v>295</v>
      </c>
      <c r="L901" t="s">
        <v>1434</v>
      </c>
      <c r="M901" t="s">
        <v>28</v>
      </c>
      <c r="N901" s="1">
        <f t="shared" si="208"/>
        <v>3</v>
      </c>
      <c r="O901" s="1">
        <f t="shared" si="209"/>
        <v>2</v>
      </c>
      <c r="P901" s="1">
        <f t="shared" si="210"/>
        <v>5</v>
      </c>
      <c r="Q901" s="1">
        <f t="shared" si="211"/>
        <v>1</v>
      </c>
      <c r="R901" s="1">
        <f t="shared" si="212"/>
        <v>0</v>
      </c>
      <c r="S901" s="1">
        <f t="shared" si="213"/>
        <v>0</v>
      </c>
      <c r="T901" s="1">
        <f t="shared" si="214"/>
        <v>0</v>
      </c>
      <c r="U901" s="26">
        <f t="shared" si="215"/>
        <v>1</v>
      </c>
      <c r="V901" s="26">
        <f t="shared" si="216"/>
        <v>1</v>
      </c>
      <c r="W901" s="1">
        <f t="shared" si="217"/>
        <v>1</v>
      </c>
      <c r="X901" s="26">
        <f t="shared" si="218"/>
        <v>1</v>
      </c>
      <c r="Y901" s="26">
        <f t="shared" si="219"/>
        <v>1</v>
      </c>
      <c r="Z901" s="1">
        <f t="shared" si="220"/>
        <v>1</v>
      </c>
      <c r="AA901"/>
      <c r="AB901"/>
    </row>
    <row r="902" spans="1:28" x14ac:dyDescent="0.55000000000000004">
      <c r="A902" s="1">
        <f t="shared" si="207"/>
        <v>902</v>
      </c>
      <c r="B902" t="s">
        <v>33</v>
      </c>
      <c r="C902" t="s">
        <v>118</v>
      </c>
      <c r="D902" t="s">
        <v>133</v>
      </c>
      <c r="E902" t="s">
        <v>1730</v>
      </c>
      <c r="F902" t="s">
        <v>290</v>
      </c>
      <c r="G902" t="s">
        <v>292</v>
      </c>
      <c r="H902" t="s">
        <v>565</v>
      </c>
      <c r="I902" t="s">
        <v>281</v>
      </c>
      <c r="J902" t="s">
        <v>1788</v>
      </c>
      <c r="K902" t="s">
        <v>408</v>
      </c>
      <c r="L902" t="s">
        <v>1053</v>
      </c>
      <c r="M902" t="s">
        <v>28</v>
      </c>
      <c r="N902" s="1">
        <f t="shared" si="208"/>
        <v>2</v>
      </c>
      <c r="O902" s="1">
        <f t="shared" si="209"/>
        <v>3</v>
      </c>
      <c r="P902" s="1">
        <f t="shared" si="210"/>
        <v>5</v>
      </c>
      <c r="Q902" s="1">
        <f t="shared" si="211"/>
        <v>1</v>
      </c>
      <c r="R902" s="1">
        <f t="shared" si="212"/>
        <v>0</v>
      </c>
      <c r="S902" s="1">
        <f t="shared" si="213"/>
        <v>0</v>
      </c>
      <c r="T902" s="1">
        <f t="shared" si="214"/>
        <v>1</v>
      </c>
      <c r="U902" s="26">
        <f t="shared" si="215"/>
        <v>1</v>
      </c>
      <c r="V902" s="26">
        <f t="shared" si="216"/>
        <v>1</v>
      </c>
      <c r="W902" s="1">
        <f t="shared" si="217"/>
        <v>0</v>
      </c>
      <c r="X902" s="26">
        <f t="shared" si="218"/>
        <v>1</v>
      </c>
      <c r="Y902" s="26">
        <f t="shared" si="219"/>
        <v>1</v>
      </c>
      <c r="Z902" s="1">
        <f t="shared" si="220"/>
        <v>1</v>
      </c>
      <c r="AA902"/>
      <c r="AB902"/>
    </row>
    <row r="903" spans="1:28" x14ac:dyDescent="0.55000000000000004">
      <c r="A903" s="1">
        <f t="shared" si="207"/>
        <v>903</v>
      </c>
      <c r="B903" t="s">
        <v>35</v>
      </c>
      <c r="C903" t="s">
        <v>114</v>
      </c>
      <c r="D903" t="s">
        <v>133</v>
      </c>
      <c r="E903" t="s">
        <v>1730</v>
      </c>
      <c r="F903" t="s">
        <v>376</v>
      </c>
      <c r="G903" t="s">
        <v>383</v>
      </c>
      <c r="H903" t="s">
        <v>579</v>
      </c>
      <c r="I903" t="s">
        <v>303</v>
      </c>
      <c r="J903" t="s">
        <v>1825</v>
      </c>
      <c r="K903" t="s">
        <v>387</v>
      </c>
      <c r="L903" t="s">
        <v>1071</v>
      </c>
      <c r="M903" t="s">
        <v>28</v>
      </c>
      <c r="N903" s="1">
        <f t="shared" si="208"/>
        <v>2</v>
      </c>
      <c r="O903" s="1">
        <f t="shared" si="209"/>
        <v>1</v>
      </c>
      <c r="P903" s="1">
        <f t="shared" si="210"/>
        <v>3</v>
      </c>
      <c r="Q903" s="1">
        <f t="shared" si="211"/>
        <v>1</v>
      </c>
      <c r="R903" s="1">
        <f t="shared" si="212"/>
        <v>1</v>
      </c>
      <c r="S903" s="1">
        <f t="shared" si="213"/>
        <v>1</v>
      </c>
      <c r="T903" s="1">
        <f t="shared" si="214"/>
        <v>1</v>
      </c>
      <c r="U903" s="26">
        <f t="shared" si="215"/>
        <v>1</v>
      </c>
      <c r="V903" s="26">
        <f t="shared" si="216"/>
        <v>1</v>
      </c>
      <c r="W903" s="1">
        <f t="shared" si="217"/>
        <v>1</v>
      </c>
      <c r="X903" s="26">
        <f t="shared" si="218"/>
        <v>1</v>
      </c>
      <c r="Y903" s="26">
        <f t="shared" si="219"/>
        <v>0</v>
      </c>
      <c r="Z903" s="1">
        <f t="shared" si="220"/>
        <v>1</v>
      </c>
      <c r="AA903"/>
      <c r="AB903"/>
    </row>
    <row r="904" spans="1:28" x14ac:dyDescent="0.55000000000000004">
      <c r="A904" s="1">
        <f t="shared" si="207"/>
        <v>904</v>
      </c>
      <c r="B904" t="s">
        <v>40</v>
      </c>
      <c r="C904" t="s">
        <v>104</v>
      </c>
      <c r="D904" t="s">
        <v>133</v>
      </c>
      <c r="E904" t="s">
        <v>1730</v>
      </c>
      <c r="F904" t="s">
        <v>394</v>
      </c>
      <c r="G904" t="s">
        <v>256</v>
      </c>
      <c r="H904" t="s">
        <v>575</v>
      </c>
      <c r="I904" t="s">
        <v>252</v>
      </c>
      <c r="J904" t="s">
        <v>1918</v>
      </c>
      <c r="K904" t="s">
        <v>416</v>
      </c>
      <c r="L904" t="s">
        <v>594</v>
      </c>
      <c r="M904" t="s">
        <v>28</v>
      </c>
      <c r="N904" s="1">
        <f t="shared" si="208"/>
        <v>1</v>
      </c>
      <c r="O904" s="1">
        <f t="shared" si="209"/>
        <v>0</v>
      </c>
      <c r="P904" s="1">
        <f t="shared" si="210"/>
        <v>1</v>
      </c>
      <c r="Q904" s="1">
        <f t="shared" si="211"/>
        <v>1</v>
      </c>
      <c r="R904" s="1">
        <f t="shared" si="212"/>
        <v>1</v>
      </c>
      <c r="S904" s="1">
        <f t="shared" si="213"/>
        <v>1</v>
      </c>
      <c r="T904" s="1">
        <f t="shared" si="214"/>
        <v>1</v>
      </c>
      <c r="U904" s="26">
        <f t="shared" si="215"/>
        <v>1</v>
      </c>
      <c r="V904" s="26">
        <f t="shared" si="216"/>
        <v>0</v>
      </c>
      <c r="W904" s="1">
        <f t="shared" si="217"/>
        <v>1</v>
      </c>
      <c r="X904" s="26">
        <f t="shared" si="218"/>
        <v>0</v>
      </c>
      <c r="Y904" s="26">
        <f t="shared" si="219"/>
        <v>0</v>
      </c>
      <c r="Z904" s="1">
        <f t="shared" si="220"/>
        <v>0</v>
      </c>
      <c r="AA904"/>
      <c r="AB904"/>
    </row>
    <row r="905" spans="1:28" x14ac:dyDescent="0.55000000000000004">
      <c r="A905" s="1">
        <f t="shared" si="207"/>
        <v>905</v>
      </c>
      <c r="B905" t="s">
        <v>40</v>
      </c>
      <c r="C905" t="s">
        <v>104</v>
      </c>
      <c r="D905" t="s">
        <v>133</v>
      </c>
      <c r="E905" t="s">
        <v>1730</v>
      </c>
      <c r="F905" t="s">
        <v>392</v>
      </c>
      <c r="G905" t="s">
        <v>248</v>
      </c>
      <c r="H905" t="s">
        <v>575</v>
      </c>
      <c r="I905" t="s">
        <v>263</v>
      </c>
      <c r="J905" t="s">
        <v>1919</v>
      </c>
      <c r="K905" t="s">
        <v>250</v>
      </c>
      <c r="L905" t="s">
        <v>1025</v>
      </c>
      <c r="M905" t="s">
        <v>28</v>
      </c>
      <c r="N905" s="1">
        <f t="shared" si="208"/>
        <v>1</v>
      </c>
      <c r="O905" s="1">
        <f t="shared" si="209"/>
        <v>0</v>
      </c>
      <c r="P905" s="1">
        <f t="shared" si="210"/>
        <v>1</v>
      </c>
      <c r="Q905" s="1">
        <f t="shared" si="211"/>
        <v>1</v>
      </c>
      <c r="R905" s="1">
        <f t="shared" si="212"/>
        <v>1</v>
      </c>
      <c r="S905" s="1">
        <f t="shared" si="213"/>
        <v>1</v>
      </c>
      <c r="T905" s="1">
        <f t="shared" si="214"/>
        <v>1</v>
      </c>
      <c r="U905" s="26">
        <f t="shared" si="215"/>
        <v>1</v>
      </c>
      <c r="V905" s="26">
        <f t="shared" si="216"/>
        <v>0</v>
      </c>
      <c r="W905" s="1">
        <f t="shared" si="217"/>
        <v>1</v>
      </c>
      <c r="X905" s="26">
        <f t="shared" si="218"/>
        <v>0</v>
      </c>
      <c r="Y905" s="26">
        <f t="shared" si="219"/>
        <v>0</v>
      </c>
      <c r="Z905" s="1">
        <f t="shared" si="220"/>
        <v>0</v>
      </c>
      <c r="AA905"/>
      <c r="AB905"/>
    </row>
    <row r="906" spans="1:28" x14ac:dyDescent="0.55000000000000004">
      <c r="A906" s="1">
        <f t="shared" si="207"/>
        <v>906</v>
      </c>
      <c r="B906" t="s">
        <v>40</v>
      </c>
      <c r="C906" t="s">
        <v>104</v>
      </c>
      <c r="D906" t="s">
        <v>133</v>
      </c>
      <c r="E906" t="s">
        <v>1730</v>
      </c>
      <c r="F906" t="s">
        <v>392</v>
      </c>
      <c r="G906" t="s">
        <v>261</v>
      </c>
      <c r="H906" t="s">
        <v>608</v>
      </c>
      <c r="I906" t="s">
        <v>260</v>
      </c>
      <c r="J906" t="s">
        <v>1920</v>
      </c>
      <c r="K906" t="s">
        <v>393</v>
      </c>
      <c r="L906" t="s">
        <v>1014</v>
      </c>
      <c r="M906" t="s">
        <v>28</v>
      </c>
      <c r="N906" s="1">
        <f t="shared" si="208"/>
        <v>1</v>
      </c>
      <c r="O906" s="1">
        <f t="shared" si="209"/>
        <v>1</v>
      </c>
      <c r="P906" s="1">
        <f t="shared" si="210"/>
        <v>2</v>
      </c>
      <c r="Q906" s="1">
        <f t="shared" si="211"/>
        <v>0</v>
      </c>
      <c r="R906" s="1">
        <f t="shared" si="212"/>
        <v>1</v>
      </c>
      <c r="S906" s="1">
        <f t="shared" si="213"/>
        <v>0</v>
      </c>
      <c r="T906" s="1">
        <f t="shared" si="214"/>
        <v>1</v>
      </c>
      <c r="U906" s="26">
        <f t="shared" si="215"/>
        <v>1</v>
      </c>
      <c r="V906" s="26">
        <f t="shared" si="216"/>
        <v>0</v>
      </c>
      <c r="W906" s="1">
        <f t="shared" si="217"/>
        <v>1</v>
      </c>
      <c r="X906" s="26">
        <f t="shared" si="218"/>
        <v>1</v>
      </c>
      <c r="Y906" s="26">
        <f t="shared" si="219"/>
        <v>0</v>
      </c>
      <c r="Z906" s="1">
        <f t="shared" si="220"/>
        <v>1</v>
      </c>
      <c r="AA906"/>
      <c r="AB906"/>
    </row>
    <row r="907" spans="1:28" x14ac:dyDescent="0.55000000000000004">
      <c r="A907" s="1">
        <f t="shared" si="207"/>
        <v>907</v>
      </c>
      <c r="B907" t="s">
        <v>40</v>
      </c>
      <c r="C907" t="s">
        <v>104</v>
      </c>
      <c r="D907" t="s">
        <v>133</v>
      </c>
      <c r="E907" t="s">
        <v>1730</v>
      </c>
      <c r="F907" t="s">
        <v>392</v>
      </c>
      <c r="G907" t="s">
        <v>253</v>
      </c>
      <c r="H907" t="s">
        <v>847</v>
      </c>
      <c r="I907" t="s">
        <v>249</v>
      </c>
      <c r="J907" t="s">
        <v>1921</v>
      </c>
      <c r="K907" t="s">
        <v>395</v>
      </c>
      <c r="L907" t="s">
        <v>1030</v>
      </c>
      <c r="M907" t="s">
        <v>28</v>
      </c>
      <c r="N907" s="1">
        <f t="shared" si="208"/>
        <v>5</v>
      </c>
      <c r="O907" s="1">
        <f t="shared" si="209"/>
        <v>0</v>
      </c>
      <c r="P907" s="1">
        <f t="shared" si="210"/>
        <v>5</v>
      </c>
      <c r="Q907" s="1">
        <f t="shared" si="211"/>
        <v>1</v>
      </c>
      <c r="R907" s="1">
        <f t="shared" si="212"/>
        <v>0</v>
      </c>
      <c r="S907" s="1">
        <f t="shared" si="213"/>
        <v>0</v>
      </c>
      <c r="T907" s="1">
        <f t="shared" si="214"/>
        <v>0</v>
      </c>
      <c r="U907" s="26">
        <f t="shared" si="215"/>
        <v>0</v>
      </c>
      <c r="V907" s="26">
        <f t="shared" si="216"/>
        <v>1</v>
      </c>
      <c r="W907" s="1">
        <f t="shared" si="217"/>
        <v>1</v>
      </c>
      <c r="X907" s="26">
        <f t="shared" si="218"/>
        <v>0</v>
      </c>
      <c r="Y907" s="26">
        <f t="shared" si="219"/>
        <v>0</v>
      </c>
      <c r="Z907" s="1">
        <f t="shared" si="220"/>
        <v>1</v>
      </c>
      <c r="AA907"/>
      <c r="AB907"/>
    </row>
    <row r="908" spans="1:28" x14ac:dyDescent="0.55000000000000004">
      <c r="A908" s="1">
        <f t="shared" si="207"/>
        <v>908</v>
      </c>
      <c r="B908" t="s">
        <v>40</v>
      </c>
      <c r="C908" t="s">
        <v>104</v>
      </c>
      <c r="D908" t="s">
        <v>133</v>
      </c>
      <c r="E908" t="s">
        <v>1730</v>
      </c>
      <c r="F908" t="s">
        <v>392</v>
      </c>
      <c r="G908" t="s">
        <v>258</v>
      </c>
      <c r="H908" t="s">
        <v>683</v>
      </c>
      <c r="I908" t="s">
        <v>255</v>
      </c>
      <c r="J908" t="s">
        <v>1246</v>
      </c>
      <c r="K908" t="s">
        <v>259</v>
      </c>
      <c r="L908" t="s">
        <v>1018</v>
      </c>
      <c r="M908" t="s">
        <v>28</v>
      </c>
      <c r="N908" s="1">
        <f t="shared" si="208"/>
        <v>3</v>
      </c>
      <c r="O908" s="1">
        <f t="shared" si="209"/>
        <v>2</v>
      </c>
      <c r="P908" s="1">
        <f t="shared" si="210"/>
        <v>5</v>
      </c>
      <c r="Q908" s="1">
        <f t="shared" si="211"/>
        <v>1</v>
      </c>
      <c r="R908" s="1">
        <f t="shared" si="212"/>
        <v>0</v>
      </c>
      <c r="S908" s="1">
        <f t="shared" si="213"/>
        <v>0</v>
      </c>
      <c r="T908" s="1">
        <f t="shared" si="214"/>
        <v>0</v>
      </c>
      <c r="U908" s="26">
        <f t="shared" si="215"/>
        <v>1</v>
      </c>
      <c r="V908" s="26">
        <f t="shared" si="216"/>
        <v>1</v>
      </c>
      <c r="W908" s="1">
        <f t="shared" si="217"/>
        <v>1</v>
      </c>
      <c r="X908" s="26">
        <f t="shared" si="218"/>
        <v>1</v>
      </c>
      <c r="Y908" s="26">
        <f t="shared" si="219"/>
        <v>1</v>
      </c>
      <c r="Z908" s="1">
        <f t="shared" si="220"/>
        <v>1</v>
      </c>
      <c r="AA908"/>
      <c r="AB908"/>
    </row>
    <row r="909" spans="1:28" x14ac:dyDescent="0.55000000000000004">
      <c r="A909" s="1">
        <f t="shared" si="207"/>
        <v>909</v>
      </c>
      <c r="B909" t="s">
        <v>30</v>
      </c>
      <c r="C909" t="s">
        <v>111</v>
      </c>
      <c r="D909" t="s">
        <v>42</v>
      </c>
      <c r="E909" t="s">
        <v>1410</v>
      </c>
      <c r="F909" t="s">
        <v>380</v>
      </c>
      <c r="G909" t="s">
        <v>54</v>
      </c>
      <c r="H909" t="s">
        <v>1411</v>
      </c>
      <c r="I909" t="s">
        <v>64</v>
      </c>
      <c r="J909" t="s">
        <v>1412</v>
      </c>
      <c r="K909" t="s">
        <v>56</v>
      </c>
      <c r="L909" t="s">
        <v>777</v>
      </c>
      <c r="M909" t="s">
        <v>28</v>
      </c>
      <c r="N909" s="1">
        <f t="shared" si="208"/>
        <v>4</v>
      </c>
      <c r="O909" s="1">
        <f t="shared" si="209"/>
        <v>5</v>
      </c>
      <c r="P909" s="1">
        <f t="shared" si="210"/>
        <v>9</v>
      </c>
      <c r="Q909" s="1">
        <f t="shared" si="211"/>
        <v>1</v>
      </c>
      <c r="R909" s="1">
        <f t="shared" si="212"/>
        <v>0</v>
      </c>
      <c r="S909" s="1">
        <f t="shared" si="213"/>
        <v>0</v>
      </c>
      <c r="T909" s="1">
        <f t="shared" si="214"/>
        <v>0</v>
      </c>
      <c r="U909" s="26">
        <f t="shared" si="215"/>
        <v>0</v>
      </c>
      <c r="V909" s="26">
        <f t="shared" si="216"/>
        <v>1</v>
      </c>
      <c r="W909" s="1">
        <f t="shared" si="217"/>
        <v>0</v>
      </c>
      <c r="X909" s="26">
        <f t="shared" si="218"/>
        <v>0</v>
      </c>
      <c r="Y909" s="26">
        <f t="shared" si="219"/>
        <v>1</v>
      </c>
      <c r="Z909" s="1">
        <f t="shared" si="220"/>
        <v>1</v>
      </c>
      <c r="AA909"/>
      <c r="AB909"/>
    </row>
    <row r="910" spans="1:28" x14ac:dyDescent="0.55000000000000004">
      <c r="A910" s="1">
        <f t="shared" si="207"/>
        <v>910</v>
      </c>
      <c r="B910" t="s">
        <v>30</v>
      </c>
      <c r="C910" t="s">
        <v>111</v>
      </c>
      <c r="D910" t="s">
        <v>42</v>
      </c>
      <c r="E910" t="s">
        <v>1410</v>
      </c>
      <c r="F910" t="s">
        <v>380</v>
      </c>
      <c r="G910" t="s">
        <v>67</v>
      </c>
      <c r="H910" t="s">
        <v>683</v>
      </c>
      <c r="I910" t="s">
        <v>58</v>
      </c>
      <c r="J910" t="s">
        <v>1387</v>
      </c>
      <c r="K910" t="s">
        <v>73</v>
      </c>
      <c r="L910" t="s">
        <v>1038</v>
      </c>
      <c r="M910" t="s">
        <v>28</v>
      </c>
      <c r="N910" s="1">
        <f t="shared" si="208"/>
        <v>3</v>
      </c>
      <c r="O910" s="1">
        <f t="shared" si="209"/>
        <v>2</v>
      </c>
      <c r="P910" s="1">
        <f t="shared" si="210"/>
        <v>5</v>
      </c>
      <c r="Q910" s="1">
        <f t="shared" si="211"/>
        <v>1</v>
      </c>
      <c r="R910" s="1">
        <f t="shared" si="212"/>
        <v>0</v>
      </c>
      <c r="S910" s="1">
        <f t="shared" si="213"/>
        <v>0</v>
      </c>
      <c r="T910" s="1">
        <f t="shared" si="214"/>
        <v>0</v>
      </c>
      <c r="U910" s="26">
        <f t="shared" si="215"/>
        <v>1</v>
      </c>
      <c r="V910" s="26">
        <f t="shared" si="216"/>
        <v>1</v>
      </c>
      <c r="W910" s="1">
        <f t="shared" si="217"/>
        <v>1</v>
      </c>
      <c r="X910" s="26">
        <f t="shared" si="218"/>
        <v>1</v>
      </c>
      <c r="Y910" s="26">
        <f t="shared" si="219"/>
        <v>1</v>
      </c>
      <c r="Z910" s="1">
        <f t="shared" si="220"/>
        <v>1</v>
      </c>
      <c r="AA910"/>
      <c r="AB910"/>
    </row>
    <row r="911" spans="1:28" x14ac:dyDescent="0.55000000000000004">
      <c r="A911" s="1">
        <f t="shared" si="207"/>
        <v>911</v>
      </c>
      <c r="B911" t="s">
        <v>30</v>
      </c>
      <c r="C911" t="s">
        <v>111</v>
      </c>
      <c r="D911" t="s">
        <v>42</v>
      </c>
      <c r="E911" t="s">
        <v>1410</v>
      </c>
      <c r="F911" t="s">
        <v>380</v>
      </c>
      <c r="G911" t="s">
        <v>44</v>
      </c>
      <c r="H911" t="s">
        <v>664</v>
      </c>
      <c r="I911" t="s">
        <v>51</v>
      </c>
      <c r="J911" t="s">
        <v>1413</v>
      </c>
      <c r="K911" t="s">
        <v>46</v>
      </c>
      <c r="L911" t="s">
        <v>761</v>
      </c>
      <c r="M911" t="s">
        <v>28</v>
      </c>
      <c r="N911" s="1">
        <f t="shared" si="208"/>
        <v>2</v>
      </c>
      <c r="O911" s="1">
        <f t="shared" si="209"/>
        <v>2</v>
      </c>
      <c r="P911" s="1">
        <f t="shared" si="210"/>
        <v>4</v>
      </c>
      <c r="Q911" s="1">
        <f t="shared" si="211"/>
        <v>0</v>
      </c>
      <c r="R911" s="1">
        <f t="shared" si="212"/>
        <v>1</v>
      </c>
      <c r="S911" s="1">
        <f t="shared" si="213"/>
        <v>0</v>
      </c>
      <c r="T911" s="1">
        <f t="shared" si="214"/>
        <v>1</v>
      </c>
      <c r="U911" s="26">
        <f t="shared" si="215"/>
        <v>1</v>
      </c>
      <c r="V911" s="26">
        <f t="shared" si="216"/>
        <v>1</v>
      </c>
      <c r="W911" s="1">
        <f t="shared" si="217"/>
        <v>1</v>
      </c>
      <c r="X911" s="26">
        <f t="shared" si="218"/>
        <v>1</v>
      </c>
      <c r="Y911" s="26">
        <f t="shared" si="219"/>
        <v>1</v>
      </c>
      <c r="Z911" s="1">
        <f t="shared" si="220"/>
        <v>1</v>
      </c>
      <c r="AA911"/>
      <c r="AB911"/>
    </row>
    <row r="912" spans="1:28" x14ac:dyDescent="0.55000000000000004">
      <c r="A912" s="1">
        <f t="shared" si="207"/>
        <v>912</v>
      </c>
      <c r="B912" t="s">
        <v>33</v>
      </c>
      <c r="C912" t="s">
        <v>118</v>
      </c>
      <c r="D912" t="s">
        <v>42</v>
      </c>
      <c r="E912" t="s">
        <v>1410</v>
      </c>
      <c r="F912" t="s">
        <v>364</v>
      </c>
      <c r="G912" t="s">
        <v>299</v>
      </c>
      <c r="H912" t="s">
        <v>575</v>
      </c>
      <c r="I912" t="s">
        <v>279</v>
      </c>
      <c r="J912" t="s">
        <v>1459</v>
      </c>
      <c r="K912" t="s">
        <v>366</v>
      </c>
      <c r="L912" t="s">
        <v>1059</v>
      </c>
      <c r="M912" t="s">
        <v>28</v>
      </c>
      <c r="N912" s="1">
        <f t="shared" si="208"/>
        <v>1</v>
      </c>
      <c r="O912" s="1">
        <f t="shared" si="209"/>
        <v>0</v>
      </c>
      <c r="P912" s="1">
        <f t="shared" si="210"/>
        <v>1</v>
      </c>
      <c r="Q912" s="1">
        <f t="shared" si="211"/>
        <v>1</v>
      </c>
      <c r="R912" s="1">
        <f t="shared" si="212"/>
        <v>1</v>
      </c>
      <c r="S912" s="1">
        <f t="shared" si="213"/>
        <v>1</v>
      </c>
      <c r="T912" s="1">
        <f t="shared" si="214"/>
        <v>1</v>
      </c>
      <c r="U912" s="26">
        <f t="shared" si="215"/>
        <v>1</v>
      </c>
      <c r="V912" s="26">
        <f t="shared" si="216"/>
        <v>0</v>
      </c>
      <c r="W912" s="1">
        <f t="shared" si="217"/>
        <v>1</v>
      </c>
      <c r="X912" s="26">
        <f t="shared" si="218"/>
        <v>0</v>
      </c>
      <c r="Y912" s="26">
        <f t="shared" si="219"/>
        <v>0</v>
      </c>
      <c r="Z912" s="1">
        <f t="shared" si="220"/>
        <v>0</v>
      </c>
      <c r="AA912"/>
      <c r="AB912"/>
    </row>
    <row r="913" spans="1:28" x14ac:dyDescent="0.55000000000000004">
      <c r="A913" s="1">
        <f t="shared" si="207"/>
        <v>913</v>
      </c>
      <c r="B913" t="s">
        <v>33</v>
      </c>
      <c r="C913" t="s">
        <v>118</v>
      </c>
      <c r="D913" t="s">
        <v>42</v>
      </c>
      <c r="E913" t="s">
        <v>1410</v>
      </c>
      <c r="F913" t="s">
        <v>277</v>
      </c>
      <c r="G913" t="s">
        <v>287</v>
      </c>
      <c r="H913" t="s">
        <v>608</v>
      </c>
      <c r="I913" t="s">
        <v>365</v>
      </c>
      <c r="J913" t="s">
        <v>1460</v>
      </c>
      <c r="K913" t="s">
        <v>289</v>
      </c>
      <c r="L913" t="s">
        <v>1051</v>
      </c>
      <c r="M913" t="s">
        <v>28</v>
      </c>
      <c r="N913" s="1">
        <f t="shared" si="208"/>
        <v>1</v>
      </c>
      <c r="O913" s="1">
        <f t="shared" si="209"/>
        <v>1</v>
      </c>
      <c r="P913" s="1">
        <f t="shared" si="210"/>
        <v>2</v>
      </c>
      <c r="Q913" s="1">
        <f t="shared" si="211"/>
        <v>0</v>
      </c>
      <c r="R913" s="1">
        <f t="shared" si="212"/>
        <v>1</v>
      </c>
      <c r="S913" s="1">
        <f t="shared" si="213"/>
        <v>0</v>
      </c>
      <c r="T913" s="1">
        <f t="shared" si="214"/>
        <v>1</v>
      </c>
      <c r="U913" s="26">
        <f t="shared" si="215"/>
        <v>1</v>
      </c>
      <c r="V913" s="26">
        <f t="shared" si="216"/>
        <v>0</v>
      </c>
      <c r="W913" s="1">
        <f t="shared" si="217"/>
        <v>1</v>
      </c>
      <c r="X913" s="26">
        <f t="shared" si="218"/>
        <v>1</v>
      </c>
      <c r="Y913" s="26">
        <f t="shared" si="219"/>
        <v>0</v>
      </c>
      <c r="Z913" s="1">
        <f t="shared" si="220"/>
        <v>1</v>
      </c>
      <c r="AA913"/>
      <c r="AB913"/>
    </row>
    <row r="914" spans="1:28" x14ac:dyDescent="0.55000000000000004">
      <c r="A914" s="1">
        <f t="shared" si="207"/>
        <v>914</v>
      </c>
      <c r="B914" t="s">
        <v>40</v>
      </c>
      <c r="C914" t="s">
        <v>104</v>
      </c>
      <c r="D914" t="s">
        <v>42</v>
      </c>
      <c r="E914" t="s">
        <v>1410</v>
      </c>
      <c r="F914" t="s">
        <v>350</v>
      </c>
      <c r="G914" t="s">
        <v>266</v>
      </c>
      <c r="H914" t="s">
        <v>579</v>
      </c>
      <c r="I914" t="s">
        <v>265</v>
      </c>
      <c r="J914" t="s">
        <v>1551</v>
      </c>
      <c r="K914" t="s">
        <v>267</v>
      </c>
      <c r="L914" t="s">
        <v>1027</v>
      </c>
      <c r="M914" t="s">
        <v>28</v>
      </c>
      <c r="N914" s="1">
        <f t="shared" si="208"/>
        <v>2</v>
      </c>
      <c r="O914" s="1">
        <f t="shared" si="209"/>
        <v>1</v>
      </c>
      <c r="P914" s="1">
        <f t="shared" si="210"/>
        <v>3</v>
      </c>
      <c r="Q914" s="1">
        <f t="shared" si="211"/>
        <v>1</v>
      </c>
      <c r="R914" s="1">
        <f t="shared" si="212"/>
        <v>1</v>
      </c>
      <c r="S914" s="1">
        <f t="shared" si="213"/>
        <v>1</v>
      </c>
      <c r="T914" s="1">
        <f t="shared" si="214"/>
        <v>1</v>
      </c>
      <c r="U914" s="26">
        <f t="shared" si="215"/>
        <v>1</v>
      </c>
      <c r="V914" s="26">
        <f t="shared" si="216"/>
        <v>1</v>
      </c>
      <c r="W914" s="1">
        <f t="shared" si="217"/>
        <v>1</v>
      </c>
      <c r="X914" s="26">
        <f t="shared" si="218"/>
        <v>1</v>
      </c>
      <c r="Y914" s="26">
        <f t="shared" si="219"/>
        <v>0</v>
      </c>
      <c r="Z914" s="1">
        <f t="shared" si="220"/>
        <v>1</v>
      </c>
      <c r="AA914"/>
      <c r="AB914"/>
    </row>
    <row r="915" spans="1:28" x14ac:dyDescent="0.55000000000000004">
      <c r="A915" s="1">
        <f t="shared" si="207"/>
        <v>915</v>
      </c>
      <c r="B915" t="s">
        <v>37</v>
      </c>
      <c r="C915" t="s">
        <v>126</v>
      </c>
      <c r="D915" t="s">
        <v>174</v>
      </c>
      <c r="E915" t="s">
        <v>1314</v>
      </c>
      <c r="F915" t="s">
        <v>315</v>
      </c>
      <c r="G915" t="s">
        <v>324</v>
      </c>
      <c r="H915" t="s">
        <v>817</v>
      </c>
      <c r="I915" t="s">
        <v>322</v>
      </c>
      <c r="J915" t="s">
        <v>1315</v>
      </c>
      <c r="K915" t="s">
        <v>885</v>
      </c>
      <c r="L915" t="s">
        <v>866</v>
      </c>
      <c r="M915" t="s">
        <v>28</v>
      </c>
      <c r="N915" s="1">
        <f t="shared" si="208"/>
        <v>4</v>
      </c>
      <c r="O915" s="1">
        <f t="shared" si="209"/>
        <v>1</v>
      </c>
      <c r="P915" s="1">
        <f t="shared" si="210"/>
        <v>5</v>
      </c>
      <c r="Q915" s="1">
        <f t="shared" si="211"/>
        <v>1</v>
      </c>
      <c r="R915" s="1">
        <f t="shared" si="212"/>
        <v>0</v>
      </c>
      <c r="S915" s="1">
        <f t="shared" si="213"/>
        <v>0</v>
      </c>
      <c r="T915" s="1">
        <f t="shared" si="214"/>
        <v>0</v>
      </c>
      <c r="U915" s="26">
        <f t="shared" si="215"/>
        <v>0</v>
      </c>
      <c r="V915" s="26">
        <f t="shared" si="216"/>
        <v>1</v>
      </c>
      <c r="W915" s="1">
        <f t="shared" si="217"/>
        <v>1</v>
      </c>
      <c r="X915" s="26">
        <f t="shared" si="218"/>
        <v>1</v>
      </c>
      <c r="Y915" s="26">
        <f t="shared" si="219"/>
        <v>0</v>
      </c>
      <c r="Z915" s="1">
        <f t="shared" si="220"/>
        <v>1</v>
      </c>
      <c r="AA915"/>
      <c r="AB915"/>
    </row>
    <row r="916" spans="1:28" x14ac:dyDescent="0.55000000000000004">
      <c r="A916" s="1">
        <f t="shared" si="207"/>
        <v>916</v>
      </c>
      <c r="B916" t="s">
        <v>37</v>
      </c>
      <c r="C916" t="s">
        <v>126</v>
      </c>
      <c r="D916" t="s">
        <v>174</v>
      </c>
      <c r="E916" t="s">
        <v>1314</v>
      </c>
      <c r="F916" t="s">
        <v>315</v>
      </c>
      <c r="G916" t="s">
        <v>321</v>
      </c>
      <c r="H916" t="s">
        <v>687</v>
      </c>
      <c r="I916" t="s">
        <v>316</v>
      </c>
      <c r="J916" t="s">
        <v>1316</v>
      </c>
      <c r="K916" t="s">
        <v>323</v>
      </c>
      <c r="L916" t="s">
        <v>870</v>
      </c>
      <c r="M916" t="s">
        <v>28</v>
      </c>
      <c r="N916" s="1">
        <f t="shared" si="208"/>
        <v>4</v>
      </c>
      <c r="O916" s="1">
        <f t="shared" si="209"/>
        <v>0</v>
      </c>
      <c r="P916" s="1">
        <f t="shared" si="210"/>
        <v>4</v>
      </c>
      <c r="Q916" s="1">
        <f t="shared" si="211"/>
        <v>1</v>
      </c>
      <c r="R916" s="1">
        <f t="shared" si="212"/>
        <v>1</v>
      </c>
      <c r="S916" s="1">
        <f t="shared" si="213"/>
        <v>1</v>
      </c>
      <c r="T916" s="1">
        <f t="shared" si="214"/>
        <v>0</v>
      </c>
      <c r="U916" s="26">
        <f t="shared" si="215"/>
        <v>0</v>
      </c>
      <c r="V916" s="26">
        <f t="shared" si="216"/>
        <v>1</v>
      </c>
      <c r="W916" s="1">
        <f t="shared" si="217"/>
        <v>1</v>
      </c>
      <c r="X916" s="26">
        <f t="shared" si="218"/>
        <v>0</v>
      </c>
      <c r="Y916" s="26">
        <f t="shared" si="219"/>
        <v>0</v>
      </c>
      <c r="Z916" s="1">
        <f t="shared" si="220"/>
        <v>1</v>
      </c>
      <c r="AA916"/>
      <c r="AB916"/>
    </row>
    <row r="917" spans="1:28" x14ac:dyDescent="0.55000000000000004">
      <c r="A917" s="1">
        <f t="shared" si="207"/>
        <v>917</v>
      </c>
      <c r="B917" t="s">
        <v>37</v>
      </c>
      <c r="C917" t="s">
        <v>126</v>
      </c>
      <c r="D917" t="s">
        <v>174</v>
      </c>
      <c r="E917" t="s">
        <v>1314</v>
      </c>
      <c r="F917" t="s">
        <v>315</v>
      </c>
      <c r="G917" t="s">
        <v>312</v>
      </c>
      <c r="H917" t="s">
        <v>573</v>
      </c>
      <c r="I917" t="s">
        <v>318</v>
      </c>
      <c r="J917" t="s">
        <v>1317</v>
      </c>
      <c r="K917" t="s">
        <v>314</v>
      </c>
      <c r="L917" t="s">
        <v>1242</v>
      </c>
      <c r="M917" t="s">
        <v>28</v>
      </c>
      <c r="N917" s="1">
        <f t="shared" si="208"/>
        <v>2</v>
      </c>
      <c r="O917" s="1">
        <f t="shared" si="209"/>
        <v>0</v>
      </c>
      <c r="P917" s="1">
        <f t="shared" si="210"/>
        <v>2</v>
      </c>
      <c r="Q917" s="1">
        <f t="shared" si="211"/>
        <v>1</v>
      </c>
      <c r="R917" s="1">
        <f t="shared" si="212"/>
        <v>1</v>
      </c>
      <c r="S917" s="1">
        <f t="shared" si="213"/>
        <v>1</v>
      </c>
      <c r="T917" s="1">
        <f t="shared" si="214"/>
        <v>1</v>
      </c>
      <c r="U917" s="26">
        <f t="shared" si="215"/>
        <v>1</v>
      </c>
      <c r="V917" s="26">
        <f t="shared" si="216"/>
        <v>1</v>
      </c>
      <c r="W917" s="1">
        <f t="shared" si="217"/>
        <v>1</v>
      </c>
      <c r="X917" s="26">
        <f t="shared" si="218"/>
        <v>0</v>
      </c>
      <c r="Y917" s="26">
        <f t="shared" si="219"/>
        <v>0</v>
      </c>
      <c r="Z917" s="1">
        <f t="shared" si="220"/>
        <v>1</v>
      </c>
      <c r="AA917"/>
      <c r="AB917"/>
    </row>
    <row r="918" spans="1:28" x14ac:dyDescent="0.55000000000000004">
      <c r="A918" s="1">
        <f t="shared" si="207"/>
        <v>918</v>
      </c>
      <c r="B918" t="s">
        <v>37</v>
      </c>
      <c r="C918" t="s">
        <v>126</v>
      </c>
      <c r="D918" t="s">
        <v>174</v>
      </c>
      <c r="E918" t="s">
        <v>1314</v>
      </c>
      <c r="F918" t="s">
        <v>315</v>
      </c>
      <c r="G918" t="s">
        <v>326</v>
      </c>
      <c r="H918" t="s">
        <v>590</v>
      </c>
      <c r="I918" t="s">
        <v>313</v>
      </c>
      <c r="J918" t="s">
        <v>1318</v>
      </c>
      <c r="K918" t="s">
        <v>1319</v>
      </c>
      <c r="L918" t="s">
        <v>875</v>
      </c>
      <c r="M918" t="s">
        <v>28</v>
      </c>
      <c r="N918" s="1">
        <f t="shared" si="208"/>
        <v>0</v>
      </c>
      <c r="O918" s="1">
        <f t="shared" si="209"/>
        <v>1</v>
      </c>
      <c r="P918" s="1">
        <f t="shared" si="210"/>
        <v>1</v>
      </c>
      <c r="Q918" s="1">
        <f t="shared" si="211"/>
        <v>1</v>
      </c>
      <c r="R918" s="1">
        <f t="shared" si="212"/>
        <v>1</v>
      </c>
      <c r="S918" s="1">
        <f t="shared" si="213"/>
        <v>1</v>
      </c>
      <c r="T918" s="1">
        <f t="shared" si="214"/>
        <v>1</v>
      </c>
      <c r="U918" s="26">
        <f t="shared" si="215"/>
        <v>0</v>
      </c>
      <c r="V918" s="26">
        <f t="shared" si="216"/>
        <v>0</v>
      </c>
      <c r="W918" s="1">
        <f t="shared" si="217"/>
        <v>1</v>
      </c>
      <c r="X918" s="26">
        <f t="shared" si="218"/>
        <v>1</v>
      </c>
      <c r="Y918" s="26">
        <f t="shared" si="219"/>
        <v>0</v>
      </c>
      <c r="Z918" s="1">
        <f t="shared" si="220"/>
        <v>0</v>
      </c>
      <c r="AA918"/>
      <c r="AB918"/>
    </row>
    <row r="919" spans="1:28" x14ac:dyDescent="0.55000000000000004">
      <c r="A919" s="1">
        <f t="shared" si="207"/>
        <v>919</v>
      </c>
      <c r="B919" t="s">
        <v>37</v>
      </c>
      <c r="C919" t="s">
        <v>126</v>
      </c>
      <c r="D919" t="s">
        <v>174</v>
      </c>
      <c r="E919" t="s">
        <v>1314</v>
      </c>
      <c r="F919" t="s">
        <v>311</v>
      </c>
      <c r="G919" t="s">
        <v>328</v>
      </c>
      <c r="H919" t="s">
        <v>579</v>
      </c>
      <c r="I919" t="s">
        <v>319</v>
      </c>
      <c r="J919" t="s">
        <v>1320</v>
      </c>
      <c r="K919" t="s">
        <v>329</v>
      </c>
      <c r="L919" t="s">
        <v>591</v>
      </c>
      <c r="M919" t="s">
        <v>28</v>
      </c>
      <c r="N919" s="1">
        <f t="shared" si="208"/>
        <v>2</v>
      </c>
      <c r="O919" s="1">
        <f t="shared" si="209"/>
        <v>1</v>
      </c>
      <c r="P919" s="1">
        <f t="shared" si="210"/>
        <v>3</v>
      </c>
      <c r="Q919" s="1">
        <f t="shared" si="211"/>
        <v>1</v>
      </c>
      <c r="R919" s="1">
        <f t="shared" si="212"/>
        <v>1</v>
      </c>
      <c r="S919" s="1">
        <f t="shared" si="213"/>
        <v>1</v>
      </c>
      <c r="T919" s="1">
        <f t="shared" si="214"/>
        <v>1</v>
      </c>
      <c r="U919" s="26">
        <f t="shared" si="215"/>
        <v>1</v>
      </c>
      <c r="V919" s="26">
        <f t="shared" si="216"/>
        <v>1</v>
      </c>
      <c r="W919" s="1">
        <f t="shared" si="217"/>
        <v>1</v>
      </c>
      <c r="X919" s="26">
        <f t="shared" si="218"/>
        <v>1</v>
      </c>
      <c r="Y919" s="26">
        <f t="shared" si="219"/>
        <v>0</v>
      </c>
      <c r="Z919" s="1">
        <f t="shared" si="220"/>
        <v>1</v>
      </c>
      <c r="AA919"/>
      <c r="AB919"/>
    </row>
    <row r="920" spans="1:28" x14ac:dyDescent="0.55000000000000004">
      <c r="A920" s="1">
        <f t="shared" si="207"/>
        <v>920</v>
      </c>
      <c r="B920" t="s">
        <v>40</v>
      </c>
      <c r="C920" t="s">
        <v>111</v>
      </c>
      <c r="D920" t="s">
        <v>133</v>
      </c>
      <c r="E920" t="s">
        <v>1922</v>
      </c>
      <c r="F920" t="s">
        <v>394</v>
      </c>
      <c r="G920" t="s">
        <v>249</v>
      </c>
      <c r="H920" t="s">
        <v>575</v>
      </c>
      <c r="I920" t="s">
        <v>248</v>
      </c>
      <c r="J920" t="s">
        <v>1923</v>
      </c>
      <c r="K920" t="s">
        <v>262</v>
      </c>
      <c r="L920" t="s">
        <v>595</v>
      </c>
      <c r="M920" t="s">
        <v>28</v>
      </c>
      <c r="N920" s="1">
        <f t="shared" si="208"/>
        <v>1</v>
      </c>
      <c r="O920" s="1">
        <f t="shared" si="209"/>
        <v>0</v>
      </c>
      <c r="P920" s="1">
        <f t="shared" si="210"/>
        <v>1</v>
      </c>
      <c r="Q920" s="1">
        <f t="shared" si="211"/>
        <v>1</v>
      </c>
      <c r="R920" s="1">
        <f t="shared" si="212"/>
        <v>1</v>
      </c>
      <c r="S920" s="1">
        <f t="shared" si="213"/>
        <v>1</v>
      </c>
      <c r="T920" s="1">
        <f t="shared" si="214"/>
        <v>1</v>
      </c>
      <c r="U920" s="26">
        <f t="shared" si="215"/>
        <v>1</v>
      </c>
      <c r="V920" s="26">
        <f t="shared" si="216"/>
        <v>0</v>
      </c>
      <c r="W920" s="1">
        <f t="shared" si="217"/>
        <v>1</v>
      </c>
      <c r="X920" s="26">
        <f t="shared" si="218"/>
        <v>0</v>
      </c>
      <c r="Y920" s="26">
        <f t="shared" si="219"/>
        <v>0</v>
      </c>
      <c r="Z920" s="1">
        <f t="shared" si="220"/>
        <v>0</v>
      </c>
      <c r="AA920"/>
      <c r="AB920"/>
    </row>
    <row r="921" spans="1:28" x14ac:dyDescent="0.55000000000000004">
      <c r="A921" s="1">
        <f t="shared" si="207"/>
        <v>921</v>
      </c>
      <c r="B921" t="s">
        <v>40</v>
      </c>
      <c r="C921" t="s">
        <v>111</v>
      </c>
      <c r="D921" t="s">
        <v>133</v>
      </c>
      <c r="E921" t="s">
        <v>1922</v>
      </c>
      <c r="F921" t="s">
        <v>394</v>
      </c>
      <c r="G921" t="s">
        <v>260</v>
      </c>
      <c r="H921" t="s">
        <v>708</v>
      </c>
      <c r="I921" t="s">
        <v>266</v>
      </c>
      <c r="J921" t="s">
        <v>1924</v>
      </c>
      <c r="K921" t="s">
        <v>250</v>
      </c>
      <c r="L921" t="s">
        <v>1018</v>
      </c>
      <c r="M921" t="s">
        <v>28</v>
      </c>
      <c r="N921" s="1">
        <f t="shared" si="208"/>
        <v>0</v>
      </c>
      <c r="O921" s="1">
        <f t="shared" si="209"/>
        <v>0</v>
      </c>
      <c r="P921" s="1">
        <f t="shared" si="210"/>
        <v>0</v>
      </c>
      <c r="Q921" s="1">
        <f t="shared" si="211"/>
        <v>0</v>
      </c>
      <c r="R921" s="1">
        <f t="shared" si="212"/>
        <v>1</v>
      </c>
      <c r="S921" s="1">
        <f t="shared" si="213"/>
        <v>0</v>
      </c>
      <c r="T921" s="1">
        <f t="shared" si="214"/>
        <v>1</v>
      </c>
      <c r="U921" s="26">
        <f t="shared" si="215"/>
        <v>0</v>
      </c>
      <c r="V921" s="26">
        <f t="shared" si="216"/>
        <v>0</v>
      </c>
      <c r="W921" s="1">
        <f t="shared" si="217"/>
        <v>1</v>
      </c>
      <c r="X921" s="26">
        <f t="shared" si="218"/>
        <v>0</v>
      </c>
      <c r="Y921" s="26">
        <f t="shared" si="219"/>
        <v>0</v>
      </c>
      <c r="Z921" s="1">
        <f t="shared" si="220"/>
        <v>0</v>
      </c>
      <c r="AA921"/>
      <c r="AB921"/>
    </row>
    <row r="922" spans="1:28" x14ac:dyDescent="0.55000000000000004">
      <c r="A922" s="1">
        <f t="shared" si="207"/>
        <v>922</v>
      </c>
      <c r="B922" t="s">
        <v>40</v>
      </c>
      <c r="C922" t="s">
        <v>111</v>
      </c>
      <c r="D922" t="s">
        <v>133</v>
      </c>
      <c r="E922" t="s">
        <v>1922</v>
      </c>
      <c r="F922" t="s">
        <v>392</v>
      </c>
      <c r="G922" t="s">
        <v>263</v>
      </c>
      <c r="H922" t="s">
        <v>608</v>
      </c>
      <c r="I922" t="s">
        <v>261</v>
      </c>
      <c r="J922" t="s">
        <v>1925</v>
      </c>
      <c r="K922" t="s">
        <v>264</v>
      </c>
      <c r="L922" t="s">
        <v>1027</v>
      </c>
      <c r="M922" t="s">
        <v>28</v>
      </c>
      <c r="N922" s="1">
        <f t="shared" si="208"/>
        <v>1</v>
      </c>
      <c r="O922" s="1">
        <f t="shared" si="209"/>
        <v>1</v>
      </c>
      <c r="P922" s="1">
        <f t="shared" si="210"/>
        <v>2</v>
      </c>
      <c r="Q922" s="1">
        <f t="shared" si="211"/>
        <v>0</v>
      </c>
      <c r="R922" s="1">
        <f t="shared" si="212"/>
        <v>1</v>
      </c>
      <c r="S922" s="1">
        <f t="shared" si="213"/>
        <v>0</v>
      </c>
      <c r="T922" s="1">
        <f t="shared" si="214"/>
        <v>1</v>
      </c>
      <c r="U922" s="26">
        <f t="shared" si="215"/>
        <v>1</v>
      </c>
      <c r="V922" s="26">
        <f t="shared" si="216"/>
        <v>0</v>
      </c>
      <c r="W922" s="1">
        <f t="shared" si="217"/>
        <v>1</v>
      </c>
      <c r="X922" s="26">
        <f t="shared" si="218"/>
        <v>1</v>
      </c>
      <c r="Y922" s="26">
        <f t="shared" si="219"/>
        <v>0</v>
      </c>
      <c r="Z922" s="1">
        <f t="shared" si="220"/>
        <v>1</v>
      </c>
      <c r="AA922"/>
      <c r="AB922"/>
    </row>
    <row r="923" spans="1:28" x14ac:dyDescent="0.55000000000000004">
      <c r="A923" s="1">
        <f t="shared" si="207"/>
        <v>923</v>
      </c>
      <c r="B923" t="s">
        <v>40</v>
      </c>
      <c r="C923" t="s">
        <v>111</v>
      </c>
      <c r="D923" t="s">
        <v>133</v>
      </c>
      <c r="E923" t="s">
        <v>1922</v>
      </c>
      <c r="F923" t="s">
        <v>392</v>
      </c>
      <c r="G923" t="s">
        <v>265</v>
      </c>
      <c r="H923" t="s">
        <v>1340</v>
      </c>
      <c r="I923" t="s">
        <v>256</v>
      </c>
      <c r="J923" t="s">
        <v>1926</v>
      </c>
      <c r="K923" t="s">
        <v>344</v>
      </c>
      <c r="L923" t="s">
        <v>1030</v>
      </c>
      <c r="M923" t="s">
        <v>28</v>
      </c>
      <c r="N923" s="1">
        <f t="shared" si="208"/>
        <v>2</v>
      </c>
      <c r="O923" s="1">
        <f t="shared" si="209"/>
        <v>5</v>
      </c>
      <c r="P923" s="1">
        <f t="shared" si="210"/>
        <v>7</v>
      </c>
      <c r="Q923" s="1">
        <f t="shared" si="211"/>
        <v>1</v>
      </c>
      <c r="R923" s="1">
        <f t="shared" si="212"/>
        <v>0</v>
      </c>
      <c r="S923" s="1">
        <f t="shared" si="213"/>
        <v>0</v>
      </c>
      <c r="T923" s="1">
        <f t="shared" si="214"/>
        <v>1</v>
      </c>
      <c r="U923" s="26">
        <f t="shared" si="215"/>
        <v>1</v>
      </c>
      <c r="V923" s="26">
        <f t="shared" si="216"/>
        <v>1</v>
      </c>
      <c r="W923" s="1">
        <f t="shared" si="217"/>
        <v>0</v>
      </c>
      <c r="X923" s="26">
        <f t="shared" si="218"/>
        <v>0</v>
      </c>
      <c r="Y923" s="26">
        <f t="shared" si="219"/>
        <v>1</v>
      </c>
      <c r="Z923" s="1">
        <f t="shared" si="220"/>
        <v>1</v>
      </c>
      <c r="AA923"/>
      <c r="AB923"/>
    </row>
    <row r="924" spans="1:28" x14ac:dyDescent="0.55000000000000004">
      <c r="A924" s="1">
        <f t="shared" si="207"/>
        <v>924</v>
      </c>
      <c r="B924" t="s">
        <v>40</v>
      </c>
      <c r="C924" t="s">
        <v>111</v>
      </c>
      <c r="D924" t="s">
        <v>133</v>
      </c>
      <c r="E924" t="s">
        <v>1922</v>
      </c>
      <c r="F924" t="s">
        <v>251</v>
      </c>
      <c r="G924" t="s">
        <v>252</v>
      </c>
      <c r="H924" t="s">
        <v>739</v>
      </c>
      <c r="I924" t="s">
        <v>258</v>
      </c>
      <c r="J924" t="s">
        <v>1927</v>
      </c>
      <c r="K924" t="s">
        <v>254</v>
      </c>
      <c r="L924" t="s">
        <v>1025</v>
      </c>
      <c r="M924" t="s">
        <v>28</v>
      </c>
      <c r="N924" s="1">
        <f t="shared" si="208"/>
        <v>0</v>
      </c>
      <c r="O924" s="1">
        <f t="shared" si="209"/>
        <v>3</v>
      </c>
      <c r="P924" s="1">
        <f t="shared" si="210"/>
        <v>3</v>
      </c>
      <c r="Q924" s="1">
        <f t="shared" si="211"/>
        <v>1</v>
      </c>
      <c r="R924" s="1">
        <f t="shared" si="212"/>
        <v>1</v>
      </c>
      <c r="S924" s="1">
        <f t="shared" si="213"/>
        <v>1</v>
      </c>
      <c r="T924" s="1">
        <f t="shared" si="214"/>
        <v>1</v>
      </c>
      <c r="U924" s="26">
        <f t="shared" si="215"/>
        <v>0</v>
      </c>
      <c r="V924" s="26">
        <f t="shared" si="216"/>
        <v>0</v>
      </c>
      <c r="W924" s="1">
        <f t="shared" si="217"/>
        <v>0</v>
      </c>
      <c r="X924" s="26">
        <f t="shared" si="218"/>
        <v>1</v>
      </c>
      <c r="Y924" s="26">
        <f t="shared" si="219"/>
        <v>1</v>
      </c>
      <c r="Z924" s="1">
        <f t="shared" si="220"/>
        <v>1</v>
      </c>
      <c r="AA924"/>
      <c r="AB924"/>
    </row>
    <row r="925" spans="1:28" x14ac:dyDescent="0.55000000000000004">
      <c r="A925" s="1">
        <f t="shared" si="207"/>
        <v>925</v>
      </c>
      <c r="B925" t="s">
        <v>40</v>
      </c>
      <c r="C925" t="s">
        <v>111</v>
      </c>
      <c r="D925" t="s">
        <v>133</v>
      </c>
      <c r="E925" t="s">
        <v>1922</v>
      </c>
      <c r="F925" t="s">
        <v>251</v>
      </c>
      <c r="G925" t="s">
        <v>253</v>
      </c>
      <c r="H925" t="s">
        <v>565</v>
      </c>
      <c r="I925" t="s">
        <v>255</v>
      </c>
      <c r="J925" t="s">
        <v>1928</v>
      </c>
      <c r="K925" t="s">
        <v>395</v>
      </c>
      <c r="L925" t="s">
        <v>594</v>
      </c>
      <c r="M925" t="s">
        <v>28</v>
      </c>
      <c r="N925" s="1">
        <f t="shared" si="208"/>
        <v>2</v>
      </c>
      <c r="O925" s="1">
        <f t="shared" si="209"/>
        <v>3</v>
      </c>
      <c r="P925" s="1">
        <f t="shared" si="210"/>
        <v>5</v>
      </c>
      <c r="Q925" s="1">
        <f t="shared" si="211"/>
        <v>1</v>
      </c>
      <c r="R925" s="1">
        <f t="shared" si="212"/>
        <v>0</v>
      </c>
      <c r="S925" s="1">
        <f t="shared" si="213"/>
        <v>0</v>
      </c>
      <c r="T925" s="1">
        <f t="shared" si="214"/>
        <v>1</v>
      </c>
      <c r="U925" s="26">
        <f t="shared" si="215"/>
        <v>1</v>
      </c>
      <c r="V925" s="26">
        <f t="shared" si="216"/>
        <v>1</v>
      </c>
      <c r="W925" s="1">
        <f t="shared" si="217"/>
        <v>0</v>
      </c>
      <c r="X925" s="26">
        <f t="shared" si="218"/>
        <v>1</v>
      </c>
      <c r="Y925" s="26">
        <f t="shared" si="219"/>
        <v>1</v>
      </c>
      <c r="Z925" s="1">
        <f t="shared" si="220"/>
        <v>1</v>
      </c>
      <c r="AA925"/>
      <c r="AB925"/>
    </row>
    <row r="926" spans="1:28" x14ac:dyDescent="0.55000000000000004">
      <c r="A926" s="1">
        <f t="shared" si="207"/>
        <v>926</v>
      </c>
      <c r="B926" t="s">
        <v>40</v>
      </c>
      <c r="C926" t="s">
        <v>114</v>
      </c>
      <c r="D926" t="s">
        <v>177</v>
      </c>
      <c r="E926" t="s">
        <v>1159</v>
      </c>
      <c r="F926" t="s">
        <v>247</v>
      </c>
      <c r="G926" t="s">
        <v>248</v>
      </c>
      <c r="H926" t="s">
        <v>581</v>
      </c>
      <c r="I926" t="s">
        <v>261</v>
      </c>
      <c r="J926" t="s">
        <v>1160</v>
      </c>
      <c r="K926" t="s">
        <v>250</v>
      </c>
      <c r="L926" t="s">
        <v>1030</v>
      </c>
      <c r="M926" t="s">
        <v>28</v>
      </c>
      <c r="N926" s="1">
        <f t="shared" si="208"/>
        <v>1</v>
      </c>
      <c r="O926" s="1">
        <f t="shared" si="209"/>
        <v>2</v>
      </c>
      <c r="P926" s="1">
        <f t="shared" si="210"/>
        <v>3</v>
      </c>
      <c r="Q926" s="1">
        <f t="shared" si="211"/>
        <v>1</v>
      </c>
      <c r="R926" s="1">
        <f t="shared" si="212"/>
        <v>1</v>
      </c>
      <c r="S926" s="1">
        <f t="shared" si="213"/>
        <v>1</v>
      </c>
      <c r="T926" s="1">
        <f t="shared" si="214"/>
        <v>1</v>
      </c>
      <c r="U926" s="26">
        <f t="shared" si="215"/>
        <v>1</v>
      </c>
      <c r="V926" s="26">
        <f t="shared" si="216"/>
        <v>0</v>
      </c>
      <c r="W926" s="1">
        <f t="shared" si="217"/>
        <v>1</v>
      </c>
      <c r="X926" s="26">
        <f t="shared" si="218"/>
        <v>1</v>
      </c>
      <c r="Y926" s="26">
        <f t="shared" si="219"/>
        <v>1</v>
      </c>
      <c r="Z926" s="1">
        <f t="shared" si="220"/>
        <v>1</v>
      </c>
      <c r="AA926"/>
      <c r="AB926"/>
    </row>
    <row r="927" spans="1:28" x14ac:dyDescent="0.55000000000000004">
      <c r="A927" s="1">
        <f t="shared" si="207"/>
        <v>927</v>
      </c>
      <c r="B927" t="s">
        <v>40</v>
      </c>
      <c r="C927" t="s">
        <v>114</v>
      </c>
      <c r="D927" t="s">
        <v>177</v>
      </c>
      <c r="E927" t="s">
        <v>1159</v>
      </c>
      <c r="F927" t="s">
        <v>247</v>
      </c>
      <c r="G927" t="s">
        <v>256</v>
      </c>
      <c r="H927" t="s">
        <v>881</v>
      </c>
      <c r="I927" t="s">
        <v>260</v>
      </c>
      <c r="J927" t="s">
        <v>1161</v>
      </c>
      <c r="K927" t="s">
        <v>416</v>
      </c>
      <c r="L927" t="s">
        <v>1027</v>
      </c>
      <c r="M927" t="s">
        <v>28</v>
      </c>
      <c r="N927" s="1">
        <f t="shared" si="208"/>
        <v>3</v>
      </c>
      <c r="O927" s="1">
        <f t="shared" si="209"/>
        <v>3</v>
      </c>
      <c r="P927" s="1">
        <f t="shared" si="210"/>
        <v>6</v>
      </c>
      <c r="Q927" s="1">
        <f t="shared" si="211"/>
        <v>0</v>
      </c>
      <c r="R927" s="1">
        <f t="shared" si="212"/>
        <v>0</v>
      </c>
      <c r="S927" s="1">
        <f t="shared" si="213"/>
        <v>0</v>
      </c>
      <c r="T927" s="1">
        <f t="shared" si="214"/>
        <v>0</v>
      </c>
      <c r="U927" s="26">
        <f t="shared" si="215"/>
        <v>1</v>
      </c>
      <c r="V927" s="26">
        <f t="shared" si="216"/>
        <v>1</v>
      </c>
      <c r="W927" s="1">
        <f t="shared" si="217"/>
        <v>0</v>
      </c>
      <c r="X927" s="26">
        <f t="shared" si="218"/>
        <v>1</v>
      </c>
      <c r="Y927" s="26">
        <f t="shared" si="219"/>
        <v>1</v>
      </c>
      <c r="Z927" s="1">
        <f t="shared" si="220"/>
        <v>1</v>
      </c>
      <c r="AA927"/>
      <c r="AB927"/>
    </row>
    <row r="928" spans="1:28" x14ac:dyDescent="0.55000000000000004">
      <c r="A928" s="1">
        <f t="shared" si="207"/>
        <v>928</v>
      </c>
      <c r="B928" t="s">
        <v>40</v>
      </c>
      <c r="C928" t="s">
        <v>114</v>
      </c>
      <c r="D928" t="s">
        <v>177</v>
      </c>
      <c r="E928" t="s">
        <v>1159</v>
      </c>
      <c r="F928" t="s">
        <v>247</v>
      </c>
      <c r="G928" t="s">
        <v>249</v>
      </c>
      <c r="H928" t="s">
        <v>847</v>
      </c>
      <c r="I928" t="s">
        <v>265</v>
      </c>
      <c r="J928" t="s">
        <v>1162</v>
      </c>
      <c r="K928" t="s">
        <v>262</v>
      </c>
      <c r="L928" t="s">
        <v>1016</v>
      </c>
      <c r="M928" t="s">
        <v>28</v>
      </c>
      <c r="N928" s="1">
        <f t="shared" si="208"/>
        <v>5</v>
      </c>
      <c r="O928" s="1">
        <f t="shared" si="209"/>
        <v>0</v>
      </c>
      <c r="P928" s="1">
        <f t="shared" si="210"/>
        <v>5</v>
      </c>
      <c r="Q928" s="1">
        <f t="shared" si="211"/>
        <v>1</v>
      </c>
      <c r="R928" s="1">
        <f t="shared" si="212"/>
        <v>0</v>
      </c>
      <c r="S928" s="1">
        <f t="shared" si="213"/>
        <v>0</v>
      </c>
      <c r="T928" s="1">
        <f t="shared" si="214"/>
        <v>0</v>
      </c>
      <c r="U928" s="26">
        <f t="shared" si="215"/>
        <v>0</v>
      </c>
      <c r="V928" s="26">
        <f t="shared" si="216"/>
        <v>1</v>
      </c>
      <c r="W928" s="1">
        <f t="shared" si="217"/>
        <v>1</v>
      </c>
      <c r="X928" s="26">
        <f t="shared" si="218"/>
        <v>0</v>
      </c>
      <c r="Y928" s="26">
        <f t="shared" si="219"/>
        <v>0</v>
      </c>
      <c r="Z928" s="1">
        <f t="shared" si="220"/>
        <v>1</v>
      </c>
      <c r="AA928"/>
      <c r="AB928"/>
    </row>
    <row r="929" spans="1:28" x14ac:dyDescent="0.55000000000000004">
      <c r="A929" s="1">
        <f t="shared" si="207"/>
        <v>929</v>
      </c>
      <c r="B929" t="s">
        <v>40</v>
      </c>
      <c r="C929" t="s">
        <v>114</v>
      </c>
      <c r="D929" t="s">
        <v>177</v>
      </c>
      <c r="E929" t="s">
        <v>1159</v>
      </c>
      <c r="F929" t="s">
        <v>450</v>
      </c>
      <c r="G929" t="s">
        <v>255</v>
      </c>
      <c r="H929" t="s">
        <v>581</v>
      </c>
      <c r="I929" t="s">
        <v>263</v>
      </c>
      <c r="J929" t="s">
        <v>1163</v>
      </c>
      <c r="K929" t="s">
        <v>257</v>
      </c>
      <c r="L929" t="s">
        <v>1014</v>
      </c>
      <c r="M929" t="s">
        <v>28</v>
      </c>
      <c r="N929" s="1">
        <f t="shared" si="208"/>
        <v>1</v>
      </c>
      <c r="O929" s="1">
        <f t="shared" si="209"/>
        <v>2</v>
      </c>
      <c r="P929" s="1">
        <f t="shared" si="210"/>
        <v>3</v>
      </c>
      <c r="Q929" s="1">
        <f t="shared" si="211"/>
        <v>1</v>
      </c>
      <c r="R929" s="1">
        <f t="shared" si="212"/>
        <v>1</v>
      </c>
      <c r="S929" s="1">
        <f t="shared" si="213"/>
        <v>1</v>
      </c>
      <c r="T929" s="1">
        <f t="shared" si="214"/>
        <v>1</v>
      </c>
      <c r="U929" s="26">
        <f t="shared" si="215"/>
        <v>1</v>
      </c>
      <c r="V929" s="26">
        <f t="shared" si="216"/>
        <v>0</v>
      </c>
      <c r="W929" s="1">
        <f t="shared" si="217"/>
        <v>1</v>
      </c>
      <c r="X929" s="26">
        <f t="shared" si="218"/>
        <v>1</v>
      </c>
      <c r="Y929" s="26">
        <f t="shared" si="219"/>
        <v>1</v>
      </c>
      <c r="Z929" s="1">
        <f t="shared" si="220"/>
        <v>1</v>
      </c>
      <c r="AA929"/>
      <c r="AB929"/>
    </row>
    <row r="930" spans="1:28" x14ac:dyDescent="0.55000000000000004">
      <c r="A930" s="1">
        <f t="shared" si="207"/>
        <v>930</v>
      </c>
      <c r="B930" t="s">
        <v>40</v>
      </c>
      <c r="C930" t="s">
        <v>114</v>
      </c>
      <c r="D930" t="s">
        <v>177</v>
      </c>
      <c r="E930" t="s">
        <v>1159</v>
      </c>
      <c r="F930" t="s">
        <v>450</v>
      </c>
      <c r="G930" t="s">
        <v>258</v>
      </c>
      <c r="H930" t="s">
        <v>575</v>
      </c>
      <c r="I930" t="s">
        <v>253</v>
      </c>
      <c r="J930" t="s">
        <v>1164</v>
      </c>
      <c r="K930" t="s">
        <v>259</v>
      </c>
      <c r="L930" t="s">
        <v>596</v>
      </c>
      <c r="M930" t="s">
        <v>28</v>
      </c>
      <c r="N930" s="1">
        <f t="shared" si="208"/>
        <v>1</v>
      </c>
      <c r="O930" s="1">
        <f t="shared" si="209"/>
        <v>0</v>
      </c>
      <c r="P930" s="1">
        <f t="shared" si="210"/>
        <v>1</v>
      </c>
      <c r="Q930" s="1">
        <f t="shared" si="211"/>
        <v>1</v>
      </c>
      <c r="R930" s="1">
        <f t="shared" si="212"/>
        <v>1</v>
      </c>
      <c r="S930" s="1">
        <f t="shared" si="213"/>
        <v>1</v>
      </c>
      <c r="T930" s="1">
        <f t="shared" si="214"/>
        <v>1</v>
      </c>
      <c r="U930" s="26">
        <f t="shared" si="215"/>
        <v>1</v>
      </c>
      <c r="V930" s="26">
        <f t="shared" si="216"/>
        <v>0</v>
      </c>
      <c r="W930" s="1">
        <f t="shared" si="217"/>
        <v>1</v>
      </c>
      <c r="X930" s="26">
        <f t="shared" si="218"/>
        <v>0</v>
      </c>
      <c r="Y930" s="26">
        <f t="shared" si="219"/>
        <v>0</v>
      </c>
      <c r="Z930" s="1">
        <f t="shared" si="220"/>
        <v>0</v>
      </c>
      <c r="AA930"/>
      <c r="AB930"/>
    </row>
    <row r="931" spans="1:28" x14ac:dyDescent="0.55000000000000004">
      <c r="A931" s="1">
        <f t="shared" si="207"/>
        <v>931</v>
      </c>
      <c r="B931" t="s">
        <v>40</v>
      </c>
      <c r="C931" t="s">
        <v>114</v>
      </c>
      <c r="D931" t="s">
        <v>189</v>
      </c>
      <c r="E931" t="s">
        <v>1019</v>
      </c>
      <c r="F931" t="s">
        <v>1020</v>
      </c>
      <c r="G931" t="s">
        <v>266</v>
      </c>
      <c r="H931" t="s">
        <v>579</v>
      </c>
      <c r="I931" t="s">
        <v>252</v>
      </c>
      <c r="J931" t="s">
        <v>1021</v>
      </c>
      <c r="K931" t="s">
        <v>267</v>
      </c>
      <c r="L931" t="s">
        <v>1022</v>
      </c>
      <c r="M931" t="s">
        <v>28</v>
      </c>
      <c r="N931" s="1">
        <f t="shared" si="208"/>
        <v>2</v>
      </c>
      <c r="O931" s="1">
        <f t="shared" si="209"/>
        <v>1</v>
      </c>
      <c r="P931" s="1">
        <f t="shared" si="210"/>
        <v>3</v>
      </c>
      <c r="Q931" s="1">
        <f t="shared" si="211"/>
        <v>1</v>
      </c>
      <c r="R931" s="1">
        <f t="shared" si="212"/>
        <v>1</v>
      </c>
      <c r="S931" s="1">
        <f t="shared" si="213"/>
        <v>1</v>
      </c>
      <c r="T931" s="1">
        <f t="shared" si="214"/>
        <v>1</v>
      </c>
      <c r="U931" s="26">
        <f t="shared" si="215"/>
        <v>1</v>
      </c>
      <c r="V931" s="26">
        <f t="shared" si="216"/>
        <v>1</v>
      </c>
      <c r="W931" s="1">
        <f t="shared" si="217"/>
        <v>1</v>
      </c>
      <c r="X931" s="26">
        <f t="shared" si="218"/>
        <v>1</v>
      </c>
      <c r="Y931" s="26">
        <f t="shared" si="219"/>
        <v>0</v>
      </c>
      <c r="Z931" s="1">
        <f t="shared" si="220"/>
        <v>1</v>
      </c>
      <c r="AA931"/>
      <c r="AB931"/>
    </row>
    <row r="932" spans="1:28" x14ac:dyDescent="0.55000000000000004">
      <c r="A932" s="1">
        <f t="shared" si="207"/>
        <v>932</v>
      </c>
      <c r="B932" t="s">
        <v>37</v>
      </c>
      <c r="C932" t="s">
        <v>128</v>
      </c>
      <c r="D932" t="s">
        <v>174</v>
      </c>
      <c r="E932" t="s">
        <v>1321</v>
      </c>
      <c r="F932" t="s">
        <v>315</v>
      </c>
      <c r="G932" t="s">
        <v>326</v>
      </c>
      <c r="H932" t="s">
        <v>579</v>
      </c>
      <c r="I932" t="s">
        <v>324</v>
      </c>
      <c r="J932" t="s">
        <v>1322</v>
      </c>
      <c r="K932" t="s">
        <v>389</v>
      </c>
      <c r="L932" t="s">
        <v>1280</v>
      </c>
      <c r="M932" t="s">
        <v>28</v>
      </c>
      <c r="N932" s="1">
        <f t="shared" si="208"/>
        <v>2</v>
      </c>
      <c r="O932" s="1">
        <f t="shared" si="209"/>
        <v>1</v>
      </c>
      <c r="P932" s="1">
        <f t="shared" si="210"/>
        <v>3</v>
      </c>
      <c r="Q932" s="1">
        <f t="shared" si="211"/>
        <v>1</v>
      </c>
      <c r="R932" s="1">
        <f t="shared" si="212"/>
        <v>1</v>
      </c>
      <c r="S932" s="1">
        <f t="shared" si="213"/>
        <v>1</v>
      </c>
      <c r="T932" s="1">
        <f t="shared" si="214"/>
        <v>1</v>
      </c>
      <c r="U932" s="26">
        <f t="shared" si="215"/>
        <v>1</v>
      </c>
      <c r="V932" s="26">
        <f t="shared" si="216"/>
        <v>1</v>
      </c>
      <c r="W932" s="1">
        <f t="shared" si="217"/>
        <v>1</v>
      </c>
      <c r="X932" s="26">
        <f t="shared" si="218"/>
        <v>1</v>
      </c>
      <c r="Y932" s="26">
        <f t="shared" si="219"/>
        <v>0</v>
      </c>
      <c r="Z932" s="1">
        <f t="shared" si="220"/>
        <v>1</v>
      </c>
      <c r="AA932"/>
      <c r="AB932"/>
    </row>
    <row r="933" spans="1:28" x14ac:dyDescent="0.55000000000000004">
      <c r="A933" s="1">
        <f t="shared" si="207"/>
        <v>933</v>
      </c>
      <c r="B933" t="s">
        <v>37</v>
      </c>
      <c r="C933" t="s">
        <v>128</v>
      </c>
      <c r="D933" t="s">
        <v>174</v>
      </c>
      <c r="E933" t="s">
        <v>1321</v>
      </c>
      <c r="F933" t="s">
        <v>315</v>
      </c>
      <c r="G933" t="s">
        <v>321</v>
      </c>
      <c r="H933" t="s">
        <v>568</v>
      </c>
      <c r="I933" t="s">
        <v>319</v>
      </c>
      <c r="J933" t="s">
        <v>1323</v>
      </c>
      <c r="K933" t="s">
        <v>323</v>
      </c>
      <c r="L933" t="s">
        <v>587</v>
      </c>
      <c r="M933" t="s">
        <v>28</v>
      </c>
      <c r="N933" s="1">
        <f t="shared" si="208"/>
        <v>0</v>
      </c>
      <c r="O933" s="1">
        <f t="shared" si="209"/>
        <v>2</v>
      </c>
      <c r="P933" s="1">
        <f t="shared" si="210"/>
        <v>2</v>
      </c>
      <c r="Q933" s="1">
        <f t="shared" si="211"/>
        <v>1</v>
      </c>
      <c r="R933" s="1">
        <f t="shared" si="212"/>
        <v>1</v>
      </c>
      <c r="S933" s="1">
        <f t="shared" si="213"/>
        <v>1</v>
      </c>
      <c r="T933" s="1">
        <f t="shared" si="214"/>
        <v>1</v>
      </c>
      <c r="U933" s="26">
        <f t="shared" si="215"/>
        <v>0</v>
      </c>
      <c r="V933" s="26">
        <f t="shared" si="216"/>
        <v>0</v>
      </c>
      <c r="W933" s="1">
        <f t="shared" si="217"/>
        <v>1</v>
      </c>
      <c r="X933" s="26">
        <f t="shared" si="218"/>
        <v>1</v>
      </c>
      <c r="Y933" s="26">
        <f t="shared" si="219"/>
        <v>1</v>
      </c>
      <c r="Z933" s="1">
        <f t="shared" si="220"/>
        <v>1</v>
      </c>
      <c r="AA933"/>
      <c r="AB933"/>
    </row>
    <row r="934" spans="1:28" x14ac:dyDescent="0.55000000000000004">
      <c r="A934" s="1">
        <f t="shared" si="207"/>
        <v>934</v>
      </c>
      <c r="B934" t="s">
        <v>37</v>
      </c>
      <c r="C934" t="s">
        <v>128</v>
      </c>
      <c r="D934" t="s">
        <v>174</v>
      </c>
      <c r="E934" t="s">
        <v>1321</v>
      </c>
      <c r="F934" t="s">
        <v>315</v>
      </c>
      <c r="G934" t="s">
        <v>312</v>
      </c>
      <c r="H934" t="s">
        <v>573</v>
      </c>
      <c r="I934" t="s">
        <v>316</v>
      </c>
      <c r="J934" t="s">
        <v>1324</v>
      </c>
      <c r="K934" t="s">
        <v>314</v>
      </c>
      <c r="L934" t="s">
        <v>593</v>
      </c>
      <c r="M934" t="s">
        <v>28</v>
      </c>
      <c r="N934" s="1">
        <f t="shared" si="208"/>
        <v>2</v>
      </c>
      <c r="O934" s="1">
        <f t="shared" si="209"/>
        <v>0</v>
      </c>
      <c r="P934" s="1">
        <f t="shared" si="210"/>
        <v>2</v>
      </c>
      <c r="Q934" s="1">
        <f t="shared" si="211"/>
        <v>1</v>
      </c>
      <c r="R934" s="1">
        <f t="shared" si="212"/>
        <v>1</v>
      </c>
      <c r="S934" s="1">
        <f t="shared" si="213"/>
        <v>1</v>
      </c>
      <c r="T934" s="1">
        <f t="shared" si="214"/>
        <v>1</v>
      </c>
      <c r="U934" s="26">
        <f t="shared" si="215"/>
        <v>1</v>
      </c>
      <c r="V934" s="26">
        <f t="shared" si="216"/>
        <v>1</v>
      </c>
      <c r="W934" s="1">
        <f t="shared" si="217"/>
        <v>1</v>
      </c>
      <c r="X934" s="26">
        <f t="shared" si="218"/>
        <v>0</v>
      </c>
      <c r="Y934" s="26">
        <f t="shared" si="219"/>
        <v>0</v>
      </c>
      <c r="Z934" s="1">
        <f t="shared" si="220"/>
        <v>1</v>
      </c>
      <c r="AA934"/>
      <c r="AB934"/>
    </row>
    <row r="935" spans="1:28" x14ac:dyDescent="0.55000000000000004">
      <c r="A935" s="1">
        <f t="shared" si="207"/>
        <v>935</v>
      </c>
      <c r="B935" t="s">
        <v>37</v>
      </c>
      <c r="C935" t="s">
        <v>128</v>
      </c>
      <c r="D935" t="s">
        <v>174</v>
      </c>
      <c r="E935" t="s">
        <v>1321</v>
      </c>
      <c r="F935" t="s">
        <v>315</v>
      </c>
      <c r="G935" t="s">
        <v>318</v>
      </c>
      <c r="H935" t="s">
        <v>664</v>
      </c>
      <c r="I935" t="s">
        <v>328</v>
      </c>
      <c r="J935" t="s">
        <v>1325</v>
      </c>
      <c r="K935" t="s">
        <v>320</v>
      </c>
      <c r="L935" t="s">
        <v>1295</v>
      </c>
      <c r="M935" t="s">
        <v>28</v>
      </c>
      <c r="N935" s="1">
        <f t="shared" si="208"/>
        <v>2</v>
      </c>
      <c r="O935" s="1">
        <f t="shared" si="209"/>
        <v>2</v>
      </c>
      <c r="P935" s="1">
        <f t="shared" si="210"/>
        <v>4</v>
      </c>
      <c r="Q935" s="1">
        <f t="shared" si="211"/>
        <v>0</v>
      </c>
      <c r="R935" s="1">
        <f t="shared" si="212"/>
        <v>1</v>
      </c>
      <c r="S935" s="1">
        <f t="shared" si="213"/>
        <v>0</v>
      </c>
      <c r="T935" s="1">
        <f t="shared" si="214"/>
        <v>1</v>
      </c>
      <c r="U935" s="26">
        <f t="shared" si="215"/>
        <v>1</v>
      </c>
      <c r="V935" s="26">
        <f t="shared" si="216"/>
        <v>1</v>
      </c>
      <c r="W935" s="1">
        <f t="shared" si="217"/>
        <v>1</v>
      </c>
      <c r="X935" s="26">
        <f t="shared" si="218"/>
        <v>1</v>
      </c>
      <c r="Y935" s="26">
        <f t="shared" si="219"/>
        <v>1</v>
      </c>
      <c r="Z935" s="1">
        <f t="shared" si="220"/>
        <v>1</v>
      </c>
      <c r="AA935"/>
      <c r="AB935"/>
    </row>
    <row r="936" spans="1:28" x14ac:dyDescent="0.55000000000000004">
      <c r="A936" s="1">
        <f t="shared" si="207"/>
        <v>936</v>
      </c>
      <c r="B936" t="s">
        <v>37</v>
      </c>
      <c r="C936" t="s">
        <v>128</v>
      </c>
      <c r="D936" t="s">
        <v>174</v>
      </c>
      <c r="E936" t="s">
        <v>1321</v>
      </c>
      <c r="F936" t="s">
        <v>311</v>
      </c>
      <c r="G936" t="s">
        <v>322</v>
      </c>
      <c r="H936" t="s">
        <v>581</v>
      </c>
      <c r="I936" t="s">
        <v>313</v>
      </c>
      <c r="J936" t="s">
        <v>1326</v>
      </c>
      <c r="K936" t="s">
        <v>331</v>
      </c>
      <c r="L936" t="s">
        <v>1311</v>
      </c>
      <c r="M936" t="s">
        <v>28</v>
      </c>
      <c r="N936" s="1">
        <f t="shared" si="208"/>
        <v>1</v>
      </c>
      <c r="O936" s="1">
        <f t="shared" si="209"/>
        <v>2</v>
      </c>
      <c r="P936" s="1">
        <f t="shared" si="210"/>
        <v>3</v>
      </c>
      <c r="Q936" s="1">
        <f t="shared" si="211"/>
        <v>1</v>
      </c>
      <c r="R936" s="1">
        <f t="shared" si="212"/>
        <v>1</v>
      </c>
      <c r="S936" s="1">
        <f t="shared" si="213"/>
        <v>1</v>
      </c>
      <c r="T936" s="1">
        <f t="shared" si="214"/>
        <v>1</v>
      </c>
      <c r="U936" s="26">
        <f t="shared" si="215"/>
        <v>1</v>
      </c>
      <c r="V936" s="26">
        <f t="shared" si="216"/>
        <v>0</v>
      </c>
      <c r="W936" s="1">
        <f t="shared" si="217"/>
        <v>1</v>
      </c>
      <c r="X936" s="26">
        <f t="shared" si="218"/>
        <v>1</v>
      </c>
      <c r="Y936" s="26">
        <f t="shared" si="219"/>
        <v>1</v>
      </c>
      <c r="Z936" s="1">
        <f t="shared" si="220"/>
        <v>1</v>
      </c>
      <c r="AA936"/>
      <c r="AB936"/>
    </row>
    <row r="937" spans="1:28" x14ac:dyDescent="0.55000000000000004">
      <c r="A937" s="1">
        <f t="shared" si="207"/>
        <v>937</v>
      </c>
      <c r="B937" t="s">
        <v>37</v>
      </c>
      <c r="C937" t="s">
        <v>69</v>
      </c>
      <c r="D937" t="s">
        <v>179</v>
      </c>
      <c r="E937" t="s">
        <v>893</v>
      </c>
      <c r="F937" t="s">
        <v>315</v>
      </c>
      <c r="G937" t="s">
        <v>328</v>
      </c>
      <c r="H937" t="s">
        <v>739</v>
      </c>
      <c r="I937" t="s">
        <v>322</v>
      </c>
      <c r="J937" t="s">
        <v>894</v>
      </c>
      <c r="K937" t="s">
        <v>329</v>
      </c>
      <c r="L937" t="s">
        <v>875</v>
      </c>
      <c r="M937" t="s">
        <v>28</v>
      </c>
      <c r="N937" s="1">
        <f t="shared" si="208"/>
        <v>0</v>
      </c>
      <c r="O937" s="1">
        <f t="shared" si="209"/>
        <v>3</v>
      </c>
      <c r="P937" s="1">
        <f t="shared" si="210"/>
        <v>3</v>
      </c>
      <c r="Q937" s="1">
        <f t="shared" si="211"/>
        <v>1</v>
      </c>
      <c r="R937" s="1">
        <f t="shared" si="212"/>
        <v>1</v>
      </c>
      <c r="S937" s="1">
        <f t="shared" si="213"/>
        <v>1</v>
      </c>
      <c r="T937" s="1">
        <f t="shared" si="214"/>
        <v>1</v>
      </c>
      <c r="U937" s="26">
        <f t="shared" si="215"/>
        <v>0</v>
      </c>
      <c r="V937" s="26">
        <f t="shared" si="216"/>
        <v>0</v>
      </c>
      <c r="W937" s="1">
        <f t="shared" si="217"/>
        <v>0</v>
      </c>
      <c r="X937" s="26">
        <f t="shared" si="218"/>
        <v>1</v>
      </c>
      <c r="Y937" s="26">
        <f t="shared" si="219"/>
        <v>1</v>
      </c>
      <c r="Z937" s="1">
        <f t="shared" si="220"/>
        <v>1</v>
      </c>
      <c r="AA937"/>
      <c r="AB937"/>
    </row>
    <row r="938" spans="1:28" x14ac:dyDescent="0.55000000000000004">
      <c r="A938" s="1">
        <f t="shared" si="207"/>
        <v>938</v>
      </c>
      <c r="B938" t="s">
        <v>37</v>
      </c>
      <c r="C938" t="s">
        <v>69</v>
      </c>
      <c r="D938" t="s">
        <v>179</v>
      </c>
      <c r="E938" t="s">
        <v>893</v>
      </c>
      <c r="F938" t="s">
        <v>311</v>
      </c>
      <c r="G938" t="s">
        <v>319</v>
      </c>
      <c r="H938" t="s">
        <v>608</v>
      </c>
      <c r="I938" t="s">
        <v>324</v>
      </c>
      <c r="J938" t="s">
        <v>895</v>
      </c>
      <c r="K938" t="s">
        <v>330</v>
      </c>
      <c r="L938" t="s">
        <v>861</v>
      </c>
      <c r="M938" t="s">
        <v>28</v>
      </c>
      <c r="N938" s="1">
        <f t="shared" si="208"/>
        <v>1</v>
      </c>
      <c r="O938" s="1">
        <f t="shared" si="209"/>
        <v>1</v>
      </c>
      <c r="P938" s="1">
        <f t="shared" si="210"/>
        <v>2</v>
      </c>
      <c r="Q938" s="1">
        <f t="shared" si="211"/>
        <v>0</v>
      </c>
      <c r="R938" s="1">
        <f t="shared" si="212"/>
        <v>1</v>
      </c>
      <c r="S938" s="1">
        <f t="shared" si="213"/>
        <v>0</v>
      </c>
      <c r="T938" s="1">
        <f t="shared" si="214"/>
        <v>1</v>
      </c>
      <c r="U938" s="26">
        <f t="shared" si="215"/>
        <v>1</v>
      </c>
      <c r="V938" s="26">
        <f t="shared" si="216"/>
        <v>0</v>
      </c>
      <c r="W938" s="1">
        <f t="shared" si="217"/>
        <v>1</v>
      </c>
      <c r="X938" s="26">
        <f t="shared" si="218"/>
        <v>1</v>
      </c>
      <c r="Y938" s="26">
        <f t="shared" si="219"/>
        <v>0</v>
      </c>
      <c r="Z938" s="1">
        <f t="shared" si="220"/>
        <v>1</v>
      </c>
      <c r="AA938"/>
      <c r="AB938"/>
    </row>
    <row r="939" spans="1:28" x14ac:dyDescent="0.55000000000000004">
      <c r="A939" s="1">
        <f t="shared" si="207"/>
        <v>939</v>
      </c>
      <c r="B939" t="s">
        <v>40</v>
      </c>
      <c r="C939" t="s">
        <v>115</v>
      </c>
      <c r="D939" t="s">
        <v>216</v>
      </c>
      <c r="E939" t="s">
        <v>1023</v>
      </c>
      <c r="F939" t="s">
        <v>247</v>
      </c>
      <c r="G939" t="s">
        <v>253</v>
      </c>
      <c r="H939" t="s">
        <v>708</v>
      </c>
      <c r="I939" t="s">
        <v>248</v>
      </c>
      <c r="J939" t="s">
        <v>1024</v>
      </c>
      <c r="K939" t="s">
        <v>395</v>
      </c>
      <c r="L939" t="s">
        <v>1025</v>
      </c>
      <c r="M939" t="s">
        <v>28</v>
      </c>
      <c r="N939" s="1">
        <f t="shared" si="208"/>
        <v>0</v>
      </c>
      <c r="O939" s="1">
        <f t="shared" si="209"/>
        <v>0</v>
      </c>
      <c r="P939" s="1">
        <f t="shared" si="210"/>
        <v>0</v>
      </c>
      <c r="Q939" s="1">
        <f t="shared" si="211"/>
        <v>0</v>
      </c>
      <c r="R939" s="1">
        <f t="shared" si="212"/>
        <v>1</v>
      </c>
      <c r="S939" s="1">
        <f t="shared" si="213"/>
        <v>0</v>
      </c>
      <c r="T939" s="1">
        <f t="shared" si="214"/>
        <v>1</v>
      </c>
      <c r="U939" s="26">
        <f t="shared" si="215"/>
        <v>0</v>
      </c>
      <c r="V939" s="26">
        <f t="shared" si="216"/>
        <v>0</v>
      </c>
      <c r="W939" s="1">
        <f t="shared" si="217"/>
        <v>1</v>
      </c>
      <c r="X939" s="26">
        <f t="shared" si="218"/>
        <v>0</v>
      </c>
      <c r="Y939" s="26">
        <f t="shared" si="219"/>
        <v>0</v>
      </c>
      <c r="Z939" s="1">
        <f t="shared" si="220"/>
        <v>0</v>
      </c>
      <c r="AA939"/>
      <c r="AB939"/>
    </row>
    <row r="940" spans="1:28" x14ac:dyDescent="0.55000000000000004">
      <c r="A940" s="1">
        <f t="shared" si="207"/>
        <v>940</v>
      </c>
      <c r="B940" t="s">
        <v>40</v>
      </c>
      <c r="C940" t="s">
        <v>115</v>
      </c>
      <c r="D940" t="s">
        <v>216</v>
      </c>
      <c r="E940" t="s">
        <v>1023</v>
      </c>
      <c r="F940" t="s">
        <v>247</v>
      </c>
      <c r="G940" t="s">
        <v>263</v>
      </c>
      <c r="H940" t="s">
        <v>678</v>
      </c>
      <c r="I940" t="s">
        <v>266</v>
      </c>
      <c r="J940" t="s">
        <v>1026</v>
      </c>
      <c r="K940" t="s">
        <v>264</v>
      </c>
      <c r="L940" t="s">
        <v>1027</v>
      </c>
      <c r="M940" t="s">
        <v>28</v>
      </c>
      <c r="N940" s="1">
        <f t="shared" si="208"/>
        <v>5</v>
      </c>
      <c r="O940" s="1">
        <f t="shared" si="209"/>
        <v>1</v>
      </c>
      <c r="P940" s="1">
        <f t="shared" si="210"/>
        <v>6</v>
      </c>
      <c r="Q940" s="1">
        <f t="shared" si="211"/>
        <v>1</v>
      </c>
      <c r="R940" s="1">
        <f t="shared" si="212"/>
        <v>0</v>
      </c>
      <c r="S940" s="1">
        <f t="shared" si="213"/>
        <v>0</v>
      </c>
      <c r="T940" s="1">
        <f t="shared" si="214"/>
        <v>0</v>
      </c>
      <c r="U940" s="26">
        <f t="shared" si="215"/>
        <v>0</v>
      </c>
      <c r="V940" s="26">
        <f t="shared" si="216"/>
        <v>1</v>
      </c>
      <c r="W940" s="1">
        <f t="shared" si="217"/>
        <v>1</v>
      </c>
      <c r="X940" s="26">
        <f t="shared" si="218"/>
        <v>1</v>
      </c>
      <c r="Y940" s="26">
        <f t="shared" si="219"/>
        <v>0</v>
      </c>
      <c r="Z940" s="1">
        <f t="shared" si="220"/>
        <v>1</v>
      </c>
      <c r="AA940"/>
      <c r="AB940"/>
    </row>
    <row r="941" spans="1:28" x14ac:dyDescent="0.55000000000000004">
      <c r="A941" s="1">
        <f t="shared" si="207"/>
        <v>941</v>
      </c>
      <c r="B941" t="s">
        <v>40</v>
      </c>
      <c r="C941" t="s">
        <v>115</v>
      </c>
      <c r="D941" t="s">
        <v>216</v>
      </c>
      <c r="E941" t="s">
        <v>1023</v>
      </c>
      <c r="F941" t="s">
        <v>247</v>
      </c>
      <c r="G941" t="s">
        <v>261</v>
      </c>
      <c r="H941" t="s">
        <v>873</v>
      </c>
      <c r="I941" t="s">
        <v>249</v>
      </c>
      <c r="J941" t="s">
        <v>1028</v>
      </c>
      <c r="K941" t="s">
        <v>393</v>
      </c>
      <c r="L941" t="s">
        <v>1014</v>
      </c>
      <c r="M941" t="s">
        <v>28</v>
      </c>
      <c r="N941" s="1">
        <f t="shared" si="208"/>
        <v>4</v>
      </c>
      <c r="O941" s="1">
        <f t="shared" si="209"/>
        <v>3</v>
      </c>
      <c r="P941" s="1">
        <f t="shared" si="210"/>
        <v>7</v>
      </c>
      <c r="Q941" s="1">
        <f t="shared" si="211"/>
        <v>1</v>
      </c>
      <c r="R941" s="1">
        <f t="shared" si="212"/>
        <v>0</v>
      </c>
      <c r="S941" s="1">
        <f t="shared" si="213"/>
        <v>0</v>
      </c>
      <c r="T941" s="1">
        <f t="shared" si="214"/>
        <v>0</v>
      </c>
      <c r="U941" s="26">
        <f t="shared" si="215"/>
        <v>0</v>
      </c>
      <c r="V941" s="26">
        <f t="shared" si="216"/>
        <v>1</v>
      </c>
      <c r="W941" s="1">
        <f t="shared" si="217"/>
        <v>0</v>
      </c>
      <c r="X941" s="26">
        <f t="shared" si="218"/>
        <v>1</v>
      </c>
      <c r="Y941" s="26">
        <f t="shared" si="219"/>
        <v>1</v>
      </c>
      <c r="Z941" s="1">
        <f t="shared" si="220"/>
        <v>1</v>
      </c>
      <c r="AA941"/>
      <c r="AB941"/>
    </row>
    <row r="942" spans="1:28" x14ac:dyDescent="0.55000000000000004">
      <c r="A942" s="1">
        <f t="shared" si="207"/>
        <v>942</v>
      </c>
      <c r="B942" t="s">
        <v>40</v>
      </c>
      <c r="C942" t="s">
        <v>115</v>
      </c>
      <c r="D942" t="s">
        <v>216</v>
      </c>
      <c r="E942" t="s">
        <v>1023</v>
      </c>
      <c r="F942" t="s">
        <v>251</v>
      </c>
      <c r="G942" t="s">
        <v>260</v>
      </c>
      <c r="H942" t="s">
        <v>608</v>
      </c>
      <c r="I942" t="s">
        <v>255</v>
      </c>
      <c r="J942" t="s">
        <v>1029</v>
      </c>
      <c r="K942" t="s">
        <v>250</v>
      </c>
      <c r="L942" t="s">
        <v>1030</v>
      </c>
      <c r="M942" t="s">
        <v>28</v>
      </c>
      <c r="N942" s="1">
        <f t="shared" si="208"/>
        <v>1</v>
      </c>
      <c r="O942" s="1">
        <f t="shared" si="209"/>
        <v>1</v>
      </c>
      <c r="P942" s="1">
        <f t="shared" si="210"/>
        <v>2</v>
      </c>
      <c r="Q942" s="1">
        <f t="shared" si="211"/>
        <v>0</v>
      </c>
      <c r="R942" s="1">
        <f t="shared" si="212"/>
        <v>1</v>
      </c>
      <c r="S942" s="1">
        <f t="shared" si="213"/>
        <v>0</v>
      </c>
      <c r="T942" s="1">
        <f t="shared" si="214"/>
        <v>1</v>
      </c>
      <c r="U942" s="26">
        <f t="shared" si="215"/>
        <v>1</v>
      </c>
      <c r="V942" s="26">
        <f t="shared" si="216"/>
        <v>0</v>
      </c>
      <c r="W942" s="1">
        <f t="shared" si="217"/>
        <v>1</v>
      </c>
      <c r="X942" s="26">
        <f t="shared" si="218"/>
        <v>1</v>
      </c>
      <c r="Y942" s="26">
        <f t="shared" si="219"/>
        <v>0</v>
      </c>
      <c r="Z942" s="1">
        <f t="shared" si="220"/>
        <v>1</v>
      </c>
      <c r="AA942"/>
      <c r="AB942"/>
    </row>
    <row r="943" spans="1:28" x14ac:dyDescent="0.55000000000000004">
      <c r="A943" s="1">
        <f t="shared" si="207"/>
        <v>943</v>
      </c>
      <c r="B943" t="s">
        <v>40</v>
      </c>
      <c r="C943" t="s">
        <v>115</v>
      </c>
      <c r="D943" t="s">
        <v>216</v>
      </c>
      <c r="E943" t="s">
        <v>1023</v>
      </c>
      <c r="F943" t="s">
        <v>251</v>
      </c>
      <c r="G943" t="s">
        <v>265</v>
      </c>
      <c r="H943" t="s">
        <v>608</v>
      </c>
      <c r="I943" t="s">
        <v>258</v>
      </c>
      <c r="J943" t="s">
        <v>1031</v>
      </c>
      <c r="K943" t="s">
        <v>344</v>
      </c>
      <c r="L943" t="s">
        <v>594</v>
      </c>
      <c r="M943" t="s">
        <v>28</v>
      </c>
      <c r="N943" s="1">
        <f t="shared" si="208"/>
        <v>1</v>
      </c>
      <c r="O943" s="1">
        <f t="shared" si="209"/>
        <v>1</v>
      </c>
      <c r="P943" s="1">
        <f t="shared" si="210"/>
        <v>2</v>
      </c>
      <c r="Q943" s="1">
        <f t="shared" si="211"/>
        <v>0</v>
      </c>
      <c r="R943" s="1">
        <f t="shared" si="212"/>
        <v>1</v>
      </c>
      <c r="S943" s="1">
        <f t="shared" si="213"/>
        <v>0</v>
      </c>
      <c r="T943" s="1">
        <f t="shared" si="214"/>
        <v>1</v>
      </c>
      <c r="U943" s="26">
        <f t="shared" si="215"/>
        <v>1</v>
      </c>
      <c r="V943" s="26">
        <f t="shared" si="216"/>
        <v>0</v>
      </c>
      <c r="W943" s="1">
        <f t="shared" si="217"/>
        <v>1</v>
      </c>
      <c r="X943" s="26">
        <f t="shared" si="218"/>
        <v>1</v>
      </c>
      <c r="Y943" s="26">
        <f t="shared" si="219"/>
        <v>0</v>
      </c>
      <c r="Z943" s="1">
        <f t="shared" si="220"/>
        <v>1</v>
      </c>
      <c r="AA943"/>
      <c r="AB943"/>
    </row>
    <row r="944" spans="1:28" x14ac:dyDescent="0.55000000000000004">
      <c r="A944" s="1">
        <f t="shared" si="207"/>
        <v>944</v>
      </c>
      <c r="B944" t="s">
        <v>40</v>
      </c>
      <c r="C944" t="s">
        <v>115</v>
      </c>
      <c r="D944" t="s">
        <v>216</v>
      </c>
      <c r="E944" t="s">
        <v>1023</v>
      </c>
      <c r="F944" t="s">
        <v>182</v>
      </c>
      <c r="G944" t="s">
        <v>252</v>
      </c>
      <c r="H944" t="s">
        <v>584</v>
      </c>
      <c r="I944" t="s">
        <v>256</v>
      </c>
      <c r="J944" t="s">
        <v>1032</v>
      </c>
      <c r="K944" t="s">
        <v>254</v>
      </c>
      <c r="L944" t="s">
        <v>595</v>
      </c>
      <c r="M944" t="s">
        <v>28</v>
      </c>
      <c r="N944" s="1">
        <f t="shared" si="208"/>
        <v>0</v>
      </c>
      <c r="O944" s="1">
        <f t="shared" si="209"/>
        <v>4</v>
      </c>
      <c r="P944" s="1">
        <f t="shared" si="210"/>
        <v>4</v>
      </c>
      <c r="Q944" s="1">
        <f t="shared" si="211"/>
        <v>1</v>
      </c>
      <c r="R944" s="1">
        <f t="shared" si="212"/>
        <v>1</v>
      </c>
      <c r="S944" s="1">
        <f t="shared" si="213"/>
        <v>1</v>
      </c>
      <c r="T944" s="1">
        <f t="shared" si="214"/>
        <v>1</v>
      </c>
      <c r="U944" s="26">
        <f t="shared" si="215"/>
        <v>0</v>
      </c>
      <c r="V944" s="26">
        <f t="shared" si="216"/>
        <v>0</v>
      </c>
      <c r="W944" s="1">
        <f t="shared" si="217"/>
        <v>0</v>
      </c>
      <c r="X944" s="26">
        <f t="shared" si="218"/>
        <v>0</v>
      </c>
      <c r="Y944" s="26">
        <f t="shared" si="219"/>
        <v>1</v>
      </c>
      <c r="Z944" s="1">
        <f t="shared" si="220"/>
        <v>1</v>
      </c>
      <c r="AA944"/>
      <c r="AB944"/>
    </row>
    <row r="945" spans="1:28" x14ac:dyDescent="0.55000000000000004">
      <c r="A945" s="1">
        <f t="shared" si="207"/>
        <v>945</v>
      </c>
      <c r="B945" t="s">
        <v>33</v>
      </c>
      <c r="C945" t="s">
        <v>119</v>
      </c>
      <c r="D945" t="s">
        <v>174</v>
      </c>
      <c r="E945" t="s">
        <v>1218</v>
      </c>
      <c r="F945" t="s">
        <v>277</v>
      </c>
      <c r="G945" t="s">
        <v>285</v>
      </c>
      <c r="H945" t="s">
        <v>1214</v>
      </c>
      <c r="I945" t="s">
        <v>365</v>
      </c>
      <c r="J945" t="s">
        <v>1219</v>
      </c>
      <c r="K945" t="s">
        <v>359</v>
      </c>
      <c r="L945" t="s">
        <v>1044</v>
      </c>
      <c r="M945" t="s">
        <v>28</v>
      </c>
      <c r="N945" s="1">
        <f t="shared" si="208"/>
        <v>4</v>
      </c>
      <c r="O945" s="1">
        <f t="shared" si="209"/>
        <v>2</v>
      </c>
      <c r="P945" s="1">
        <f t="shared" si="210"/>
        <v>6</v>
      </c>
      <c r="Q945" s="1">
        <f t="shared" si="211"/>
        <v>1</v>
      </c>
      <c r="R945" s="1">
        <f t="shared" si="212"/>
        <v>0</v>
      </c>
      <c r="S945" s="1">
        <f t="shared" si="213"/>
        <v>0</v>
      </c>
      <c r="T945" s="1">
        <f t="shared" si="214"/>
        <v>0</v>
      </c>
      <c r="U945" s="26">
        <f t="shared" si="215"/>
        <v>0</v>
      </c>
      <c r="V945" s="26">
        <f t="shared" si="216"/>
        <v>1</v>
      </c>
      <c r="W945" s="1">
        <f t="shared" si="217"/>
        <v>1</v>
      </c>
      <c r="X945" s="26">
        <f t="shared" si="218"/>
        <v>1</v>
      </c>
      <c r="Y945" s="26">
        <f t="shared" si="219"/>
        <v>1</v>
      </c>
      <c r="Z945" s="1">
        <f t="shared" si="220"/>
        <v>1</v>
      </c>
      <c r="AA945"/>
      <c r="AB945"/>
    </row>
    <row r="946" spans="1:28" x14ac:dyDescent="0.55000000000000004">
      <c r="A946" s="1">
        <f t="shared" si="207"/>
        <v>946</v>
      </c>
      <c r="B946" t="s">
        <v>37</v>
      </c>
      <c r="C946" t="s">
        <v>130</v>
      </c>
      <c r="D946" t="s">
        <v>174</v>
      </c>
      <c r="E946" t="s">
        <v>1218</v>
      </c>
      <c r="F946" t="s">
        <v>1327</v>
      </c>
      <c r="G946" t="s">
        <v>319</v>
      </c>
      <c r="H946" t="s">
        <v>570</v>
      </c>
      <c r="I946" t="s">
        <v>326</v>
      </c>
      <c r="J946" t="s">
        <v>1328</v>
      </c>
      <c r="K946" t="s">
        <v>330</v>
      </c>
      <c r="L946" t="s">
        <v>1295</v>
      </c>
      <c r="M946" t="s">
        <v>28</v>
      </c>
      <c r="N946" s="1">
        <f t="shared" si="208"/>
        <v>3</v>
      </c>
      <c r="O946" s="1">
        <f t="shared" si="209"/>
        <v>1</v>
      </c>
      <c r="P946" s="1">
        <f t="shared" si="210"/>
        <v>4</v>
      </c>
      <c r="Q946" s="1">
        <f t="shared" si="211"/>
        <v>1</v>
      </c>
      <c r="R946" s="1">
        <f t="shared" si="212"/>
        <v>1</v>
      </c>
      <c r="S946" s="1">
        <f t="shared" si="213"/>
        <v>1</v>
      </c>
      <c r="T946" s="1">
        <f t="shared" si="214"/>
        <v>0</v>
      </c>
      <c r="U946" s="26">
        <f t="shared" si="215"/>
        <v>1</v>
      </c>
      <c r="V946" s="26">
        <f t="shared" si="216"/>
        <v>1</v>
      </c>
      <c r="W946" s="1">
        <f t="shared" si="217"/>
        <v>1</v>
      </c>
      <c r="X946" s="26">
        <f t="shared" si="218"/>
        <v>1</v>
      </c>
      <c r="Y946" s="26">
        <f t="shared" si="219"/>
        <v>0</v>
      </c>
      <c r="Z946" s="1">
        <f t="shared" si="220"/>
        <v>1</v>
      </c>
      <c r="AA946"/>
      <c r="AB946"/>
    </row>
    <row r="947" spans="1:28" x14ac:dyDescent="0.55000000000000004">
      <c r="A947" s="1">
        <f t="shared" si="207"/>
        <v>947</v>
      </c>
      <c r="B947" t="s">
        <v>37</v>
      </c>
      <c r="C947" t="s">
        <v>130</v>
      </c>
      <c r="D947" t="s">
        <v>174</v>
      </c>
      <c r="E947" t="s">
        <v>1218</v>
      </c>
      <c r="F947" t="s">
        <v>315</v>
      </c>
      <c r="G947" t="s">
        <v>324</v>
      </c>
      <c r="H947" t="s">
        <v>573</v>
      </c>
      <c r="I947" t="s">
        <v>318</v>
      </c>
      <c r="J947" t="s">
        <v>1329</v>
      </c>
      <c r="K947" t="s">
        <v>325</v>
      </c>
      <c r="L947" t="s">
        <v>585</v>
      </c>
      <c r="M947" t="s">
        <v>28</v>
      </c>
      <c r="N947" s="1">
        <f t="shared" si="208"/>
        <v>2</v>
      </c>
      <c r="O947" s="1">
        <f t="shared" si="209"/>
        <v>0</v>
      </c>
      <c r="P947" s="1">
        <f t="shared" si="210"/>
        <v>2</v>
      </c>
      <c r="Q947" s="1">
        <f t="shared" si="211"/>
        <v>1</v>
      </c>
      <c r="R947" s="1">
        <f t="shared" si="212"/>
        <v>1</v>
      </c>
      <c r="S947" s="1">
        <f t="shared" si="213"/>
        <v>1</v>
      </c>
      <c r="T947" s="1">
        <f t="shared" si="214"/>
        <v>1</v>
      </c>
      <c r="U947" s="26">
        <f t="shared" si="215"/>
        <v>1</v>
      </c>
      <c r="V947" s="26">
        <f t="shared" si="216"/>
        <v>1</v>
      </c>
      <c r="W947" s="1">
        <f t="shared" si="217"/>
        <v>1</v>
      </c>
      <c r="X947" s="26">
        <f t="shared" si="218"/>
        <v>0</v>
      </c>
      <c r="Y947" s="26">
        <f t="shared" si="219"/>
        <v>0</v>
      </c>
      <c r="Z947" s="1">
        <f t="shared" si="220"/>
        <v>1</v>
      </c>
      <c r="AA947"/>
      <c r="AB947"/>
    </row>
    <row r="948" spans="1:28" x14ac:dyDescent="0.55000000000000004">
      <c r="A948" s="1">
        <f t="shared" si="207"/>
        <v>948</v>
      </c>
      <c r="B948" t="s">
        <v>37</v>
      </c>
      <c r="C948" t="s">
        <v>130</v>
      </c>
      <c r="D948" t="s">
        <v>174</v>
      </c>
      <c r="E948" t="s">
        <v>1218</v>
      </c>
      <c r="F948" t="s">
        <v>315</v>
      </c>
      <c r="G948" t="s">
        <v>313</v>
      </c>
      <c r="H948" t="s">
        <v>565</v>
      </c>
      <c r="I948" t="s">
        <v>321</v>
      </c>
      <c r="J948" t="s">
        <v>1330</v>
      </c>
      <c r="K948" t="s">
        <v>317</v>
      </c>
      <c r="L948" t="s">
        <v>888</v>
      </c>
      <c r="M948" t="s">
        <v>28</v>
      </c>
      <c r="N948" s="1">
        <f t="shared" si="208"/>
        <v>2</v>
      </c>
      <c r="O948" s="1">
        <f t="shared" si="209"/>
        <v>3</v>
      </c>
      <c r="P948" s="1">
        <f t="shared" si="210"/>
        <v>5</v>
      </c>
      <c r="Q948" s="1">
        <f t="shared" si="211"/>
        <v>1</v>
      </c>
      <c r="R948" s="1">
        <f t="shared" si="212"/>
        <v>0</v>
      </c>
      <c r="S948" s="1">
        <f t="shared" si="213"/>
        <v>0</v>
      </c>
      <c r="T948" s="1">
        <f t="shared" si="214"/>
        <v>1</v>
      </c>
      <c r="U948" s="26">
        <f t="shared" si="215"/>
        <v>1</v>
      </c>
      <c r="V948" s="26">
        <f t="shared" si="216"/>
        <v>1</v>
      </c>
      <c r="W948" s="1">
        <f t="shared" si="217"/>
        <v>0</v>
      </c>
      <c r="X948" s="26">
        <f t="shared" si="218"/>
        <v>1</v>
      </c>
      <c r="Y948" s="26">
        <f t="shared" si="219"/>
        <v>1</v>
      </c>
      <c r="Z948" s="1">
        <f t="shared" si="220"/>
        <v>1</v>
      </c>
      <c r="AA948"/>
      <c r="AB948"/>
    </row>
    <row r="949" spans="1:28" x14ac:dyDescent="0.55000000000000004">
      <c r="A949" s="1">
        <f t="shared" si="207"/>
        <v>949</v>
      </c>
      <c r="B949" t="s">
        <v>37</v>
      </c>
      <c r="C949" t="s">
        <v>130</v>
      </c>
      <c r="D949" t="s">
        <v>174</v>
      </c>
      <c r="E949" t="s">
        <v>1218</v>
      </c>
      <c r="F949" t="s">
        <v>311</v>
      </c>
      <c r="G949" t="s">
        <v>322</v>
      </c>
      <c r="H949" t="s">
        <v>573</v>
      </c>
      <c r="I949" t="s">
        <v>312</v>
      </c>
      <c r="J949" t="s">
        <v>1331</v>
      </c>
      <c r="K949" t="s">
        <v>331</v>
      </c>
      <c r="L949" t="s">
        <v>591</v>
      </c>
      <c r="M949" t="s">
        <v>28</v>
      </c>
      <c r="N949" s="1">
        <f t="shared" si="208"/>
        <v>2</v>
      </c>
      <c r="O949" s="1">
        <f t="shared" si="209"/>
        <v>0</v>
      </c>
      <c r="P949" s="1">
        <f t="shared" si="210"/>
        <v>2</v>
      </c>
      <c r="Q949" s="1">
        <f t="shared" si="211"/>
        <v>1</v>
      </c>
      <c r="R949" s="1">
        <f t="shared" si="212"/>
        <v>1</v>
      </c>
      <c r="S949" s="1">
        <f t="shared" si="213"/>
        <v>1</v>
      </c>
      <c r="T949" s="1">
        <f t="shared" si="214"/>
        <v>1</v>
      </c>
      <c r="U949" s="26">
        <f t="shared" si="215"/>
        <v>1</v>
      </c>
      <c r="V949" s="26">
        <f t="shared" si="216"/>
        <v>1</v>
      </c>
      <c r="W949" s="1">
        <f t="shared" si="217"/>
        <v>1</v>
      </c>
      <c r="X949" s="26">
        <f t="shared" si="218"/>
        <v>0</v>
      </c>
      <c r="Y949" s="26">
        <f t="shared" si="219"/>
        <v>0</v>
      </c>
      <c r="Z949" s="1">
        <f t="shared" si="220"/>
        <v>1</v>
      </c>
      <c r="AA949"/>
      <c r="AB949"/>
    </row>
    <row r="950" spans="1:28" x14ac:dyDescent="0.55000000000000004">
      <c r="A950" s="1">
        <f t="shared" si="207"/>
        <v>950</v>
      </c>
      <c r="B950" t="s">
        <v>33</v>
      </c>
      <c r="C950" t="s">
        <v>119</v>
      </c>
      <c r="D950" t="s">
        <v>133</v>
      </c>
      <c r="E950" t="s">
        <v>1789</v>
      </c>
      <c r="F950" t="s">
        <v>364</v>
      </c>
      <c r="G950" t="s">
        <v>362</v>
      </c>
      <c r="H950" t="s">
        <v>837</v>
      </c>
      <c r="I950" t="s">
        <v>284</v>
      </c>
      <c r="J950" t="s">
        <v>1790</v>
      </c>
      <c r="K950" t="s">
        <v>363</v>
      </c>
      <c r="L950" t="s">
        <v>1445</v>
      </c>
      <c r="M950" t="s">
        <v>28</v>
      </c>
      <c r="N950" s="1">
        <f t="shared" si="208"/>
        <v>1</v>
      </c>
      <c r="O950" s="1">
        <f t="shared" si="209"/>
        <v>5</v>
      </c>
      <c r="P950" s="1">
        <f t="shared" si="210"/>
        <v>6</v>
      </c>
      <c r="Q950" s="1">
        <f t="shared" si="211"/>
        <v>1</v>
      </c>
      <c r="R950" s="1">
        <f t="shared" si="212"/>
        <v>0</v>
      </c>
      <c r="S950" s="1">
        <f t="shared" si="213"/>
        <v>0</v>
      </c>
      <c r="T950" s="1">
        <f t="shared" si="214"/>
        <v>1</v>
      </c>
      <c r="U950" s="26">
        <f t="shared" si="215"/>
        <v>1</v>
      </c>
      <c r="V950" s="26">
        <f t="shared" si="216"/>
        <v>0</v>
      </c>
      <c r="W950" s="1">
        <f t="shared" si="217"/>
        <v>0</v>
      </c>
      <c r="X950" s="26">
        <f t="shared" si="218"/>
        <v>0</v>
      </c>
      <c r="Y950" s="26">
        <f t="shared" si="219"/>
        <v>1</v>
      </c>
      <c r="Z950" s="1">
        <f t="shared" si="220"/>
        <v>1</v>
      </c>
      <c r="AA950"/>
      <c r="AB950"/>
    </row>
    <row r="951" spans="1:28" x14ac:dyDescent="0.55000000000000004">
      <c r="A951" s="1">
        <f t="shared" si="207"/>
        <v>951</v>
      </c>
      <c r="B951" t="s">
        <v>33</v>
      </c>
      <c r="C951" t="s">
        <v>119</v>
      </c>
      <c r="D951" t="s">
        <v>133</v>
      </c>
      <c r="E951" t="s">
        <v>1789</v>
      </c>
      <c r="F951" t="s">
        <v>277</v>
      </c>
      <c r="G951" t="s">
        <v>282</v>
      </c>
      <c r="H951" t="s">
        <v>565</v>
      </c>
      <c r="I951" t="s">
        <v>367</v>
      </c>
      <c r="J951" t="s">
        <v>1791</v>
      </c>
      <c r="K951" t="s">
        <v>295</v>
      </c>
      <c r="L951" t="s">
        <v>1792</v>
      </c>
      <c r="M951" t="s">
        <v>28</v>
      </c>
      <c r="N951" s="1">
        <f t="shared" si="208"/>
        <v>2</v>
      </c>
      <c r="O951" s="1">
        <f t="shared" si="209"/>
        <v>3</v>
      </c>
      <c r="P951" s="1">
        <f t="shared" si="210"/>
        <v>5</v>
      </c>
      <c r="Q951" s="1">
        <f t="shared" si="211"/>
        <v>1</v>
      </c>
      <c r="R951" s="1">
        <f t="shared" si="212"/>
        <v>0</v>
      </c>
      <c r="S951" s="1">
        <f t="shared" si="213"/>
        <v>0</v>
      </c>
      <c r="T951" s="1">
        <f t="shared" si="214"/>
        <v>1</v>
      </c>
      <c r="U951" s="26">
        <f t="shared" si="215"/>
        <v>1</v>
      </c>
      <c r="V951" s="26">
        <f t="shared" si="216"/>
        <v>1</v>
      </c>
      <c r="W951" s="1">
        <f t="shared" si="217"/>
        <v>0</v>
      </c>
      <c r="X951" s="26">
        <f t="shared" si="218"/>
        <v>1</v>
      </c>
      <c r="Y951" s="26">
        <f t="shared" si="219"/>
        <v>1</v>
      </c>
      <c r="Z951" s="1">
        <f t="shared" si="220"/>
        <v>1</v>
      </c>
      <c r="AA951"/>
      <c r="AB951"/>
    </row>
    <row r="952" spans="1:28" x14ac:dyDescent="0.55000000000000004">
      <c r="A952" s="1">
        <f t="shared" si="207"/>
        <v>952</v>
      </c>
      <c r="B952" t="s">
        <v>33</v>
      </c>
      <c r="C952" t="s">
        <v>119</v>
      </c>
      <c r="D952" t="s">
        <v>133</v>
      </c>
      <c r="E952" t="s">
        <v>1789</v>
      </c>
      <c r="F952" t="s">
        <v>277</v>
      </c>
      <c r="G952" t="s">
        <v>278</v>
      </c>
      <c r="H952" t="s">
        <v>581</v>
      </c>
      <c r="I952" t="s">
        <v>288</v>
      </c>
      <c r="J952" t="s">
        <v>1793</v>
      </c>
      <c r="K952" t="s">
        <v>280</v>
      </c>
      <c r="L952" t="s">
        <v>571</v>
      </c>
      <c r="M952" t="s">
        <v>28</v>
      </c>
      <c r="N952" s="1">
        <f t="shared" si="208"/>
        <v>1</v>
      </c>
      <c r="O952" s="1">
        <f t="shared" si="209"/>
        <v>2</v>
      </c>
      <c r="P952" s="1">
        <f t="shared" si="210"/>
        <v>3</v>
      </c>
      <c r="Q952" s="1">
        <f t="shared" si="211"/>
        <v>1</v>
      </c>
      <c r="R952" s="1">
        <f t="shared" si="212"/>
        <v>1</v>
      </c>
      <c r="S952" s="1">
        <f t="shared" si="213"/>
        <v>1</v>
      </c>
      <c r="T952" s="1">
        <f t="shared" si="214"/>
        <v>1</v>
      </c>
      <c r="U952" s="26">
        <f t="shared" si="215"/>
        <v>1</v>
      </c>
      <c r="V952" s="26">
        <f t="shared" si="216"/>
        <v>0</v>
      </c>
      <c r="W952" s="1">
        <f t="shared" si="217"/>
        <v>1</v>
      </c>
      <c r="X952" s="26">
        <f t="shared" si="218"/>
        <v>1</v>
      </c>
      <c r="Y952" s="26">
        <f t="shared" si="219"/>
        <v>1</v>
      </c>
      <c r="Z952" s="1">
        <f t="shared" si="220"/>
        <v>1</v>
      </c>
      <c r="AA952"/>
      <c r="AB952"/>
    </row>
    <row r="953" spans="1:28" x14ac:dyDescent="0.55000000000000004">
      <c r="A953" s="1">
        <f t="shared" si="207"/>
        <v>953</v>
      </c>
      <c r="B953" t="s">
        <v>33</v>
      </c>
      <c r="C953" t="s">
        <v>119</v>
      </c>
      <c r="D953" t="s">
        <v>133</v>
      </c>
      <c r="E953" t="s">
        <v>1789</v>
      </c>
      <c r="F953" t="s">
        <v>290</v>
      </c>
      <c r="G953" t="s">
        <v>292</v>
      </c>
      <c r="H953" t="s">
        <v>575</v>
      </c>
      <c r="I953" t="s">
        <v>299</v>
      </c>
      <c r="J953" t="s">
        <v>1794</v>
      </c>
      <c r="K953" t="s">
        <v>374</v>
      </c>
      <c r="L953" t="s">
        <v>1055</v>
      </c>
      <c r="M953" t="s">
        <v>28</v>
      </c>
      <c r="N953" s="1">
        <f t="shared" si="208"/>
        <v>1</v>
      </c>
      <c r="O953" s="1">
        <f t="shared" si="209"/>
        <v>0</v>
      </c>
      <c r="P953" s="1">
        <f t="shared" si="210"/>
        <v>1</v>
      </c>
      <c r="Q953" s="1">
        <f t="shared" si="211"/>
        <v>1</v>
      </c>
      <c r="R953" s="1">
        <f t="shared" si="212"/>
        <v>1</v>
      </c>
      <c r="S953" s="1">
        <f t="shared" si="213"/>
        <v>1</v>
      </c>
      <c r="T953" s="1">
        <f t="shared" si="214"/>
        <v>1</v>
      </c>
      <c r="U953" s="26">
        <f t="shared" si="215"/>
        <v>1</v>
      </c>
      <c r="V953" s="26">
        <f t="shared" si="216"/>
        <v>0</v>
      </c>
      <c r="W953" s="1">
        <f t="shared" si="217"/>
        <v>1</v>
      </c>
      <c r="X953" s="26">
        <f t="shared" si="218"/>
        <v>0</v>
      </c>
      <c r="Y953" s="26">
        <f t="shared" si="219"/>
        <v>0</v>
      </c>
      <c r="Z953" s="1">
        <f t="shared" si="220"/>
        <v>0</v>
      </c>
      <c r="AA953"/>
      <c r="AB953"/>
    </row>
    <row r="954" spans="1:28" x14ac:dyDescent="0.55000000000000004">
      <c r="A954" s="1">
        <f t="shared" si="207"/>
        <v>954</v>
      </c>
      <c r="B954" t="s">
        <v>33</v>
      </c>
      <c r="C954" t="s">
        <v>119</v>
      </c>
      <c r="D954" t="s">
        <v>133</v>
      </c>
      <c r="E954" t="s">
        <v>1789</v>
      </c>
      <c r="F954" t="s">
        <v>290</v>
      </c>
      <c r="G954" t="s">
        <v>281</v>
      </c>
      <c r="H954" t="s">
        <v>575</v>
      </c>
      <c r="I954" t="s">
        <v>287</v>
      </c>
      <c r="J954" t="s">
        <v>1795</v>
      </c>
      <c r="K954" t="s">
        <v>283</v>
      </c>
      <c r="L954" t="s">
        <v>1228</v>
      </c>
      <c r="M954" t="s">
        <v>28</v>
      </c>
      <c r="N954" s="1">
        <f t="shared" si="208"/>
        <v>1</v>
      </c>
      <c r="O954" s="1">
        <f t="shared" si="209"/>
        <v>0</v>
      </c>
      <c r="P954" s="1">
        <f t="shared" si="210"/>
        <v>1</v>
      </c>
      <c r="Q954" s="1">
        <f t="shared" si="211"/>
        <v>1</v>
      </c>
      <c r="R954" s="1">
        <f t="shared" si="212"/>
        <v>1</v>
      </c>
      <c r="S954" s="1">
        <f t="shared" si="213"/>
        <v>1</v>
      </c>
      <c r="T954" s="1">
        <f t="shared" si="214"/>
        <v>1</v>
      </c>
      <c r="U954" s="26">
        <f t="shared" si="215"/>
        <v>1</v>
      </c>
      <c r="V954" s="26">
        <f t="shared" si="216"/>
        <v>0</v>
      </c>
      <c r="W954" s="1">
        <f t="shared" si="217"/>
        <v>1</v>
      </c>
      <c r="X954" s="26">
        <f t="shared" si="218"/>
        <v>0</v>
      </c>
      <c r="Y954" s="26">
        <f t="shared" si="219"/>
        <v>0</v>
      </c>
      <c r="Z954" s="1">
        <f t="shared" si="220"/>
        <v>0</v>
      </c>
      <c r="AA954"/>
      <c r="AB954"/>
    </row>
    <row r="955" spans="1:28" x14ac:dyDescent="0.55000000000000004">
      <c r="A955" s="1">
        <f t="shared" si="207"/>
        <v>955</v>
      </c>
      <c r="B955" t="s">
        <v>37</v>
      </c>
      <c r="C955" t="s">
        <v>130</v>
      </c>
      <c r="D955" t="s">
        <v>133</v>
      </c>
      <c r="E955" t="s">
        <v>1789</v>
      </c>
      <c r="F955" t="s">
        <v>315</v>
      </c>
      <c r="G955" t="s">
        <v>316</v>
      </c>
      <c r="H955" t="s">
        <v>664</v>
      </c>
      <c r="I955" t="s">
        <v>328</v>
      </c>
      <c r="J955" t="s">
        <v>1837</v>
      </c>
      <c r="K955" t="s">
        <v>341</v>
      </c>
      <c r="L955" t="s">
        <v>866</v>
      </c>
      <c r="M955" t="s">
        <v>28</v>
      </c>
      <c r="N955" s="1">
        <f t="shared" si="208"/>
        <v>2</v>
      </c>
      <c r="O955" s="1">
        <f t="shared" si="209"/>
        <v>2</v>
      </c>
      <c r="P955" s="1">
        <f t="shared" si="210"/>
        <v>4</v>
      </c>
      <c r="Q955" s="1">
        <f t="shared" si="211"/>
        <v>0</v>
      </c>
      <c r="R955" s="1">
        <f t="shared" si="212"/>
        <v>1</v>
      </c>
      <c r="S955" s="1">
        <f t="shared" si="213"/>
        <v>0</v>
      </c>
      <c r="T955" s="1">
        <f t="shared" si="214"/>
        <v>1</v>
      </c>
      <c r="U955" s="26">
        <f t="shared" si="215"/>
        <v>1</v>
      </c>
      <c r="V955" s="26">
        <f t="shared" si="216"/>
        <v>1</v>
      </c>
      <c r="W955" s="1">
        <f t="shared" si="217"/>
        <v>1</v>
      </c>
      <c r="X955" s="26">
        <f t="shared" si="218"/>
        <v>1</v>
      </c>
      <c r="Y955" s="26">
        <f t="shared" si="219"/>
        <v>1</v>
      </c>
      <c r="Z955" s="1">
        <f t="shared" si="220"/>
        <v>1</v>
      </c>
      <c r="AA955"/>
      <c r="AB955"/>
    </row>
    <row r="956" spans="1:28" x14ac:dyDescent="0.55000000000000004">
      <c r="A956" s="1">
        <f t="shared" si="207"/>
        <v>956</v>
      </c>
      <c r="B956" t="s">
        <v>40</v>
      </c>
      <c r="C956" t="s">
        <v>116</v>
      </c>
      <c r="D956" t="s">
        <v>133</v>
      </c>
      <c r="E956" t="s">
        <v>1789</v>
      </c>
      <c r="F956" t="s">
        <v>396</v>
      </c>
      <c r="G956" t="s">
        <v>249</v>
      </c>
      <c r="H956" t="s">
        <v>664</v>
      </c>
      <c r="I956" t="s">
        <v>255</v>
      </c>
      <c r="J956" t="s">
        <v>1929</v>
      </c>
      <c r="K956" t="s">
        <v>262</v>
      </c>
      <c r="L956" t="s">
        <v>1018</v>
      </c>
      <c r="M956" t="s">
        <v>28</v>
      </c>
      <c r="N956" s="1">
        <f t="shared" si="208"/>
        <v>2</v>
      </c>
      <c r="O956" s="1">
        <f t="shared" si="209"/>
        <v>2</v>
      </c>
      <c r="P956" s="1">
        <f t="shared" si="210"/>
        <v>4</v>
      </c>
      <c r="Q956" s="1">
        <f t="shared" si="211"/>
        <v>0</v>
      </c>
      <c r="R956" s="1">
        <f t="shared" si="212"/>
        <v>1</v>
      </c>
      <c r="S956" s="1">
        <f t="shared" si="213"/>
        <v>0</v>
      </c>
      <c r="T956" s="1">
        <f t="shared" si="214"/>
        <v>1</v>
      </c>
      <c r="U956" s="26">
        <f t="shared" si="215"/>
        <v>1</v>
      </c>
      <c r="V956" s="26">
        <f t="shared" si="216"/>
        <v>1</v>
      </c>
      <c r="W956" s="1">
        <f t="shared" si="217"/>
        <v>1</v>
      </c>
      <c r="X956" s="26">
        <f t="shared" si="218"/>
        <v>1</v>
      </c>
      <c r="Y956" s="26">
        <f t="shared" si="219"/>
        <v>1</v>
      </c>
      <c r="Z956" s="1">
        <f t="shared" si="220"/>
        <v>1</v>
      </c>
      <c r="AA956"/>
      <c r="AB956"/>
    </row>
    <row r="957" spans="1:28" x14ac:dyDescent="0.55000000000000004">
      <c r="A957" s="1">
        <f t="shared" si="207"/>
        <v>957</v>
      </c>
      <c r="B957" t="s">
        <v>40</v>
      </c>
      <c r="C957" t="s">
        <v>116</v>
      </c>
      <c r="D957" t="s">
        <v>133</v>
      </c>
      <c r="E957" t="s">
        <v>1789</v>
      </c>
      <c r="F957" t="s">
        <v>392</v>
      </c>
      <c r="G957" t="s">
        <v>252</v>
      </c>
      <c r="H957" t="s">
        <v>568</v>
      </c>
      <c r="I957" t="s">
        <v>260</v>
      </c>
      <c r="J957" t="s">
        <v>1930</v>
      </c>
      <c r="K957" t="s">
        <v>254</v>
      </c>
      <c r="L957" t="s">
        <v>594</v>
      </c>
      <c r="M957" t="s">
        <v>28</v>
      </c>
      <c r="N957" s="1">
        <f t="shared" si="208"/>
        <v>0</v>
      </c>
      <c r="O957" s="1">
        <f t="shared" si="209"/>
        <v>2</v>
      </c>
      <c r="P957" s="1">
        <f t="shared" si="210"/>
        <v>2</v>
      </c>
      <c r="Q957" s="1">
        <f t="shared" si="211"/>
        <v>1</v>
      </c>
      <c r="R957" s="1">
        <f t="shared" si="212"/>
        <v>1</v>
      </c>
      <c r="S957" s="1">
        <f t="shared" si="213"/>
        <v>1</v>
      </c>
      <c r="T957" s="1">
        <f t="shared" si="214"/>
        <v>1</v>
      </c>
      <c r="U957" s="26">
        <f t="shared" si="215"/>
        <v>0</v>
      </c>
      <c r="V957" s="26">
        <f t="shared" si="216"/>
        <v>0</v>
      </c>
      <c r="W957" s="1">
        <f t="shared" si="217"/>
        <v>1</v>
      </c>
      <c r="X957" s="26">
        <f t="shared" si="218"/>
        <v>1</v>
      </c>
      <c r="Y957" s="26">
        <f t="shared" si="219"/>
        <v>1</v>
      </c>
      <c r="Z957" s="1">
        <f t="shared" si="220"/>
        <v>1</v>
      </c>
      <c r="AA957"/>
      <c r="AB957"/>
    </row>
    <row r="958" spans="1:28" x14ac:dyDescent="0.55000000000000004">
      <c r="A958" s="1">
        <f t="shared" si="207"/>
        <v>958</v>
      </c>
      <c r="B958" t="s">
        <v>40</v>
      </c>
      <c r="C958" t="s">
        <v>116</v>
      </c>
      <c r="D958" t="s">
        <v>133</v>
      </c>
      <c r="E958" t="s">
        <v>1789</v>
      </c>
      <c r="F958" t="s">
        <v>392</v>
      </c>
      <c r="G958" t="s">
        <v>256</v>
      </c>
      <c r="H958" t="s">
        <v>584</v>
      </c>
      <c r="I958" t="s">
        <v>261</v>
      </c>
      <c r="J958" t="s">
        <v>1931</v>
      </c>
      <c r="K958" t="s">
        <v>416</v>
      </c>
      <c r="L958" t="s">
        <v>596</v>
      </c>
      <c r="M958" t="s">
        <v>28</v>
      </c>
      <c r="N958" s="1">
        <f t="shared" si="208"/>
        <v>0</v>
      </c>
      <c r="O958" s="1">
        <f t="shared" si="209"/>
        <v>4</v>
      </c>
      <c r="P958" s="1">
        <f t="shared" si="210"/>
        <v>4</v>
      </c>
      <c r="Q958" s="1">
        <f t="shared" si="211"/>
        <v>1</v>
      </c>
      <c r="R958" s="1">
        <f t="shared" si="212"/>
        <v>1</v>
      </c>
      <c r="S958" s="1">
        <f t="shared" si="213"/>
        <v>1</v>
      </c>
      <c r="T958" s="1">
        <f t="shared" si="214"/>
        <v>1</v>
      </c>
      <c r="U958" s="26">
        <f t="shared" si="215"/>
        <v>0</v>
      </c>
      <c r="V958" s="26">
        <f t="shared" si="216"/>
        <v>0</v>
      </c>
      <c r="W958" s="1">
        <f t="shared" si="217"/>
        <v>0</v>
      </c>
      <c r="X958" s="26">
        <f t="shared" si="218"/>
        <v>0</v>
      </c>
      <c r="Y958" s="26">
        <f t="shared" si="219"/>
        <v>1</v>
      </c>
      <c r="Z958" s="1">
        <f t="shared" si="220"/>
        <v>1</v>
      </c>
      <c r="AA958"/>
      <c r="AB958"/>
    </row>
    <row r="959" spans="1:28" x14ac:dyDescent="0.55000000000000004">
      <c r="A959" s="1">
        <f t="shared" si="207"/>
        <v>959</v>
      </c>
      <c r="B959" t="s">
        <v>40</v>
      </c>
      <c r="C959" t="s">
        <v>116</v>
      </c>
      <c r="D959" t="s">
        <v>133</v>
      </c>
      <c r="E959" t="s">
        <v>1789</v>
      </c>
      <c r="F959" t="s">
        <v>251</v>
      </c>
      <c r="G959" t="s">
        <v>248</v>
      </c>
      <c r="H959" t="s">
        <v>683</v>
      </c>
      <c r="I959" t="s">
        <v>265</v>
      </c>
      <c r="J959" t="s">
        <v>1932</v>
      </c>
      <c r="K959" t="s">
        <v>250</v>
      </c>
      <c r="L959" t="s">
        <v>1014</v>
      </c>
      <c r="M959" t="s">
        <v>28</v>
      </c>
      <c r="N959" s="1">
        <f t="shared" si="208"/>
        <v>3</v>
      </c>
      <c r="O959" s="1">
        <f t="shared" si="209"/>
        <v>2</v>
      </c>
      <c r="P959" s="1">
        <f t="shared" si="210"/>
        <v>5</v>
      </c>
      <c r="Q959" s="1">
        <f t="shared" si="211"/>
        <v>1</v>
      </c>
      <c r="R959" s="1">
        <f t="shared" si="212"/>
        <v>0</v>
      </c>
      <c r="S959" s="1">
        <f t="shared" si="213"/>
        <v>0</v>
      </c>
      <c r="T959" s="1">
        <f t="shared" si="214"/>
        <v>0</v>
      </c>
      <c r="U959" s="26">
        <f t="shared" si="215"/>
        <v>1</v>
      </c>
      <c r="V959" s="26">
        <f t="shared" si="216"/>
        <v>1</v>
      </c>
      <c r="W959" s="1">
        <f t="shared" si="217"/>
        <v>1</v>
      </c>
      <c r="X959" s="26">
        <f t="shared" si="218"/>
        <v>1</v>
      </c>
      <c r="Y959" s="26">
        <f t="shared" si="219"/>
        <v>1</v>
      </c>
      <c r="Z959" s="1">
        <f t="shared" si="220"/>
        <v>1</v>
      </c>
      <c r="AA959"/>
      <c r="AB959"/>
    </row>
    <row r="960" spans="1:28" x14ac:dyDescent="0.55000000000000004">
      <c r="A960" s="1">
        <f t="shared" si="207"/>
        <v>960</v>
      </c>
      <c r="B960" t="s">
        <v>40</v>
      </c>
      <c r="C960" t="s">
        <v>116</v>
      </c>
      <c r="D960" t="s">
        <v>133</v>
      </c>
      <c r="E960" t="s">
        <v>1789</v>
      </c>
      <c r="F960" t="s">
        <v>251</v>
      </c>
      <c r="G960" t="s">
        <v>258</v>
      </c>
      <c r="H960" t="s">
        <v>608</v>
      </c>
      <c r="I960" t="s">
        <v>263</v>
      </c>
      <c r="J960" t="s">
        <v>1933</v>
      </c>
      <c r="K960" t="s">
        <v>259</v>
      </c>
      <c r="L960" t="s">
        <v>1016</v>
      </c>
      <c r="M960" t="s">
        <v>28</v>
      </c>
      <c r="N960" s="1">
        <f t="shared" si="208"/>
        <v>1</v>
      </c>
      <c r="O960" s="1">
        <f t="shared" si="209"/>
        <v>1</v>
      </c>
      <c r="P960" s="1">
        <f t="shared" si="210"/>
        <v>2</v>
      </c>
      <c r="Q960" s="1">
        <f t="shared" si="211"/>
        <v>0</v>
      </c>
      <c r="R960" s="1">
        <f t="shared" si="212"/>
        <v>1</v>
      </c>
      <c r="S960" s="1">
        <f t="shared" si="213"/>
        <v>0</v>
      </c>
      <c r="T960" s="1">
        <f t="shared" si="214"/>
        <v>1</v>
      </c>
      <c r="U960" s="26">
        <f t="shared" si="215"/>
        <v>1</v>
      </c>
      <c r="V960" s="26">
        <f t="shared" si="216"/>
        <v>0</v>
      </c>
      <c r="W960" s="1">
        <f t="shared" si="217"/>
        <v>1</v>
      </c>
      <c r="X960" s="26">
        <f t="shared" si="218"/>
        <v>1</v>
      </c>
      <c r="Y960" s="26">
        <f t="shared" si="219"/>
        <v>0</v>
      </c>
      <c r="Z960" s="1">
        <f t="shared" si="220"/>
        <v>1</v>
      </c>
      <c r="AA960"/>
      <c r="AB960"/>
    </row>
    <row r="961" spans="1:28" x14ac:dyDescent="0.55000000000000004">
      <c r="A961" s="1">
        <f t="shared" si="207"/>
        <v>961</v>
      </c>
      <c r="B961" t="s">
        <v>40</v>
      </c>
      <c r="C961" t="s">
        <v>116</v>
      </c>
      <c r="D961" t="s">
        <v>133</v>
      </c>
      <c r="E961" t="s">
        <v>1789</v>
      </c>
      <c r="F961" t="s">
        <v>450</v>
      </c>
      <c r="G961" t="s">
        <v>266</v>
      </c>
      <c r="H961" t="s">
        <v>608</v>
      </c>
      <c r="I961" t="s">
        <v>253</v>
      </c>
      <c r="J961" t="s">
        <v>1934</v>
      </c>
      <c r="K961" t="s">
        <v>267</v>
      </c>
      <c r="L961" t="s">
        <v>1030</v>
      </c>
      <c r="M961" t="s">
        <v>28</v>
      </c>
      <c r="N961" s="1">
        <f t="shared" si="208"/>
        <v>1</v>
      </c>
      <c r="O961" s="1">
        <f t="shared" si="209"/>
        <v>1</v>
      </c>
      <c r="P961" s="1">
        <f t="shared" si="210"/>
        <v>2</v>
      </c>
      <c r="Q961" s="1">
        <f t="shared" si="211"/>
        <v>0</v>
      </c>
      <c r="R961" s="1">
        <f t="shared" si="212"/>
        <v>1</v>
      </c>
      <c r="S961" s="1">
        <f t="shared" si="213"/>
        <v>0</v>
      </c>
      <c r="T961" s="1">
        <f t="shared" si="214"/>
        <v>1</v>
      </c>
      <c r="U961" s="26">
        <f t="shared" si="215"/>
        <v>1</v>
      </c>
      <c r="V961" s="26">
        <f t="shared" si="216"/>
        <v>0</v>
      </c>
      <c r="W961" s="1">
        <f t="shared" si="217"/>
        <v>1</v>
      </c>
      <c r="X961" s="26">
        <f t="shared" si="218"/>
        <v>1</v>
      </c>
      <c r="Y961" s="26">
        <f t="shared" si="219"/>
        <v>0</v>
      </c>
      <c r="Z961" s="1">
        <f t="shared" si="220"/>
        <v>1</v>
      </c>
      <c r="AA961"/>
      <c r="AB961"/>
    </row>
    <row r="962" spans="1:28" x14ac:dyDescent="0.55000000000000004">
      <c r="A962" s="1">
        <f t="shared" si="207"/>
        <v>962</v>
      </c>
      <c r="B962" t="s">
        <v>33</v>
      </c>
      <c r="C962" t="s">
        <v>119</v>
      </c>
      <c r="D962" t="s">
        <v>42</v>
      </c>
      <c r="E962" t="s">
        <v>1461</v>
      </c>
      <c r="F962" t="s">
        <v>407</v>
      </c>
      <c r="G962" t="s">
        <v>291</v>
      </c>
      <c r="H962" t="s">
        <v>570</v>
      </c>
      <c r="I962" t="s">
        <v>296</v>
      </c>
      <c r="J962" t="s">
        <v>1462</v>
      </c>
      <c r="K962" t="s">
        <v>293</v>
      </c>
      <c r="L962" t="s">
        <v>822</v>
      </c>
      <c r="M962" t="s">
        <v>28</v>
      </c>
      <c r="N962" s="1">
        <f t="shared" si="208"/>
        <v>3</v>
      </c>
      <c r="O962" s="1">
        <f t="shared" si="209"/>
        <v>1</v>
      </c>
      <c r="P962" s="1">
        <f t="shared" si="210"/>
        <v>4</v>
      </c>
      <c r="Q962" s="1">
        <f t="shared" si="211"/>
        <v>1</v>
      </c>
      <c r="R962" s="1">
        <f t="shared" si="212"/>
        <v>1</v>
      </c>
      <c r="S962" s="1">
        <f t="shared" si="213"/>
        <v>1</v>
      </c>
      <c r="T962" s="1">
        <f t="shared" si="214"/>
        <v>0</v>
      </c>
      <c r="U962" s="26">
        <f t="shared" si="215"/>
        <v>1</v>
      </c>
      <c r="V962" s="26">
        <f t="shared" si="216"/>
        <v>1</v>
      </c>
      <c r="W962" s="1">
        <f t="shared" si="217"/>
        <v>1</v>
      </c>
      <c r="X962" s="26">
        <f t="shared" si="218"/>
        <v>1</v>
      </c>
      <c r="Y962" s="26">
        <f t="shared" si="219"/>
        <v>0</v>
      </c>
      <c r="Z962" s="1">
        <f t="shared" si="220"/>
        <v>1</v>
      </c>
      <c r="AA962"/>
      <c r="AB962"/>
    </row>
    <row r="963" spans="1:28" x14ac:dyDescent="0.55000000000000004">
      <c r="A963" s="1">
        <f t="shared" ref="A963:A1026" si="221">A962+1</f>
        <v>963</v>
      </c>
      <c r="B963" t="s">
        <v>33</v>
      </c>
      <c r="C963" t="s">
        <v>119</v>
      </c>
      <c r="D963" t="s">
        <v>42</v>
      </c>
      <c r="E963" t="s">
        <v>1461</v>
      </c>
      <c r="F963" t="s">
        <v>364</v>
      </c>
      <c r="G963" t="s">
        <v>279</v>
      </c>
      <c r="H963" t="s">
        <v>640</v>
      </c>
      <c r="I963" t="s">
        <v>360</v>
      </c>
      <c r="J963" t="s">
        <v>1463</v>
      </c>
      <c r="K963" t="s">
        <v>294</v>
      </c>
      <c r="L963" t="s">
        <v>829</v>
      </c>
      <c r="M963" t="s">
        <v>28</v>
      </c>
      <c r="N963" s="1">
        <f t="shared" ref="N963:N1026" si="222">VALUE(LEFT(H963,1))</f>
        <v>1</v>
      </c>
      <c r="O963" s="1">
        <f t="shared" ref="O963:O1026" si="223">VALUE(RIGHT(H963,1))</f>
        <v>4</v>
      </c>
      <c r="P963" s="1">
        <f t="shared" ref="P963:P1026" si="224">SUM(N963,O963)</f>
        <v>5</v>
      </c>
      <c r="Q963" s="1">
        <f t="shared" ref="Q963:Q1026" si="225">IF(N963&lt;&gt;O963, 1, 0)</f>
        <v>1</v>
      </c>
      <c r="R963" s="1">
        <f t="shared" ref="R963:R1026" si="226">IF(P963&lt;=4,1,0)</f>
        <v>0</v>
      </c>
      <c r="S963" s="1">
        <f t="shared" ref="S963:S1026" si="227">IF(AND(Q963=1,R963=1),1,0)</f>
        <v>0</v>
      </c>
      <c r="T963" s="1">
        <f t="shared" ref="T963:T1026" si="228">IF(N963&lt;=2,1,0)</f>
        <v>1</v>
      </c>
      <c r="U963" s="26">
        <f t="shared" ref="U963:U1026" si="229">IF(AND(N963&gt;=1,N963&lt;=3),1,0)</f>
        <v>1</v>
      </c>
      <c r="V963" s="26">
        <f t="shared" ref="V963:V1026" si="230">IF(AND(N963&gt;=2,N963&lt;=5),1,0)</f>
        <v>0</v>
      </c>
      <c r="W963" s="1">
        <f t="shared" ref="W963:W1026" si="231">IF(O963&lt;=2,1,0)</f>
        <v>0</v>
      </c>
      <c r="X963" s="26">
        <f t="shared" ref="X963:X1026" si="232">IF(AND(O963&gt;=1,O963&lt;=3),1,0)</f>
        <v>0</v>
      </c>
      <c r="Y963" s="26">
        <f t="shared" ref="Y963:Y1026" si="233">IF(AND(O963&gt;=2,O963&lt;=5),1,0)</f>
        <v>1</v>
      </c>
      <c r="Z963" s="1">
        <f t="shared" ref="Z963:Z1026" si="234">IF(P963&gt;=2,1,0)</f>
        <v>1</v>
      </c>
      <c r="AA963"/>
      <c r="AB963"/>
    </row>
    <row r="964" spans="1:28" x14ac:dyDescent="0.55000000000000004">
      <c r="A964" s="1">
        <f t="shared" si="221"/>
        <v>964</v>
      </c>
      <c r="B964" t="s">
        <v>30</v>
      </c>
      <c r="C964" t="s">
        <v>114</v>
      </c>
      <c r="D964" t="s">
        <v>174</v>
      </c>
      <c r="E964" t="s">
        <v>1174</v>
      </c>
      <c r="F964" t="s">
        <v>181</v>
      </c>
      <c r="G964" t="s">
        <v>48</v>
      </c>
      <c r="H964" t="s">
        <v>1175</v>
      </c>
      <c r="I964" t="s">
        <v>55</v>
      </c>
      <c r="J964" t="s">
        <v>1176</v>
      </c>
      <c r="K964" t="s">
        <v>50</v>
      </c>
      <c r="L964" t="s">
        <v>767</v>
      </c>
      <c r="M964" t="s">
        <v>28</v>
      </c>
      <c r="N964" s="1">
        <f t="shared" si="222"/>
        <v>4</v>
      </c>
      <c r="O964" s="1">
        <f t="shared" si="223"/>
        <v>4</v>
      </c>
      <c r="P964" s="1">
        <f t="shared" si="224"/>
        <v>8</v>
      </c>
      <c r="Q964" s="1">
        <f t="shared" si="225"/>
        <v>0</v>
      </c>
      <c r="R964" s="1">
        <f t="shared" si="226"/>
        <v>0</v>
      </c>
      <c r="S964" s="1">
        <f t="shared" si="227"/>
        <v>0</v>
      </c>
      <c r="T964" s="1">
        <f t="shared" si="228"/>
        <v>0</v>
      </c>
      <c r="U964" s="26">
        <f t="shared" si="229"/>
        <v>0</v>
      </c>
      <c r="V964" s="26">
        <f t="shared" si="230"/>
        <v>1</v>
      </c>
      <c r="W964" s="1">
        <f t="shared" si="231"/>
        <v>0</v>
      </c>
      <c r="X964" s="26">
        <f t="shared" si="232"/>
        <v>0</v>
      </c>
      <c r="Y964" s="26">
        <f t="shared" si="233"/>
        <v>1</v>
      </c>
      <c r="Z964" s="1">
        <f t="shared" si="234"/>
        <v>1</v>
      </c>
      <c r="AA964"/>
      <c r="AB964"/>
    </row>
    <row r="965" spans="1:28" x14ac:dyDescent="0.55000000000000004">
      <c r="A965" s="1">
        <f t="shared" si="221"/>
        <v>965</v>
      </c>
      <c r="B965" t="s">
        <v>33</v>
      </c>
      <c r="C965" t="s">
        <v>120</v>
      </c>
      <c r="D965" t="s">
        <v>174</v>
      </c>
      <c r="E965" t="s">
        <v>1174</v>
      </c>
      <c r="F965" t="s">
        <v>290</v>
      </c>
      <c r="G965" t="s">
        <v>365</v>
      </c>
      <c r="H965" t="s">
        <v>579</v>
      </c>
      <c r="I965" t="s">
        <v>278</v>
      </c>
      <c r="J965" t="s">
        <v>1220</v>
      </c>
      <c r="K965" t="s">
        <v>369</v>
      </c>
      <c r="L965" t="s">
        <v>1221</v>
      </c>
      <c r="M965" t="s">
        <v>28</v>
      </c>
      <c r="N965" s="1">
        <f t="shared" si="222"/>
        <v>2</v>
      </c>
      <c r="O965" s="1">
        <f t="shared" si="223"/>
        <v>1</v>
      </c>
      <c r="P965" s="1">
        <f t="shared" si="224"/>
        <v>3</v>
      </c>
      <c r="Q965" s="1">
        <f t="shared" si="225"/>
        <v>1</v>
      </c>
      <c r="R965" s="1">
        <f t="shared" si="226"/>
        <v>1</v>
      </c>
      <c r="S965" s="1">
        <f t="shared" si="227"/>
        <v>1</v>
      </c>
      <c r="T965" s="1">
        <f t="shared" si="228"/>
        <v>1</v>
      </c>
      <c r="U965" s="26">
        <f t="shared" si="229"/>
        <v>1</v>
      </c>
      <c r="V965" s="26">
        <f t="shared" si="230"/>
        <v>1</v>
      </c>
      <c r="W965" s="1">
        <f t="shared" si="231"/>
        <v>1</v>
      </c>
      <c r="X965" s="26">
        <f t="shared" si="232"/>
        <v>1</v>
      </c>
      <c r="Y965" s="26">
        <f t="shared" si="233"/>
        <v>0</v>
      </c>
      <c r="Z965" s="1">
        <f t="shared" si="234"/>
        <v>1</v>
      </c>
      <c r="AA965"/>
      <c r="AB965"/>
    </row>
    <row r="966" spans="1:28" x14ac:dyDescent="0.55000000000000004">
      <c r="A966" s="1">
        <f t="shared" si="221"/>
        <v>966</v>
      </c>
      <c r="B966" t="s">
        <v>37</v>
      </c>
      <c r="C966" t="s">
        <v>194</v>
      </c>
      <c r="D966" t="s">
        <v>174</v>
      </c>
      <c r="E966" t="s">
        <v>1174</v>
      </c>
      <c r="F966" t="s">
        <v>315</v>
      </c>
      <c r="G966" t="s">
        <v>312</v>
      </c>
      <c r="H966" t="s">
        <v>722</v>
      </c>
      <c r="I966" t="s">
        <v>326</v>
      </c>
      <c r="J966" t="s">
        <v>1332</v>
      </c>
      <c r="K966" t="s">
        <v>314</v>
      </c>
      <c r="L966" t="s">
        <v>875</v>
      </c>
      <c r="M966" t="s">
        <v>28</v>
      </c>
      <c r="N966" s="1">
        <f t="shared" si="222"/>
        <v>3</v>
      </c>
      <c r="O966" s="1">
        <f t="shared" si="223"/>
        <v>0</v>
      </c>
      <c r="P966" s="1">
        <f t="shared" si="224"/>
        <v>3</v>
      </c>
      <c r="Q966" s="1">
        <f t="shared" si="225"/>
        <v>1</v>
      </c>
      <c r="R966" s="1">
        <f t="shared" si="226"/>
        <v>1</v>
      </c>
      <c r="S966" s="1">
        <f t="shared" si="227"/>
        <v>1</v>
      </c>
      <c r="T966" s="1">
        <f t="shared" si="228"/>
        <v>0</v>
      </c>
      <c r="U966" s="26">
        <f t="shared" si="229"/>
        <v>1</v>
      </c>
      <c r="V966" s="26">
        <f t="shared" si="230"/>
        <v>1</v>
      </c>
      <c r="W966" s="1">
        <f t="shared" si="231"/>
        <v>1</v>
      </c>
      <c r="X966" s="26">
        <f t="shared" si="232"/>
        <v>0</v>
      </c>
      <c r="Y966" s="26">
        <f t="shared" si="233"/>
        <v>0</v>
      </c>
      <c r="Z966" s="1">
        <f t="shared" si="234"/>
        <v>1</v>
      </c>
      <c r="AA966"/>
      <c r="AB966"/>
    </row>
    <row r="967" spans="1:28" x14ac:dyDescent="0.55000000000000004">
      <c r="A967" s="1">
        <f t="shared" si="221"/>
        <v>967</v>
      </c>
      <c r="B967" t="s">
        <v>37</v>
      </c>
      <c r="C967" t="s">
        <v>194</v>
      </c>
      <c r="D967" t="s">
        <v>174</v>
      </c>
      <c r="E967" t="s">
        <v>1174</v>
      </c>
      <c r="F967" t="s">
        <v>315</v>
      </c>
      <c r="G967" t="s">
        <v>318</v>
      </c>
      <c r="H967" t="s">
        <v>568</v>
      </c>
      <c r="I967" t="s">
        <v>322</v>
      </c>
      <c r="J967" t="s">
        <v>1333</v>
      </c>
      <c r="K967" t="s">
        <v>320</v>
      </c>
      <c r="L967" t="s">
        <v>593</v>
      </c>
      <c r="M967" t="s">
        <v>28</v>
      </c>
      <c r="N967" s="1">
        <f t="shared" si="222"/>
        <v>0</v>
      </c>
      <c r="O967" s="1">
        <f t="shared" si="223"/>
        <v>2</v>
      </c>
      <c r="P967" s="1">
        <f t="shared" si="224"/>
        <v>2</v>
      </c>
      <c r="Q967" s="1">
        <f t="shared" si="225"/>
        <v>1</v>
      </c>
      <c r="R967" s="1">
        <f t="shared" si="226"/>
        <v>1</v>
      </c>
      <c r="S967" s="1">
        <f t="shared" si="227"/>
        <v>1</v>
      </c>
      <c r="T967" s="1">
        <f t="shared" si="228"/>
        <v>1</v>
      </c>
      <c r="U967" s="26">
        <f t="shared" si="229"/>
        <v>0</v>
      </c>
      <c r="V967" s="26">
        <f t="shared" si="230"/>
        <v>0</v>
      </c>
      <c r="W967" s="1">
        <f t="shared" si="231"/>
        <v>1</v>
      </c>
      <c r="X967" s="26">
        <f t="shared" si="232"/>
        <v>1</v>
      </c>
      <c r="Y967" s="26">
        <f t="shared" si="233"/>
        <v>1</v>
      </c>
      <c r="Z967" s="1">
        <f t="shared" si="234"/>
        <v>1</v>
      </c>
      <c r="AA967"/>
      <c r="AB967"/>
    </row>
    <row r="968" spans="1:28" x14ac:dyDescent="0.55000000000000004">
      <c r="A968" s="1">
        <f t="shared" si="221"/>
        <v>968</v>
      </c>
      <c r="B968" t="s">
        <v>37</v>
      </c>
      <c r="C968" t="s">
        <v>194</v>
      </c>
      <c r="D968" t="s">
        <v>174</v>
      </c>
      <c r="E968" t="s">
        <v>1174</v>
      </c>
      <c r="F968" t="s">
        <v>315</v>
      </c>
      <c r="G968" t="s">
        <v>316</v>
      </c>
      <c r="H968" t="s">
        <v>581</v>
      </c>
      <c r="I968" t="s">
        <v>319</v>
      </c>
      <c r="J968" t="s">
        <v>1334</v>
      </c>
      <c r="K968" t="s">
        <v>341</v>
      </c>
      <c r="L968" t="s">
        <v>1311</v>
      </c>
      <c r="M968" t="s">
        <v>28</v>
      </c>
      <c r="N968" s="1">
        <f t="shared" si="222"/>
        <v>1</v>
      </c>
      <c r="O968" s="1">
        <f t="shared" si="223"/>
        <v>2</v>
      </c>
      <c r="P968" s="1">
        <f t="shared" si="224"/>
        <v>3</v>
      </c>
      <c r="Q968" s="1">
        <f t="shared" si="225"/>
        <v>1</v>
      </c>
      <c r="R968" s="1">
        <f t="shared" si="226"/>
        <v>1</v>
      </c>
      <c r="S968" s="1">
        <f t="shared" si="227"/>
        <v>1</v>
      </c>
      <c r="T968" s="1">
        <f t="shared" si="228"/>
        <v>1</v>
      </c>
      <c r="U968" s="26">
        <f t="shared" si="229"/>
        <v>1</v>
      </c>
      <c r="V968" s="26">
        <f t="shared" si="230"/>
        <v>0</v>
      </c>
      <c r="W968" s="1">
        <f t="shared" si="231"/>
        <v>1</v>
      </c>
      <c r="X968" s="26">
        <f t="shared" si="232"/>
        <v>1</v>
      </c>
      <c r="Y968" s="26">
        <f t="shared" si="233"/>
        <v>1</v>
      </c>
      <c r="Z968" s="1">
        <f t="shared" si="234"/>
        <v>1</v>
      </c>
      <c r="AA968"/>
      <c r="AB968"/>
    </row>
    <row r="969" spans="1:28" x14ac:dyDescent="0.55000000000000004">
      <c r="A969" s="1">
        <f t="shared" si="221"/>
        <v>969</v>
      </c>
      <c r="B969" t="s">
        <v>37</v>
      </c>
      <c r="C969" t="s">
        <v>194</v>
      </c>
      <c r="D969" t="s">
        <v>174</v>
      </c>
      <c r="E969" t="s">
        <v>1174</v>
      </c>
      <c r="F969" t="s">
        <v>315</v>
      </c>
      <c r="G969" t="s">
        <v>324</v>
      </c>
      <c r="H969" t="s">
        <v>798</v>
      </c>
      <c r="I969" t="s">
        <v>321</v>
      </c>
      <c r="J969" t="s">
        <v>1335</v>
      </c>
      <c r="K969" t="s">
        <v>325</v>
      </c>
      <c r="L969" t="s">
        <v>870</v>
      </c>
      <c r="M969" t="s">
        <v>28</v>
      </c>
      <c r="N969" s="1">
        <f t="shared" si="222"/>
        <v>2</v>
      </c>
      <c r="O969" s="1">
        <f t="shared" si="223"/>
        <v>4</v>
      </c>
      <c r="P969" s="1">
        <f t="shared" si="224"/>
        <v>6</v>
      </c>
      <c r="Q969" s="1">
        <f t="shared" si="225"/>
        <v>1</v>
      </c>
      <c r="R969" s="1">
        <f t="shared" si="226"/>
        <v>0</v>
      </c>
      <c r="S969" s="1">
        <f t="shared" si="227"/>
        <v>0</v>
      </c>
      <c r="T969" s="1">
        <f t="shared" si="228"/>
        <v>1</v>
      </c>
      <c r="U969" s="26">
        <f t="shared" si="229"/>
        <v>1</v>
      </c>
      <c r="V969" s="26">
        <f t="shared" si="230"/>
        <v>1</v>
      </c>
      <c r="W969" s="1">
        <f t="shared" si="231"/>
        <v>0</v>
      </c>
      <c r="X969" s="26">
        <f t="shared" si="232"/>
        <v>0</v>
      </c>
      <c r="Y969" s="26">
        <f t="shared" si="233"/>
        <v>1</v>
      </c>
      <c r="Z969" s="1">
        <f t="shared" si="234"/>
        <v>1</v>
      </c>
      <c r="AA969"/>
      <c r="AB969"/>
    </row>
    <row r="970" spans="1:28" x14ac:dyDescent="0.55000000000000004">
      <c r="A970" s="1">
        <f t="shared" si="221"/>
        <v>970</v>
      </c>
      <c r="B970" t="s">
        <v>37</v>
      </c>
      <c r="C970" t="s">
        <v>194</v>
      </c>
      <c r="D970" t="s">
        <v>174</v>
      </c>
      <c r="E970" t="s">
        <v>1174</v>
      </c>
      <c r="F970" t="s">
        <v>311</v>
      </c>
      <c r="G970" t="s">
        <v>328</v>
      </c>
      <c r="H970" t="s">
        <v>579</v>
      </c>
      <c r="I970" t="s">
        <v>313</v>
      </c>
      <c r="J970" t="s">
        <v>1336</v>
      </c>
      <c r="K970" t="s">
        <v>329</v>
      </c>
      <c r="L970" t="s">
        <v>861</v>
      </c>
      <c r="M970" t="s">
        <v>28</v>
      </c>
      <c r="N970" s="1">
        <f t="shared" si="222"/>
        <v>2</v>
      </c>
      <c r="O970" s="1">
        <f t="shared" si="223"/>
        <v>1</v>
      </c>
      <c r="P970" s="1">
        <f t="shared" si="224"/>
        <v>3</v>
      </c>
      <c r="Q970" s="1">
        <f t="shared" si="225"/>
        <v>1</v>
      </c>
      <c r="R970" s="1">
        <f t="shared" si="226"/>
        <v>1</v>
      </c>
      <c r="S970" s="1">
        <f t="shared" si="227"/>
        <v>1</v>
      </c>
      <c r="T970" s="1">
        <f t="shared" si="228"/>
        <v>1</v>
      </c>
      <c r="U970" s="26">
        <f t="shared" si="229"/>
        <v>1</v>
      </c>
      <c r="V970" s="26">
        <f t="shared" si="230"/>
        <v>1</v>
      </c>
      <c r="W970" s="1">
        <f t="shared" si="231"/>
        <v>1</v>
      </c>
      <c r="X970" s="26">
        <f t="shared" si="232"/>
        <v>1</v>
      </c>
      <c r="Y970" s="26">
        <f t="shared" si="233"/>
        <v>0</v>
      </c>
      <c r="Z970" s="1">
        <f t="shared" si="234"/>
        <v>1</v>
      </c>
      <c r="AA970"/>
      <c r="AB970"/>
    </row>
    <row r="971" spans="1:28" x14ac:dyDescent="0.55000000000000004">
      <c r="A971" s="1">
        <f t="shared" si="221"/>
        <v>971</v>
      </c>
      <c r="B971" t="s">
        <v>30</v>
      </c>
      <c r="C971" t="s">
        <v>114</v>
      </c>
      <c r="D971" t="s">
        <v>133</v>
      </c>
      <c r="E971" t="s">
        <v>1734</v>
      </c>
      <c r="F971" t="s">
        <v>346</v>
      </c>
      <c r="G971" t="s">
        <v>44</v>
      </c>
      <c r="H971" t="s">
        <v>590</v>
      </c>
      <c r="I971" t="s">
        <v>66</v>
      </c>
      <c r="J971" t="s">
        <v>1735</v>
      </c>
      <c r="K971" t="s">
        <v>46</v>
      </c>
      <c r="L971" t="s">
        <v>774</v>
      </c>
      <c r="M971" t="s">
        <v>28</v>
      </c>
      <c r="N971" s="1">
        <f t="shared" si="222"/>
        <v>0</v>
      </c>
      <c r="O971" s="1">
        <f t="shared" si="223"/>
        <v>1</v>
      </c>
      <c r="P971" s="1">
        <f t="shared" si="224"/>
        <v>1</v>
      </c>
      <c r="Q971" s="1">
        <f t="shared" si="225"/>
        <v>1</v>
      </c>
      <c r="R971" s="1">
        <f t="shared" si="226"/>
        <v>1</v>
      </c>
      <c r="S971" s="1">
        <f t="shared" si="227"/>
        <v>1</v>
      </c>
      <c r="T971" s="1">
        <f t="shared" si="228"/>
        <v>1</v>
      </c>
      <c r="U971" s="26">
        <f t="shared" si="229"/>
        <v>0</v>
      </c>
      <c r="V971" s="26">
        <f t="shared" si="230"/>
        <v>0</v>
      </c>
      <c r="W971" s="1">
        <f t="shared" si="231"/>
        <v>1</v>
      </c>
      <c r="X971" s="26">
        <f t="shared" si="232"/>
        <v>1</v>
      </c>
      <c r="Y971" s="26">
        <f t="shared" si="233"/>
        <v>0</v>
      </c>
      <c r="Z971" s="1">
        <f t="shared" si="234"/>
        <v>0</v>
      </c>
      <c r="AA971"/>
      <c r="AB971"/>
    </row>
    <row r="972" spans="1:28" x14ac:dyDescent="0.55000000000000004">
      <c r="A972" s="1">
        <f t="shared" si="221"/>
        <v>972</v>
      </c>
      <c r="B972" t="s">
        <v>30</v>
      </c>
      <c r="C972" t="s">
        <v>114</v>
      </c>
      <c r="D972" t="s">
        <v>133</v>
      </c>
      <c r="E972" t="s">
        <v>1734</v>
      </c>
      <c r="F972" t="s">
        <v>346</v>
      </c>
      <c r="G972" t="s">
        <v>57</v>
      </c>
      <c r="H972" t="s">
        <v>577</v>
      </c>
      <c r="I972" t="s">
        <v>54</v>
      </c>
      <c r="J972" t="s">
        <v>1736</v>
      </c>
      <c r="K972" t="s">
        <v>59</v>
      </c>
      <c r="L972" t="s">
        <v>794</v>
      </c>
      <c r="M972" t="s">
        <v>28</v>
      </c>
      <c r="N972" s="1">
        <f t="shared" si="222"/>
        <v>1</v>
      </c>
      <c r="O972" s="1">
        <f t="shared" si="223"/>
        <v>3</v>
      </c>
      <c r="P972" s="1">
        <f t="shared" si="224"/>
        <v>4</v>
      </c>
      <c r="Q972" s="1">
        <f t="shared" si="225"/>
        <v>1</v>
      </c>
      <c r="R972" s="1">
        <f t="shared" si="226"/>
        <v>1</v>
      </c>
      <c r="S972" s="1">
        <f t="shared" si="227"/>
        <v>1</v>
      </c>
      <c r="T972" s="1">
        <f t="shared" si="228"/>
        <v>1</v>
      </c>
      <c r="U972" s="26">
        <f t="shared" si="229"/>
        <v>1</v>
      </c>
      <c r="V972" s="26">
        <f t="shared" si="230"/>
        <v>0</v>
      </c>
      <c r="W972" s="1">
        <f t="shared" si="231"/>
        <v>0</v>
      </c>
      <c r="X972" s="26">
        <f t="shared" si="232"/>
        <v>1</v>
      </c>
      <c r="Y972" s="26">
        <f t="shared" si="233"/>
        <v>1</v>
      </c>
      <c r="Z972" s="1">
        <f t="shared" si="234"/>
        <v>1</v>
      </c>
      <c r="AA972"/>
      <c r="AB972"/>
    </row>
    <row r="973" spans="1:28" x14ac:dyDescent="0.55000000000000004">
      <c r="A973" s="1">
        <f t="shared" si="221"/>
        <v>973</v>
      </c>
      <c r="B973" t="s">
        <v>33</v>
      </c>
      <c r="C973" t="s">
        <v>120</v>
      </c>
      <c r="D973" t="s">
        <v>133</v>
      </c>
      <c r="E973" t="s">
        <v>1734</v>
      </c>
      <c r="F973" t="s">
        <v>364</v>
      </c>
      <c r="G973" t="s">
        <v>291</v>
      </c>
      <c r="H973" t="s">
        <v>579</v>
      </c>
      <c r="I973" t="s">
        <v>288</v>
      </c>
      <c r="J973" t="s">
        <v>1796</v>
      </c>
      <c r="K973" t="s">
        <v>293</v>
      </c>
      <c r="L973" t="s">
        <v>1443</v>
      </c>
      <c r="M973" t="s">
        <v>28</v>
      </c>
      <c r="N973" s="1">
        <f t="shared" si="222"/>
        <v>2</v>
      </c>
      <c r="O973" s="1">
        <f t="shared" si="223"/>
        <v>1</v>
      </c>
      <c r="P973" s="1">
        <f t="shared" si="224"/>
        <v>3</v>
      </c>
      <c r="Q973" s="1">
        <f t="shared" si="225"/>
        <v>1</v>
      </c>
      <c r="R973" s="1">
        <f t="shared" si="226"/>
        <v>1</v>
      </c>
      <c r="S973" s="1">
        <f t="shared" si="227"/>
        <v>1</v>
      </c>
      <c r="T973" s="1">
        <f t="shared" si="228"/>
        <v>1</v>
      </c>
      <c r="U973" s="26">
        <f t="shared" si="229"/>
        <v>1</v>
      </c>
      <c r="V973" s="26">
        <f t="shared" si="230"/>
        <v>1</v>
      </c>
      <c r="W973" s="1">
        <f t="shared" si="231"/>
        <v>1</v>
      </c>
      <c r="X973" s="26">
        <f t="shared" si="232"/>
        <v>1</v>
      </c>
      <c r="Y973" s="26">
        <f t="shared" si="233"/>
        <v>0</v>
      </c>
      <c r="Z973" s="1">
        <f t="shared" si="234"/>
        <v>1</v>
      </c>
      <c r="AA973"/>
      <c r="AB973"/>
    </row>
    <row r="974" spans="1:28" x14ac:dyDescent="0.55000000000000004">
      <c r="A974" s="1">
        <f t="shared" si="221"/>
        <v>974</v>
      </c>
      <c r="B974" t="s">
        <v>33</v>
      </c>
      <c r="C974" t="s">
        <v>120</v>
      </c>
      <c r="D974" t="s">
        <v>133</v>
      </c>
      <c r="E974" t="s">
        <v>1734</v>
      </c>
      <c r="F974" t="s">
        <v>364</v>
      </c>
      <c r="G974" t="s">
        <v>362</v>
      </c>
      <c r="H974" t="s">
        <v>570</v>
      </c>
      <c r="I974" t="s">
        <v>292</v>
      </c>
      <c r="J974" t="s">
        <v>1797</v>
      </c>
      <c r="K974" t="s">
        <v>363</v>
      </c>
      <c r="L974" t="s">
        <v>816</v>
      </c>
      <c r="M974" t="s">
        <v>28</v>
      </c>
      <c r="N974" s="1">
        <f t="shared" si="222"/>
        <v>3</v>
      </c>
      <c r="O974" s="1">
        <f t="shared" si="223"/>
        <v>1</v>
      </c>
      <c r="P974" s="1">
        <f t="shared" si="224"/>
        <v>4</v>
      </c>
      <c r="Q974" s="1">
        <f t="shared" si="225"/>
        <v>1</v>
      </c>
      <c r="R974" s="1">
        <f t="shared" si="226"/>
        <v>1</v>
      </c>
      <c r="S974" s="1">
        <f t="shared" si="227"/>
        <v>1</v>
      </c>
      <c r="T974" s="1">
        <f t="shared" si="228"/>
        <v>0</v>
      </c>
      <c r="U974" s="26">
        <f t="shared" si="229"/>
        <v>1</v>
      </c>
      <c r="V974" s="26">
        <f t="shared" si="230"/>
        <v>1</v>
      </c>
      <c r="W974" s="1">
        <f t="shared" si="231"/>
        <v>1</v>
      </c>
      <c r="X974" s="26">
        <f t="shared" si="232"/>
        <v>1</v>
      </c>
      <c r="Y974" s="26">
        <f t="shared" si="233"/>
        <v>0</v>
      </c>
      <c r="Z974" s="1">
        <f t="shared" si="234"/>
        <v>1</v>
      </c>
      <c r="AA974"/>
      <c r="AB974"/>
    </row>
    <row r="975" spans="1:28" x14ac:dyDescent="0.55000000000000004">
      <c r="A975" s="1">
        <f t="shared" si="221"/>
        <v>975</v>
      </c>
      <c r="B975" t="s">
        <v>33</v>
      </c>
      <c r="C975" t="s">
        <v>120</v>
      </c>
      <c r="D975" t="s">
        <v>133</v>
      </c>
      <c r="E975" t="s">
        <v>1734</v>
      </c>
      <c r="F975" t="s">
        <v>277</v>
      </c>
      <c r="G975" t="s">
        <v>279</v>
      </c>
      <c r="H975" t="s">
        <v>683</v>
      </c>
      <c r="I975" t="s">
        <v>287</v>
      </c>
      <c r="J975" t="s">
        <v>1798</v>
      </c>
      <c r="K975" t="s">
        <v>294</v>
      </c>
      <c r="L975" t="s">
        <v>810</v>
      </c>
      <c r="M975" t="s">
        <v>28</v>
      </c>
      <c r="N975" s="1">
        <f t="shared" si="222"/>
        <v>3</v>
      </c>
      <c r="O975" s="1">
        <f t="shared" si="223"/>
        <v>2</v>
      </c>
      <c r="P975" s="1">
        <f t="shared" si="224"/>
        <v>5</v>
      </c>
      <c r="Q975" s="1">
        <f t="shared" si="225"/>
        <v>1</v>
      </c>
      <c r="R975" s="1">
        <f t="shared" si="226"/>
        <v>0</v>
      </c>
      <c r="S975" s="1">
        <f t="shared" si="227"/>
        <v>0</v>
      </c>
      <c r="T975" s="1">
        <f t="shared" si="228"/>
        <v>0</v>
      </c>
      <c r="U975" s="26">
        <f t="shared" si="229"/>
        <v>1</v>
      </c>
      <c r="V975" s="26">
        <f t="shared" si="230"/>
        <v>1</v>
      </c>
      <c r="W975" s="1">
        <f t="shared" si="231"/>
        <v>1</v>
      </c>
      <c r="X975" s="26">
        <f t="shared" si="232"/>
        <v>1</v>
      </c>
      <c r="Y975" s="26">
        <f t="shared" si="233"/>
        <v>1</v>
      </c>
      <c r="Z975" s="1">
        <f t="shared" si="234"/>
        <v>1</v>
      </c>
      <c r="AA975"/>
      <c r="AB975"/>
    </row>
    <row r="976" spans="1:28" x14ac:dyDescent="0.55000000000000004">
      <c r="A976" s="1">
        <f t="shared" si="221"/>
        <v>976</v>
      </c>
      <c r="B976" t="s">
        <v>33</v>
      </c>
      <c r="C976" t="s">
        <v>120</v>
      </c>
      <c r="D976" t="s">
        <v>133</v>
      </c>
      <c r="E976" t="s">
        <v>1734</v>
      </c>
      <c r="F976" t="s">
        <v>277</v>
      </c>
      <c r="G976" t="s">
        <v>281</v>
      </c>
      <c r="H976" t="s">
        <v>573</v>
      </c>
      <c r="I976" t="s">
        <v>284</v>
      </c>
      <c r="J976" t="s">
        <v>1799</v>
      </c>
      <c r="K976" t="s">
        <v>283</v>
      </c>
      <c r="L976" t="s">
        <v>804</v>
      </c>
      <c r="M976" t="s">
        <v>28</v>
      </c>
      <c r="N976" s="1">
        <f t="shared" si="222"/>
        <v>2</v>
      </c>
      <c r="O976" s="1">
        <f t="shared" si="223"/>
        <v>0</v>
      </c>
      <c r="P976" s="1">
        <f t="shared" si="224"/>
        <v>2</v>
      </c>
      <c r="Q976" s="1">
        <f t="shared" si="225"/>
        <v>1</v>
      </c>
      <c r="R976" s="1">
        <f t="shared" si="226"/>
        <v>1</v>
      </c>
      <c r="S976" s="1">
        <f t="shared" si="227"/>
        <v>1</v>
      </c>
      <c r="T976" s="1">
        <f t="shared" si="228"/>
        <v>1</v>
      </c>
      <c r="U976" s="26">
        <f t="shared" si="229"/>
        <v>1</v>
      </c>
      <c r="V976" s="26">
        <f t="shared" si="230"/>
        <v>1</v>
      </c>
      <c r="W976" s="1">
        <f t="shared" si="231"/>
        <v>1</v>
      </c>
      <c r="X976" s="26">
        <f t="shared" si="232"/>
        <v>0</v>
      </c>
      <c r="Y976" s="26">
        <f t="shared" si="233"/>
        <v>0</v>
      </c>
      <c r="Z976" s="1">
        <f t="shared" si="234"/>
        <v>1</v>
      </c>
      <c r="AA976"/>
      <c r="AB976"/>
    </row>
    <row r="977" spans="1:28" x14ac:dyDescent="0.55000000000000004">
      <c r="A977" s="1">
        <f t="shared" si="221"/>
        <v>977</v>
      </c>
      <c r="B977" t="s">
        <v>33</v>
      </c>
      <c r="C977" t="s">
        <v>120</v>
      </c>
      <c r="D977" t="s">
        <v>133</v>
      </c>
      <c r="E977" t="s">
        <v>1734</v>
      </c>
      <c r="F977" t="s">
        <v>290</v>
      </c>
      <c r="G977" t="s">
        <v>299</v>
      </c>
      <c r="H977" t="s">
        <v>722</v>
      </c>
      <c r="I977" t="s">
        <v>282</v>
      </c>
      <c r="J977" t="s">
        <v>1800</v>
      </c>
      <c r="K977" t="s">
        <v>366</v>
      </c>
      <c r="L977" t="s">
        <v>1183</v>
      </c>
      <c r="M977" t="s">
        <v>28</v>
      </c>
      <c r="N977" s="1">
        <f t="shared" si="222"/>
        <v>3</v>
      </c>
      <c r="O977" s="1">
        <f t="shared" si="223"/>
        <v>0</v>
      </c>
      <c r="P977" s="1">
        <f t="shared" si="224"/>
        <v>3</v>
      </c>
      <c r="Q977" s="1">
        <f t="shared" si="225"/>
        <v>1</v>
      </c>
      <c r="R977" s="1">
        <f t="shared" si="226"/>
        <v>1</v>
      </c>
      <c r="S977" s="1">
        <f t="shared" si="227"/>
        <v>1</v>
      </c>
      <c r="T977" s="1">
        <f t="shared" si="228"/>
        <v>0</v>
      </c>
      <c r="U977" s="26">
        <f t="shared" si="229"/>
        <v>1</v>
      </c>
      <c r="V977" s="26">
        <f t="shared" si="230"/>
        <v>1</v>
      </c>
      <c r="W977" s="1">
        <f t="shared" si="231"/>
        <v>1</v>
      </c>
      <c r="X977" s="26">
        <f t="shared" si="232"/>
        <v>0</v>
      </c>
      <c r="Y977" s="26">
        <f t="shared" si="233"/>
        <v>0</v>
      </c>
      <c r="Z977" s="1">
        <f t="shared" si="234"/>
        <v>1</v>
      </c>
      <c r="AA977"/>
      <c r="AB977"/>
    </row>
    <row r="978" spans="1:28" x14ac:dyDescent="0.55000000000000004">
      <c r="A978" s="1">
        <f t="shared" si="221"/>
        <v>978</v>
      </c>
      <c r="B978" t="s">
        <v>39</v>
      </c>
      <c r="C978" t="s">
        <v>119</v>
      </c>
      <c r="D978" t="s">
        <v>133</v>
      </c>
      <c r="E978" t="s">
        <v>1734</v>
      </c>
      <c r="F978" t="s">
        <v>218</v>
      </c>
      <c r="G978" t="s">
        <v>226</v>
      </c>
      <c r="H978" t="s">
        <v>664</v>
      </c>
      <c r="I978" t="s">
        <v>234</v>
      </c>
      <c r="J978" t="s">
        <v>1877</v>
      </c>
      <c r="K978" t="s">
        <v>241</v>
      </c>
      <c r="L978" t="s">
        <v>1540</v>
      </c>
      <c r="M978" t="s">
        <v>28</v>
      </c>
      <c r="N978" s="1">
        <f t="shared" si="222"/>
        <v>2</v>
      </c>
      <c r="O978" s="1">
        <f t="shared" si="223"/>
        <v>2</v>
      </c>
      <c r="P978" s="1">
        <f t="shared" si="224"/>
        <v>4</v>
      </c>
      <c r="Q978" s="1">
        <f t="shared" si="225"/>
        <v>0</v>
      </c>
      <c r="R978" s="1">
        <f t="shared" si="226"/>
        <v>1</v>
      </c>
      <c r="S978" s="1">
        <f t="shared" si="227"/>
        <v>0</v>
      </c>
      <c r="T978" s="1">
        <f t="shared" si="228"/>
        <v>1</v>
      </c>
      <c r="U978" s="26">
        <f t="shared" si="229"/>
        <v>1</v>
      </c>
      <c r="V978" s="26">
        <f t="shared" si="230"/>
        <v>1</v>
      </c>
      <c r="W978" s="1">
        <f t="shared" si="231"/>
        <v>1</v>
      </c>
      <c r="X978" s="26">
        <f t="shared" si="232"/>
        <v>1</v>
      </c>
      <c r="Y978" s="26">
        <f t="shared" si="233"/>
        <v>1</v>
      </c>
      <c r="Z978" s="1">
        <f t="shared" si="234"/>
        <v>1</v>
      </c>
      <c r="AA978"/>
      <c r="AB978"/>
    </row>
    <row r="979" spans="1:28" x14ac:dyDescent="0.55000000000000004">
      <c r="A979" s="1">
        <f t="shared" si="221"/>
        <v>979</v>
      </c>
      <c r="B979" t="s">
        <v>39</v>
      </c>
      <c r="C979" t="s">
        <v>119</v>
      </c>
      <c r="D979" t="s">
        <v>133</v>
      </c>
      <c r="E979" t="s">
        <v>1734</v>
      </c>
      <c r="F979" t="s">
        <v>218</v>
      </c>
      <c r="G979" t="s">
        <v>225</v>
      </c>
      <c r="H979" t="s">
        <v>581</v>
      </c>
      <c r="I979" t="s">
        <v>220</v>
      </c>
      <c r="J979" t="s">
        <v>1878</v>
      </c>
      <c r="K979" t="s">
        <v>227</v>
      </c>
      <c r="L979" t="s">
        <v>993</v>
      </c>
      <c r="M979" t="s">
        <v>28</v>
      </c>
      <c r="N979" s="1">
        <f t="shared" si="222"/>
        <v>1</v>
      </c>
      <c r="O979" s="1">
        <f t="shared" si="223"/>
        <v>2</v>
      </c>
      <c r="P979" s="1">
        <f t="shared" si="224"/>
        <v>3</v>
      </c>
      <c r="Q979" s="1">
        <f t="shared" si="225"/>
        <v>1</v>
      </c>
      <c r="R979" s="1">
        <f t="shared" si="226"/>
        <v>1</v>
      </c>
      <c r="S979" s="1">
        <f t="shared" si="227"/>
        <v>1</v>
      </c>
      <c r="T979" s="1">
        <f t="shared" si="228"/>
        <v>1</v>
      </c>
      <c r="U979" s="26">
        <f t="shared" si="229"/>
        <v>1</v>
      </c>
      <c r="V979" s="26">
        <f t="shared" si="230"/>
        <v>0</v>
      </c>
      <c r="W979" s="1">
        <f t="shared" si="231"/>
        <v>1</v>
      </c>
      <c r="X979" s="26">
        <f t="shared" si="232"/>
        <v>1</v>
      </c>
      <c r="Y979" s="26">
        <f t="shared" si="233"/>
        <v>1</v>
      </c>
      <c r="Z979" s="1">
        <f t="shared" si="234"/>
        <v>1</v>
      </c>
      <c r="AA979"/>
      <c r="AB979"/>
    </row>
    <row r="980" spans="1:28" x14ac:dyDescent="0.55000000000000004">
      <c r="A980" s="1">
        <f t="shared" si="221"/>
        <v>980</v>
      </c>
      <c r="B980" t="s">
        <v>39</v>
      </c>
      <c r="C980" t="s">
        <v>119</v>
      </c>
      <c r="D980" t="s">
        <v>133</v>
      </c>
      <c r="E980" t="s">
        <v>1734</v>
      </c>
      <c r="F980" t="s">
        <v>218</v>
      </c>
      <c r="G980" t="s">
        <v>235</v>
      </c>
      <c r="H980" t="s">
        <v>565</v>
      </c>
      <c r="I980" t="s">
        <v>229</v>
      </c>
      <c r="J980" t="s">
        <v>1879</v>
      </c>
      <c r="K980" t="s">
        <v>242</v>
      </c>
      <c r="L980" t="s">
        <v>998</v>
      </c>
      <c r="M980" t="s">
        <v>28</v>
      </c>
      <c r="N980" s="1">
        <f t="shared" si="222"/>
        <v>2</v>
      </c>
      <c r="O980" s="1">
        <f t="shared" si="223"/>
        <v>3</v>
      </c>
      <c r="P980" s="1">
        <f t="shared" si="224"/>
        <v>5</v>
      </c>
      <c r="Q980" s="1">
        <f t="shared" si="225"/>
        <v>1</v>
      </c>
      <c r="R980" s="1">
        <f t="shared" si="226"/>
        <v>0</v>
      </c>
      <c r="S980" s="1">
        <f t="shared" si="227"/>
        <v>0</v>
      </c>
      <c r="T980" s="1">
        <f t="shared" si="228"/>
        <v>1</v>
      </c>
      <c r="U980" s="26">
        <f t="shared" si="229"/>
        <v>1</v>
      </c>
      <c r="V980" s="26">
        <f t="shared" si="230"/>
        <v>1</v>
      </c>
      <c r="W980" s="1">
        <f t="shared" si="231"/>
        <v>0</v>
      </c>
      <c r="X980" s="26">
        <f t="shared" si="232"/>
        <v>1</v>
      </c>
      <c r="Y980" s="26">
        <f t="shared" si="233"/>
        <v>1</v>
      </c>
      <c r="Z980" s="1">
        <f t="shared" si="234"/>
        <v>1</v>
      </c>
      <c r="AA980"/>
      <c r="AB980"/>
    </row>
    <row r="981" spans="1:28" x14ac:dyDescent="0.55000000000000004">
      <c r="A981" s="1">
        <f t="shared" si="221"/>
        <v>981</v>
      </c>
      <c r="B981" t="s">
        <v>40</v>
      </c>
      <c r="C981" t="s">
        <v>117</v>
      </c>
      <c r="D981" t="s">
        <v>133</v>
      </c>
      <c r="E981" t="s">
        <v>1734</v>
      </c>
      <c r="F981" t="s">
        <v>394</v>
      </c>
      <c r="G981" t="s">
        <v>253</v>
      </c>
      <c r="H981" t="s">
        <v>575</v>
      </c>
      <c r="I981" t="s">
        <v>258</v>
      </c>
      <c r="J981" t="s">
        <v>1935</v>
      </c>
      <c r="K981" t="s">
        <v>395</v>
      </c>
      <c r="L981" t="s">
        <v>1027</v>
      </c>
      <c r="M981" t="s">
        <v>28</v>
      </c>
      <c r="N981" s="1">
        <f t="shared" si="222"/>
        <v>1</v>
      </c>
      <c r="O981" s="1">
        <f t="shared" si="223"/>
        <v>0</v>
      </c>
      <c r="P981" s="1">
        <f t="shared" si="224"/>
        <v>1</v>
      </c>
      <c r="Q981" s="1">
        <f t="shared" si="225"/>
        <v>1</v>
      </c>
      <c r="R981" s="1">
        <f t="shared" si="226"/>
        <v>1</v>
      </c>
      <c r="S981" s="1">
        <f t="shared" si="227"/>
        <v>1</v>
      </c>
      <c r="T981" s="1">
        <f t="shared" si="228"/>
        <v>1</v>
      </c>
      <c r="U981" s="26">
        <f t="shared" si="229"/>
        <v>1</v>
      </c>
      <c r="V981" s="26">
        <f t="shared" si="230"/>
        <v>0</v>
      </c>
      <c r="W981" s="1">
        <f t="shared" si="231"/>
        <v>1</v>
      </c>
      <c r="X981" s="26">
        <f t="shared" si="232"/>
        <v>0</v>
      </c>
      <c r="Y981" s="26">
        <f t="shared" si="233"/>
        <v>0</v>
      </c>
      <c r="Z981" s="1">
        <f t="shared" si="234"/>
        <v>0</v>
      </c>
      <c r="AA981"/>
      <c r="AB981"/>
    </row>
    <row r="982" spans="1:28" x14ac:dyDescent="0.55000000000000004">
      <c r="A982" s="1">
        <f t="shared" si="221"/>
        <v>982</v>
      </c>
      <c r="B982" t="s">
        <v>40</v>
      </c>
      <c r="C982" t="s">
        <v>117</v>
      </c>
      <c r="D982" t="s">
        <v>133</v>
      </c>
      <c r="E982" t="s">
        <v>1734</v>
      </c>
      <c r="F982" t="s">
        <v>392</v>
      </c>
      <c r="G982" t="s">
        <v>265</v>
      </c>
      <c r="H982" t="s">
        <v>579</v>
      </c>
      <c r="I982" t="s">
        <v>249</v>
      </c>
      <c r="J982" t="s">
        <v>1936</v>
      </c>
      <c r="K982" t="s">
        <v>344</v>
      </c>
      <c r="L982" t="s">
        <v>1025</v>
      </c>
      <c r="M982" t="s">
        <v>28</v>
      </c>
      <c r="N982" s="1">
        <f t="shared" si="222"/>
        <v>2</v>
      </c>
      <c r="O982" s="1">
        <f t="shared" si="223"/>
        <v>1</v>
      </c>
      <c r="P982" s="1">
        <f t="shared" si="224"/>
        <v>3</v>
      </c>
      <c r="Q982" s="1">
        <f t="shared" si="225"/>
        <v>1</v>
      </c>
      <c r="R982" s="1">
        <f t="shared" si="226"/>
        <v>1</v>
      </c>
      <c r="S982" s="1">
        <f t="shared" si="227"/>
        <v>1</v>
      </c>
      <c r="T982" s="1">
        <f t="shared" si="228"/>
        <v>1</v>
      </c>
      <c r="U982" s="26">
        <f t="shared" si="229"/>
        <v>1</v>
      </c>
      <c r="V982" s="26">
        <f t="shared" si="230"/>
        <v>1</v>
      </c>
      <c r="W982" s="1">
        <f t="shared" si="231"/>
        <v>1</v>
      </c>
      <c r="X982" s="26">
        <f t="shared" si="232"/>
        <v>1</v>
      </c>
      <c r="Y982" s="26">
        <f t="shared" si="233"/>
        <v>0</v>
      </c>
      <c r="Z982" s="1">
        <f t="shared" si="234"/>
        <v>1</v>
      </c>
      <c r="AA982"/>
      <c r="AB982"/>
    </row>
    <row r="983" spans="1:28" x14ac:dyDescent="0.55000000000000004">
      <c r="A983" s="1">
        <f t="shared" si="221"/>
        <v>983</v>
      </c>
      <c r="B983" t="s">
        <v>40</v>
      </c>
      <c r="C983" t="s">
        <v>117</v>
      </c>
      <c r="D983" t="s">
        <v>133</v>
      </c>
      <c r="E983" t="s">
        <v>1734</v>
      </c>
      <c r="F983" t="s">
        <v>392</v>
      </c>
      <c r="G983" t="s">
        <v>255</v>
      </c>
      <c r="H983" t="s">
        <v>570</v>
      </c>
      <c r="I983" t="s">
        <v>248</v>
      </c>
      <c r="J983" t="s">
        <v>1937</v>
      </c>
      <c r="K983" t="s">
        <v>257</v>
      </c>
      <c r="L983" t="s">
        <v>1016</v>
      </c>
      <c r="M983" t="s">
        <v>28</v>
      </c>
      <c r="N983" s="1">
        <f t="shared" si="222"/>
        <v>3</v>
      </c>
      <c r="O983" s="1">
        <f t="shared" si="223"/>
        <v>1</v>
      </c>
      <c r="P983" s="1">
        <f t="shared" si="224"/>
        <v>4</v>
      </c>
      <c r="Q983" s="1">
        <f t="shared" si="225"/>
        <v>1</v>
      </c>
      <c r="R983" s="1">
        <f t="shared" si="226"/>
        <v>1</v>
      </c>
      <c r="S983" s="1">
        <f t="shared" si="227"/>
        <v>1</v>
      </c>
      <c r="T983" s="1">
        <f t="shared" si="228"/>
        <v>0</v>
      </c>
      <c r="U983" s="26">
        <f t="shared" si="229"/>
        <v>1</v>
      </c>
      <c r="V983" s="26">
        <f t="shared" si="230"/>
        <v>1</v>
      </c>
      <c r="W983" s="1">
        <f t="shared" si="231"/>
        <v>1</v>
      </c>
      <c r="X983" s="26">
        <f t="shared" si="232"/>
        <v>1</v>
      </c>
      <c r="Y983" s="26">
        <f t="shared" si="233"/>
        <v>0</v>
      </c>
      <c r="Z983" s="1">
        <f t="shared" si="234"/>
        <v>1</v>
      </c>
      <c r="AA983"/>
      <c r="AB983"/>
    </row>
    <row r="984" spans="1:28" x14ac:dyDescent="0.55000000000000004">
      <c r="A984" s="1">
        <f t="shared" si="221"/>
        <v>984</v>
      </c>
      <c r="B984" t="s">
        <v>40</v>
      </c>
      <c r="C984" t="s">
        <v>117</v>
      </c>
      <c r="D984" t="s">
        <v>133</v>
      </c>
      <c r="E984" t="s">
        <v>1734</v>
      </c>
      <c r="F984" t="s">
        <v>247</v>
      </c>
      <c r="G984" t="s">
        <v>263</v>
      </c>
      <c r="H984" t="s">
        <v>687</v>
      </c>
      <c r="I984" t="s">
        <v>252</v>
      </c>
      <c r="J984" t="s">
        <v>1938</v>
      </c>
      <c r="K984" t="s">
        <v>264</v>
      </c>
      <c r="L984" t="s">
        <v>596</v>
      </c>
      <c r="M984" t="s">
        <v>28</v>
      </c>
      <c r="N984" s="1">
        <f t="shared" si="222"/>
        <v>4</v>
      </c>
      <c r="O984" s="1">
        <f t="shared" si="223"/>
        <v>0</v>
      </c>
      <c r="P984" s="1">
        <f t="shared" si="224"/>
        <v>4</v>
      </c>
      <c r="Q984" s="1">
        <f t="shared" si="225"/>
        <v>1</v>
      </c>
      <c r="R984" s="1">
        <f t="shared" si="226"/>
        <v>1</v>
      </c>
      <c r="S984" s="1">
        <f t="shared" si="227"/>
        <v>1</v>
      </c>
      <c r="T984" s="1">
        <f t="shared" si="228"/>
        <v>0</v>
      </c>
      <c r="U984" s="26">
        <f t="shared" si="229"/>
        <v>0</v>
      </c>
      <c r="V984" s="26">
        <f t="shared" si="230"/>
        <v>1</v>
      </c>
      <c r="W984" s="1">
        <f t="shared" si="231"/>
        <v>1</v>
      </c>
      <c r="X984" s="26">
        <f t="shared" si="232"/>
        <v>0</v>
      </c>
      <c r="Y984" s="26">
        <f t="shared" si="233"/>
        <v>0</v>
      </c>
      <c r="Z984" s="1">
        <f t="shared" si="234"/>
        <v>1</v>
      </c>
      <c r="AA984"/>
      <c r="AB984"/>
    </row>
    <row r="985" spans="1:28" x14ac:dyDescent="0.55000000000000004">
      <c r="A985" s="1">
        <f t="shared" si="221"/>
        <v>985</v>
      </c>
      <c r="B985" t="s">
        <v>30</v>
      </c>
      <c r="C985" t="s">
        <v>114</v>
      </c>
      <c r="D985" t="s">
        <v>42</v>
      </c>
      <c r="E985" t="s">
        <v>1414</v>
      </c>
      <c r="F985" t="s">
        <v>380</v>
      </c>
      <c r="G985" t="s">
        <v>45</v>
      </c>
      <c r="H985" t="s">
        <v>722</v>
      </c>
      <c r="I985" t="s">
        <v>60</v>
      </c>
      <c r="J985" t="s">
        <v>1415</v>
      </c>
      <c r="K985" t="s">
        <v>74</v>
      </c>
      <c r="L985" t="s">
        <v>761</v>
      </c>
      <c r="M985" t="s">
        <v>28</v>
      </c>
      <c r="N985" s="1">
        <f t="shared" si="222"/>
        <v>3</v>
      </c>
      <c r="O985" s="1">
        <f t="shared" si="223"/>
        <v>0</v>
      </c>
      <c r="P985" s="1">
        <f t="shared" si="224"/>
        <v>3</v>
      </c>
      <c r="Q985" s="1">
        <f t="shared" si="225"/>
        <v>1</v>
      </c>
      <c r="R985" s="1">
        <f t="shared" si="226"/>
        <v>1</v>
      </c>
      <c r="S985" s="1">
        <f t="shared" si="227"/>
        <v>1</v>
      </c>
      <c r="T985" s="1">
        <f t="shared" si="228"/>
        <v>0</v>
      </c>
      <c r="U985" s="26">
        <f t="shared" si="229"/>
        <v>1</v>
      </c>
      <c r="V985" s="26">
        <f t="shared" si="230"/>
        <v>1</v>
      </c>
      <c r="W985" s="1">
        <f t="shared" si="231"/>
        <v>1</v>
      </c>
      <c r="X985" s="26">
        <f t="shared" si="232"/>
        <v>0</v>
      </c>
      <c r="Y985" s="26">
        <f t="shared" si="233"/>
        <v>0</v>
      </c>
      <c r="Z985" s="1">
        <f t="shared" si="234"/>
        <v>1</v>
      </c>
      <c r="AA985"/>
      <c r="AB985"/>
    </row>
    <row r="986" spans="1:28" x14ac:dyDescent="0.55000000000000004">
      <c r="A986" s="1">
        <f t="shared" si="221"/>
        <v>986</v>
      </c>
      <c r="B986" t="s">
        <v>30</v>
      </c>
      <c r="C986" t="s">
        <v>114</v>
      </c>
      <c r="D986" t="s">
        <v>42</v>
      </c>
      <c r="E986" t="s">
        <v>1414</v>
      </c>
      <c r="F986" t="s">
        <v>394</v>
      </c>
      <c r="G986" t="s">
        <v>64</v>
      </c>
      <c r="H986" t="s">
        <v>581</v>
      </c>
      <c r="I986" t="s">
        <v>63</v>
      </c>
      <c r="J986" t="s">
        <v>1416</v>
      </c>
      <c r="K986" t="s">
        <v>62</v>
      </c>
      <c r="L986" t="s">
        <v>769</v>
      </c>
      <c r="M986" t="s">
        <v>28</v>
      </c>
      <c r="N986" s="1">
        <f t="shared" si="222"/>
        <v>1</v>
      </c>
      <c r="O986" s="1">
        <f t="shared" si="223"/>
        <v>2</v>
      </c>
      <c r="P986" s="1">
        <f t="shared" si="224"/>
        <v>3</v>
      </c>
      <c r="Q986" s="1">
        <f t="shared" si="225"/>
        <v>1</v>
      </c>
      <c r="R986" s="1">
        <f t="shared" si="226"/>
        <v>1</v>
      </c>
      <c r="S986" s="1">
        <f t="shared" si="227"/>
        <v>1</v>
      </c>
      <c r="T986" s="1">
        <f t="shared" si="228"/>
        <v>1</v>
      </c>
      <c r="U986" s="26">
        <f t="shared" si="229"/>
        <v>1</v>
      </c>
      <c r="V986" s="26">
        <f t="shared" si="230"/>
        <v>0</v>
      </c>
      <c r="W986" s="1">
        <f t="shared" si="231"/>
        <v>1</v>
      </c>
      <c r="X986" s="26">
        <f t="shared" si="232"/>
        <v>1</v>
      </c>
      <c r="Y986" s="26">
        <f t="shared" si="233"/>
        <v>1</v>
      </c>
      <c r="Z986" s="1">
        <f t="shared" si="234"/>
        <v>1</v>
      </c>
      <c r="AA986"/>
      <c r="AB986"/>
    </row>
    <row r="987" spans="1:28" x14ac:dyDescent="0.55000000000000004">
      <c r="A987" s="1">
        <f t="shared" si="221"/>
        <v>987</v>
      </c>
      <c r="B987" t="s">
        <v>30</v>
      </c>
      <c r="C987" t="s">
        <v>114</v>
      </c>
      <c r="D987" t="s">
        <v>42</v>
      </c>
      <c r="E987" t="s">
        <v>1414</v>
      </c>
      <c r="F987" t="s">
        <v>398</v>
      </c>
      <c r="G987" t="s">
        <v>49</v>
      </c>
      <c r="H987" t="s">
        <v>581</v>
      </c>
      <c r="I987" t="s">
        <v>58</v>
      </c>
      <c r="J987" t="s">
        <v>1417</v>
      </c>
      <c r="K987" t="s">
        <v>72</v>
      </c>
      <c r="L987" t="s">
        <v>779</v>
      </c>
      <c r="M987" t="s">
        <v>28</v>
      </c>
      <c r="N987" s="1">
        <f t="shared" si="222"/>
        <v>1</v>
      </c>
      <c r="O987" s="1">
        <f t="shared" si="223"/>
        <v>2</v>
      </c>
      <c r="P987" s="1">
        <f t="shared" si="224"/>
        <v>3</v>
      </c>
      <c r="Q987" s="1">
        <f t="shared" si="225"/>
        <v>1</v>
      </c>
      <c r="R987" s="1">
        <f t="shared" si="226"/>
        <v>1</v>
      </c>
      <c r="S987" s="1">
        <f t="shared" si="227"/>
        <v>1</v>
      </c>
      <c r="T987" s="1">
        <f t="shared" si="228"/>
        <v>1</v>
      </c>
      <c r="U987" s="26">
        <f t="shared" si="229"/>
        <v>1</v>
      </c>
      <c r="V987" s="26">
        <f t="shared" si="230"/>
        <v>0</v>
      </c>
      <c r="W987" s="1">
        <f t="shared" si="231"/>
        <v>1</v>
      </c>
      <c r="X987" s="26">
        <f t="shared" si="232"/>
        <v>1</v>
      </c>
      <c r="Y987" s="26">
        <f t="shared" si="233"/>
        <v>1</v>
      </c>
      <c r="Z987" s="1">
        <f t="shared" si="234"/>
        <v>1</v>
      </c>
      <c r="AA987"/>
      <c r="AB987"/>
    </row>
    <row r="988" spans="1:28" x14ac:dyDescent="0.55000000000000004">
      <c r="A988" s="1">
        <f t="shared" si="221"/>
        <v>988</v>
      </c>
      <c r="B988" t="s">
        <v>33</v>
      </c>
      <c r="C988" t="s">
        <v>120</v>
      </c>
      <c r="D988" t="s">
        <v>42</v>
      </c>
      <c r="E988" t="s">
        <v>1414</v>
      </c>
      <c r="F988" t="s">
        <v>364</v>
      </c>
      <c r="G988" t="s">
        <v>285</v>
      </c>
      <c r="H988" t="s">
        <v>608</v>
      </c>
      <c r="I988" t="s">
        <v>367</v>
      </c>
      <c r="J988" t="s">
        <v>1464</v>
      </c>
      <c r="K988" t="s">
        <v>359</v>
      </c>
      <c r="L988" t="s">
        <v>1465</v>
      </c>
      <c r="M988" t="s">
        <v>28</v>
      </c>
      <c r="N988" s="1">
        <f t="shared" si="222"/>
        <v>1</v>
      </c>
      <c r="O988" s="1">
        <f t="shared" si="223"/>
        <v>1</v>
      </c>
      <c r="P988" s="1">
        <f t="shared" si="224"/>
        <v>2</v>
      </c>
      <c r="Q988" s="1">
        <f t="shared" si="225"/>
        <v>0</v>
      </c>
      <c r="R988" s="1">
        <f t="shared" si="226"/>
        <v>1</v>
      </c>
      <c r="S988" s="1">
        <f t="shared" si="227"/>
        <v>0</v>
      </c>
      <c r="T988" s="1">
        <f t="shared" si="228"/>
        <v>1</v>
      </c>
      <c r="U988" s="26">
        <f t="shared" si="229"/>
        <v>1</v>
      </c>
      <c r="V988" s="26">
        <f t="shared" si="230"/>
        <v>0</v>
      </c>
      <c r="W988" s="1">
        <f t="shared" si="231"/>
        <v>1</v>
      </c>
      <c r="X988" s="26">
        <f t="shared" si="232"/>
        <v>1</v>
      </c>
      <c r="Y988" s="26">
        <f t="shared" si="233"/>
        <v>0</v>
      </c>
      <c r="Z988" s="1">
        <f t="shared" si="234"/>
        <v>1</v>
      </c>
      <c r="AA988"/>
      <c r="AB988"/>
    </row>
    <row r="989" spans="1:28" x14ac:dyDescent="0.55000000000000004">
      <c r="A989" s="1">
        <f t="shared" si="221"/>
        <v>989</v>
      </c>
      <c r="B989" t="s">
        <v>33</v>
      </c>
      <c r="C989" t="s">
        <v>120</v>
      </c>
      <c r="D989" t="s">
        <v>42</v>
      </c>
      <c r="E989" t="s">
        <v>1414</v>
      </c>
      <c r="F989" t="s">
        <v>277</v>
      </c>
      <c r="G989" t="s">
        <v>360</v>
      </c>
      <c r="H989" t="s">
        <v>683</v>
      </c>
      <c r="I989" t="s">
        <v>296</v>
      </c>
      <c r="J989" t="s">
        <v>1466</v>
      </c>
      <c r="K989" t="s">
        <v>371</v>
      </c>
      <c r="L989" t="s">
        <v>1467</v>
      </c>
      <c r="M989" t="s">
        <v>28</v>
      </c>
      <c r="N989" s="1">
        <f t="shared" si="222"/>
        <v>3</v>
      </c>
      <c r="O989" s="1">
        <f t="shared" si="223"/>
        <v>2</v>
      </c>
      <c r="P989" s="1">
        <f t="shared" si="224"/>
        <v>5</v>
      </c>
      <c r="Q989" s="1">
        <f t="shared" si="225"/>
        <v>1</v>
      </c>
      <c r="R989" s="1">
        <f t="shared" si="226"/>
        <v>0</v>
      </c>
      <c r="S989" s="1">
        <f t="shared" si="227"/>
        <v>0</v>
      </c>
      <c r="T989" s="1">
        <f t="shared" si="228"/>
        <v>0</v>
      </c>
      <c r="U989" s="26">
        <f t="shared" si="229"/>
        <v>1</v>
      </c>
      <c r="V989" s="26">
        <f t="shared" si="230"/>
        <v>1</v>
      </c>
      <c r="W989" s="1">
        <f t="shared" si="231"/>
        <v>1</v>
      </c>
      <c r="X989" s="26">
        <f t="shared" si="232"/>
        <v>1</v>
      </c>
      <c r="Y989" s="26">
        <f t="shared" si="233"/>
        <v>1</v>
      </c>
      <c r="Z989" s="1">
        <f t="shared" si="234"/>
        <v>1</v>
      </c>
      <c r="AA989"/>
      <c r="AB989"/>
    </row>
    <row r="990" spans="1:28" x14ac:dyDescent="0.55000000000000004">
      <c r="A990" s="1">
        <f t="shared" si="221"/>
        <v>990</v>
      </c>
      <c r="B990" t="s">
        <v>39</v>
      </c>
      <c r="C990" t="s">
        <v>119</v>
      </c>
      <c r="D990" t="s">
        <v>42</v>
      </c>
      <c r="E990" t="s">
        <v>1414</v>
      </c>
      <c r="F990" t="s">
        <v>218</v>
      </c>
      <c r="G990" t="s">
        <v>228</v>
      </c>
      <c r="H990" t="s">
        <v>575</v>
      </c>
      <c r="I990" t="s">
        <v>223</v>
      </c>
      <c r="J990" t="s">
        <v>1543</v>
      </c>
      <c r="K990" t="s">
        <v>230</v>
      </c>
      <c r="L990" t="s">
        <v>987</v>
      </c>
      <c r="M990" t="s">
        <v>28</v>
      </c>
      <c r="N990" s="1">
        <f t="shared" si="222"/>
        <v>1</v>
      </c>
      <c r="O990" s="1">
        <f t="shared" si="223"/>
        <v>0</v>
      </c>
      <c r="P990" s="1">
        <f t="shared" si="224"/>
        <v>1</v>
      </c>
      <c r="Q990" s="1">
        <f t="shared" si="225"/>
        <v>1</v>
      </c>
      <c r="R990" s="1">
        <f t="shared" si="226"/>
        <v>1</v>
      </c>
      <c r="S990" s="1">
        <f t="shared" si="227"/>
        <v>1</v>
      </c>
      <c r="T990" s="1">
        <f t="shared" si="228"/>
        <v>1</v>
      </c>
      <c r="U990" s="26">
        <f t="shared" si="229"/>
        <v>1</v>
      </c>
      <c r="V990" s="26">
        <f t="shared" si="230"/>
        <v>0</v>
      </c>
      <c r="W990" s="1">
        <f t="shared" si="231"/>
        <v>1</v>
      </c>
      <c r="X990" s="26">
        <f t="shared" si="232"/>
        <v>0</v>
      </c>
      <c r="Y990" s="26">
        <f t="shared" si="233"/>
        <v>0</v>
      </c>
      <c r="Z990" s="1">
        <f t="shared" si="234"/>
        <v>0</v>
      </c>
      <c r="AA990"/>
      <c r="AB990"/>
    </row>
    <row r="991" spans="1:28" x14ac:dyDescent="0.55000000000000004">
      <c r="A991" s="1">
        <f t="shared" si="221"/>
        <v>991</v>
      </c>
      <c r="B991" t="s">
        <v>39</v>
      </c>
      <c r="C991" t="s">
        <v>119</v>
      </c>
      <c r="D991" t="s">
        <v>42</v>
      </c>
      <c r="E991" t="s">
        <v>1414</v>
      </c>
      <c r="F991" t="s">
        <v>218</v>
      </c>
      <c r="G991" t="s">
        <v>232</v>
      </c>
      <c r="H991" t="s">
        <v>608</v>
      </c>
      <c r="I991" t="s">
        <v>219</v>
      </c>
      <c r="J991" t="s">
        <v>1544</v>
      </c>
      <c r="K991" t="s">
        <v>238</v>
      </c>
      <c r="L991" t="s">
        <v>1012</v>
      </c>
      <c r="M991" t="s">
        <v>28</v>
      </c>
      <c r="N991" s="1">
        <f t="shared" si="222"/>
        <v>1</v>
      </c>
      <c r="O991" s="1">
        <f t="shared" si="223"/>
        <v>1</v>
      </c>
      <c r="P991" s="1">
        <f t="shared" si="224"/>
        <v>2</v>
      </c>
      <c r="Q991" s="1">
        <f t="shared" si="225"/>
        <v>0</v>
      </c>
      <c r="R991" s="1">
        <f t="shared" si="226"/>
        <v>1</v>
      </c>
      <c r="S991" s="1">
        <f t="shared" si="227"/>
        <v>0</v>
      </c>
      <c r="T991" s="1">
        <f t="shared" si="228"/>
        <v>1</v>
      </c>
      <c r="U991" s="26">
        <f t="shared" si="229"/>
        <v>1</v>
      </c>
      <c r="V991" s="26">
        <f t="shared" si="230"/>
        <v>0</v>
      </c>
      <c r="W991" s="1">
        <f t="shared" si="231"/>
        <v>1</v>
      </c>
      <c r="X991" s="26">
        <f t="shared" si="232"/>
        <v>1</v>
      </c>
      <c r="Y991" s="26">
        <f t="shared" si="233"/>
        <v>0</v>
      </c>
      <c r="Z991" s="1">
        <f t="shared" si="234"/>
        <v>1</v>
      </c>
      <c r="AA991"/>
      <c r="AB991"/>
    </row>
    <row r="992" spans="1:28" x14ac:dyDescent="0.55000000000000004">
      <c r="A992" s="1">
        <f t="shared" si="221"/>
        <v>992</v>
      </c>
      <c r="B992" t="s">
        <v>39</v>
      </c>
      <c r="C992" t="s">
        <v>119</v>
      </c>
      <c r="D992" t="s">
        <v>42</v>
      </c>
      <c r="E992" t="s">
        <v>1414</v>
      </c>
      <c r="F992" t="s">
        <v>218</v>
      </c>
      <c r="G992" t="s">
        <v>231</v>
      </c>
      <c r="H992" t="s">
        <v>608</v>
      </c>
      <c r="I992" t="s">
        <v>222</v>
      </c>
      <c r="J992" t="s">
        <v>1545</v>
      </c>
      <c r="K992" t="s">
        <v>233</v>
      </c>
      <c r="L992" t="s">
        <v>1007</v>
      </c>
      <c r="M992" t="s">
        <v>28</v>
      </c>
      <c r="N992" s="1">
        <f t="shared" si="222"/>
        <v>1</v>
      </c>
      <c r="O992" s="1">
        <f t="shared" si="223"/>
        <v>1</v>
      </c>
      <c r="P992" s="1">
        <f t="shared" si="224"/>
        <v>2</v>
      </c>
      <c r="Q992" s="1">
        <f t="shared" si="225"/>
        <v>0</v>
      </c>
      <c r="R992" s="1">
        <f t="shared" si="226"/>
        <v>1</v>
      </c>
      <c r="S992" s="1">
        <f t="shared" si="227"/>
        <v>0</v>
      </c>
      <c r="T992" s="1">
        <f t="shared" si="228"/>
        <v>1</v>
      </c>
      <c r="U992" s="26">
        <f t="shared" si="229"/>
        <v>1</v>
      </c>
      <c r="V992" s="26">
        <f t="shared" si="230"/>
        <v>0</v>
      </c>
      <c r="W992" s="1">
        <f t="shared" si="231"/>
        <v>1</v>
      </c>
      <c r="X992" s="26">
        <f t="shared" si="232"/>
        <v>1</v>
      </c>
      <c r="Y992" s="26">
        <f t="shared" si="233"/>
        <v>0</v>
      </c>
      <c r="Z992" s="1">
        <f t="shared" si="234"/>
        <v>1</v>
      </c>
      <c r="AA992"/>
      <c r="AB992"/>
    </row>
    <row r="993" spans="1:28" x14ac:dyDescent="0.55000000000000004">
      <c r="A993" s="1">
        <f t="shared" si="221"/>
        <v>993</v>
      </c>
      <c r="B993" t="s">
        <v>30</v>
      </c>
      <c r="C993" t="s">
        <v>114</v>
      </c>
      <c r="D993" t="s">
        <v>179</v>
      </c>
      <c r="E993" t="s">
        <v>796</v>
      </c>
      <c r="F993" t="s">
        <v>181</v>
      </c>
      <c r="G993" t="s">
        <v>51</v>
      </c>
      <c r="H993" t="s">
        <v>608</v>
      </c>
      <c r="I993" t="s">
        <v>61</v>
      </c>
      <c r="J993" t="s">
        <v>797</v>
      </c>
      <c r="K993" t="s">
        <v>53</v>
      </c>
      <c r="L993" t="s">
        <v>757</v>
      </c>
      <c r="M993" t="s">
        <v>28</v>
      </c>
      <c r="N993" s="1">
        <f t="shared" si="222"/>
        <v>1</v>
      </c>
      <c r="O993" s="1">
        <f t="shared" si="223"/>
        <v>1</v>
      </c>
      <c r="P993" s="1">
        <f t="shared" si="224"/>
        <v>2</v>
      </c>
      <c r="Q993" s="1">
        <f t="shared" si="225"/>
        <v>0</v>
      </c>
      <c r="R993" s="1">
        <f t="shared" si="226"/>
        <v>1</v>
      </c>
      <c r="S993" s="1">
        <f t="shared" si="227"/>
        <v>0</v>
      </c>
      <c r="T993" s="1">
        <f t="shared" si="228"/>
        <v>1</v>
      </c>
      <c r="U993" s="26">
        <f t="shared" si="229"/>
        <v>1</v>
      </c>
      <c r="V993" s="26">
        <f t="shared" si="230"/>
        <v>0</v>
      </c>
      <c r="W993" s="1">
        <f t="shared" si="231"/>
        <v>1</v>
      </c>
      <c r="X993" s="26">
        <f t="shared" si="232"/>
        <v>1</v>
      </c>
      <c r="Y993" s="26">
        <f t="shared" si="233"/>
        <v>0</v>
      </c>
      <c r="Z993" s="1">
        <f t="shared" si="234"/>
        <v>1</v>
      </c>
      <c r="AA993"/>
      <c r="AB993"/>
    </row>
    <row r="994" spans="1:28" x14ac:dyDescent="0.55000000000000004">
      <c r="A994" s="1">
        <f t="shared" si="221"/>
        <v>994</v>
      </c>
      <c r="B994" t="s">
        <v>30</v>
      </c>
      <c r="C994" t="s">
        <v>114</v>
      </c>
      <c r="D994" t="s">
        <v>179</v>
      </c>
      <c r="E994" t="s">
        <v>796</v>
      </c>
      <c r="F994" t="s">
        <v>181</v>
      </c>
      <c r="G994" t="s">
        <v>67</v>
      </c>
      <c r="H994" t="s">
        <v>798</v>
      </c>
      <c r="I994" t="s">
        <v>52</v>
      </c>
      <c r="J994" t="s">
        <v>799</v>
      </c>
      <c r="K994" t="s">
        <v>73</v>
      </c>
      <c r="L994" t="s">
        <v>759</v>
      </c>
      <c r="M994" t="s">
        <v>28</v>
      </c>
      <c r="N994" s="1">
        <f t="shared" si="222"/>
        <v>2</v>
      </c>
      <c r="O994" s="1">
        <f t="shared" si="223"/>
        <v>4</v>
      </c>
      <c r="P994" s="1">
        <f t="shared" si="224"/>
        <v>6</v>
      </c>
      <c r="Q994" s="1">
        <f t="shared" si="225"/>
        <v>1</v>
      </c>
      <c r="R994" s="1">
        <f t="shared" si="226"/>
        <v>0</v>
      </c>
      <c r="S994" s="1">
        <f t="shared" si="227"/>
        <v>0</v>
      </c>
      <c r="T994" s="1">
        <f t="shared" si="228"/>
        <v>1</v>
      </c>
      <c r="U994" s="26">
        <f t="shared" si="229"/>
        <v>1</v>
      </c>
      <c r="V994" s="26">
        <f t="shared" si="230"/>
        <v>1</v>
      </c>
      <c r="W994" s="1">
        <f t="shared" si="231"/>
        <v>0</v>
      </c>
      <c r="X994" s="26">
        <f t="shared" si="232"/>
        <v>0</v>
      </c>
      <c r="Y994" s="26">
        <f t="shared" si="233"/>
        <v>1</v>
      </c>
      <c r="Z994" s="1">
        <f t="shared" si="234"/>
        <v>1</v>
      </c>
      <c r="AA994"/>
      <c r="AB994"/>
    </row>
    <row r="995" spans="1:28" x14ac:dyDescent="0.55000000000000004">
      <c r="A995" s="1">
        <f t="shared" si="221"/>
        <v>995</v>
      </c>
      <c r="B995" t="s">
        <v>32</v>
      </c>
      <c r="D995" t="s">
        <v>216</v>
      </c>
      <c r="E995" t="s">
        <v>597</v>
      </c>
      <c r="F995" t="s">
        <v>375</v>
      </c>
      <c r="G995" t="s">
        <v>465</v>
      </c>
      <c r="H995" t="s">
        <v>570</v>
      </c>
      <c r="I995" t="s">
        <v>598</v>
      </c>
      <c r="J995" t="s">
        <v>599</v>
      </c>
      <c r="K995" t="s">
        <v>467</v>
      </c>
      <c r="L995" t="s">
        <v>600</v>
      </c>
      <c r="M995" t="s">
        <v>28</v>
      </c>
      <c r="N995" s="1">
        <f t="shared" si="222"/>
        <v>3</v>
      </c>
      <c r="O995" s="1">
        <f t="shared" si="223"/>
        <v>1</v>
      </c>
      <c r="P995" s="1">
        <f t="shared" si="224"/>
        <v>4</v>
      </c>
      <c r="Q995" s="1">
        <f t="shared" si="225"/>
        <v>1</v>
      </c>
      <c r="R995" s="1">
        <f t="shared" si="226"/>
        <v>1</v>
      </c>
      <c r="S995" s="1">
        <f t="shared" si="227"/>
        <v>1</v>
      </c>
      <c r="T995" s="1">
        <f t="shared" si="228"/>
        <v>0</v>
      </c>
      <c r="U995" s="26">
        <f t="shared" si="229"/>
        <v>1</v>
      </c>
      <c r="V995" s="26">
        <f t="shared" si="230"/>
        <v>1</v>
      </c>
      <c r="W995" s="1">
        <f t="shared" si="231"/>
        <v>1</v>
      </c>
      <c r="X995" s="26">
        <f t="shared" si="232"/>
        <v>1</v>
      </c>
      <c r="Y995" s="26">
        <f t="shared" si="233"/>
        <v>0</v>
      </c>
      <c r="Z995" s="1">
        <f t="shared" si="234"/>
        <v>1</v>
      </c>
      <c r="AA995"/>
      <c r="AB995"/>
    </row>
    <row r="996" spans="1:28" x14ac:dyDescent="0.55000000000000004">
      <c r="A996" s="1">
        <f t="shared" si="221"/>
        <v>996</v>
      </c>
      <c r="B996" t="s">
        <v>32</v>
      </c>
      <c r="D996" t="s">
        <v>216</v>
      </c>
      <c r="E996" t="s">
        <v>597</v>
      </c>
      <c r="F996" t="s">
        <v>422</v>
      </c>
      <c r="G996" t="s">
        <v>423</v>
      </c>
      <c r="H996" t="s">
        <v>575</v>
      </c>
      <c r="I996" t="s">
        <v>601</v>
      </c>
      <c r="J996" t="s">
        <v>602</v>
      </c>
      <c r="K996" t="s">
        <v>425</v>
      </c>
      <c r="L996" t="s">
        <v>603</v>
      </c>
      <c r="M996" t="s">
        <v>28</v>
      </c>
      <c r="N996" s="1">
        <f t="shared" si="222"/>
        <v>1</v>
      </c>
      <c r="O996" s="1">
        <f t="shared" si="223"/>
        <v>0</v>
      </c>
      <c r="P996" s="1">
        <f t="shared" si="224"/>
        <v>1</v>
      </c>
      <c r="Q996" s="1">
        <f t="shared" si="225"/>
        <v>1</v>
      </c>
      <c r="R996" s="1">
        <f t="shared" si="226"/>
        <v>1</v>
      </c>
      <c r="S996" s="1">
        <f t="shared" si="227"/>
        <v>1</v>
      </c>
      <c r="T996" s="1">
        <f t="shared" si="228"/>
        <v>1</v>
      </c>
      <c r="U996" s="26">
        <f t="shared" si="229"/>
        <v>1</v>
      </c>
      <c r="V996" s="26">
        <f t="shared" si="230"/>
        <v>0</v>
      </c>
      <c r="W996" s="1">
        <f t="shared" si="231"/>
        <v>1</v>
      </c>
      <c r="X996" s="26">
        <f t="shared" si="232"/>
        <v>0</v>
      </c>
      <c r="Y996" s="26">
        <f t="shared" si="233"/>
        <v>0</v>
      </c>
      <c r="Z996" s="1">
        <f t="shared" si="234"/>
        <v>0</v>
      </c>
      <c r="AA996"/>
      <c r="AB996"/>
    </row>
    <row r="997" spans="1:28" x14ac:dyDescent="0.55000000000000004">
      <c r="A997" s="1">
        <f t="shared" si="221"/>
        <v>997</v>
      </c>
      <c r="B997" t="s">
        <v>32</v>
      </c>
      <c r="D997" t="s">
        <v>216</v>
      </c>
      <c r="E997" t="s">
        <v>597</v>
      </c>
      <c r="F997" t="s">
        <v>181</v>
      </c>
      <c r="G997" t="s">
        <v>604</v>
      </c>
      <c r="H997" t="s">
        <v>568</v>
      </c>
      <c r="I997" t="s">
        <v>433</v>
      </c>
      <c r="J997" t="s">
        <v>605</v>
      </c>
      <c r="K997" t="s">
        <v>606</v>
      </c>
      <c r="L997" t="s">
        <v>607</v>
      </c>
      <c r="M997" t="s">
        <v>28</v>
      </c>
      <c r="N997" s="1">
        <f t="shared" si="222"/>
        <v>0</v>
      </c>
      <c r="O997" s="1">
        <f t="shared" si="223"/>
        <v>2</v>
      </c>
      <c r="P997" s="1">
        <f t="shared" si="224"/>
        <v>2</v>
      </c>
      <c r="Q997" s="1">
        <f t="shared" si="225"/>
        <v>1</v>
      </c>
      <c r="R997" s="1">
        <f t="shared" si="226"/>
        <v>1</v>
      </c>
      <c r="S997" s="1">
        <f t="shared" si="227"/>
        <v>1</v>
      </c>
      <c r="T997" s="1">
        <f t="shared" si="228"/>
        <v>1</v>
      </c>
      <c r="U997" s="26">
        <f t="shared" si="229"/>
        <v>0</v>
      </c>
      <c r="V997" s="26">
        <f t="shared" si="230"/>
        <v>0</v>
      </c>
      <c r="W997" s="1">
        <f t="shared" si="231"/>
        <v>1</v>
      </c>
      <c r="X997" s="26">
        <f t="shared" si="232"/>
        <v>1</v>
      </c>
      <c r="Y997" s="26">
        <f t="shared" si="233"/>
        <v>1</v>
      </c>
      <c r="Z997" s="1">
        <f t="shared" si="234"/>
        <v>1</v>
      </c>
      <c r="AA997"/>
      <c r="AB997"/>
    </row>
    <row r="998" spans="1:28" x14ac:dyDescent="0.55000000000000004">
      <c r="A998" s="1">
        <f t="shared" si="221"/>
        <v>998</v>
      </c>
      <c r="B998" t="s">
        <v>32</v>
      </c>
      <c r="D998" t="s">
        <v>216</v>
      </c>
      <c r="E998" t="s">
        <v>597</v>
      </c>
      <c r="F998" t="s">
        <v>251</v>
      </c>
      <c r="G998" t="s">
        <v>483</v>
      </c>
      <c r="H998" t="s">
        <v>608</v>
      </c>
      <c r="I998" t="s">
        <v>609</v>
      </c>
      <c r="J998" t="s">
        <v>610</v>
      </c>
      <c r="K998" t="s">
        <v>485</v>
      </c>
      <c r="L998" t="s">
        <v>611</v>
      </c>
      <c r="M998" t="s">
        <v>28</v>
      </c>
      <c r="N998" s="1">
        <f t="shared" si="222"/>
        <v>1</v>
      </c>
      <c r="O998" s="1">
        <f t="shared" si="223"/>
        <v>1</v>
      </c>
      <c r="P998" s="1">
        <f t="shared" si="224"/>
        <v>2</v>
      </c>
      <c r="Q998" s="1">
        <f t="shared" si="225"/>
        <v>0</v>
      </c>
      <c r="R998" s="1">
        <f t="shared" si="226"/>
        <v>1</v>
      </c>
      <c r="S998" s="1">
        <f t="shared" si="227"/>
        <v>0</v>
      </c>
      <c r="T998" s="1">
        <f t="shared" si="228"/>
        <v>1</v>
      </c>
      <c r="U998" s="26">
        <f t="shared" si="229"/>
        <v>1</v>
      </c>
      <c r="V998" s="26">
        <f t="shared" si="230"/>
        <v>0</v>
      </c>
      <c r="W998" s="1">
        <f t="shared" si="231"/>
        <v>1</v>
      </c>
      <c r="X998" s="26">
        <f t="shared" si="232"/>
        <v>1</v>
      </c>
      <c r="Y998" s="26">
        <f t="shared" si="233"/>
        <v>0</v>
      </c>
      <c r="Z998" s="1">
        <f t="shared" si="234"/>
        <v>1</v>
      </c>
      <c r="AA998"/>
      <c r="AB998"/>
    </row>
    <row r="999" spans="1:28" x14ac:dyDescent="0.55000000000000004">
      <c r="A999" s="1">
        <f t="shared" si="221"/>
        <v>999</v>
      </c>
      <c r="B999" t="s">
        <v>32</v>
      </c>
      <c r="D999" t="s">
        <v>216</v>
      </c>
      <c r="E999" t="s">
        <v>597</v>
      </c>
      <c r="F999" t="s">
        <v>274</v>
      </c>
      <c r="G999" t="s">
        <v>612</v>
      </c>
      <c r="H999" t="s">
        <v>573</v>
      </c>
      <c r="I999" t="s">
        <v>439</v>
      </c>
      <c r="J999" t="s">
        <v>613</v>
      </c>
      <c r="K999" t="s">
        <v>614</v>
      </c>
      <c r="L999" t="s">
        <v>615</v>
      </c>
      <c r="M999" t="s">
        <v>28</v>
      </c>
      <c r="N999" s="1">
        <f t="shared" si="222"/>
        <v>2</v>
      </c>
      <c r="O999" s="1">
        <f t="shared" si="223"/>
        <v>0</v>
      </c>
      <c r="P999" s="1">
        <f t="shared" si="224"/>
        <v>2</v>
      </c>
      <c r="Q999" s="1">
        <f t="shared" si="225"/>
        <v>1</v>
      </c>
      <c r="R999" s="1">
        <f t="shared" si="226"/>
        <v>1</v>
      </c>
      <c r="S999" s="1">
        <f t="shared" si="227"/>
        <v>1</v>
      </c>
      <c r="T999" s="1">
        <f t="shared" si="228"/>
        <v>1</v>
      </c>
      <c r="U999" s="26">
        <f t="shared" si="229"/>
        <v>1</v>
      </c>
      <c r="V999" s="26">
        <f t="shared" si="230"/>
        <v>1</v>
      </c>
      <c r="W999" s="1">
        <f t="shared" si="231"/>
        <v>1</v>
      </c>
      <c r="X999" s="26">
        <f t="shared" si="232"/>
        <v>0</v>
      </c>
      <c r="Y999" s="26">
        <f t="shared" si="233"/>
        <v>0</v>
      </c>
      <c r="Z999" s="1">
        <f t="shared" si="234"/>
        <v>1</v>
      </c>
      <c r="AA999"/>
      <c r="AB999"/>
    </row>
    <row r="1000" spans="1:28" x14ac:dyDescent="0.55000000000000004">
      <c r="A1000" s="1">
        <f t="shared" si="221"/>
        <v>1000</v>
      </c>
      <c r="B1000" t="s">
        <v>32</v>
      </c>
      <c r="D1000" t="s">
        <v>216</v>
      </c>
      <c r="E1000" t="s">
        <v>597</v>
      </c>
      <c r="F1000" t="s">
        <v>315</v>
      </c>
      <c r="G1000" t="s">
        <v>428</v>
      </c>
      <c r="H1000" t="s">
        <v>579</v>
      </c>
      <c r="I1000" t="s">
        <v>616</v>
      </c>
      <c r="J1000" t="s">
        <v>617</v>
      </c>
      <c r="K1000" t="s">
        <v>430</v>
      </c>
      <c r="L1000" t="s">
        <v>618</v>
      </c>
      <c r="M1000" t="s">
        <v>28</v>
      </c>
      <c r="N1000" s="1">
        <f t="shared" si="222"/>
        <v>2</v>
      </c>
      <c r="O1000" s="1">
        <f t="shared" si="223"/>
        <v>1</v>
      </c>
      <c r="P1000" s="1">
        <f t="shared" si="224"/>
        <v>3</v>
      </c>
      <c r="Q1000" s="1">
        <f t="shared" si="225"/>
        <v>1</v>
      </c>
      <c r="R1000" s="1">
        <f t="shared" si="226"/>
        <v>1</v>
      </c>
      <c r="S1000" s="1">
        <f t="shared" si="227"/>
        <v>1</v>
      </c>
      <c r="T1000" s="1">
        <f t="shared" si="228"/>
        <v>1</v>
      </c>
      <c r="U1000" s="26">
        <f t="shared" si="229"/>
        <v>1</v>
      </c>
      <c r="V1000" s="26">
        <f t="shared" si="230"/>
        <v>1</v>
      </c>
      <c r="W1000" s="1">
        <f t="shared" si="231"/>
        <v>1</v>
      </c>
      <c r="X1000" s="26">
        <f t="shared" si="232"/>
        <v>1</v>
      </c>
      <c r="Y1000" s="26">
        <f t="shared" si="233"/>
        <v>0</v>
      </c>
      <c r="Z1000" s="1">
        <f t="shared" si="234"/>
        <v>1</v>
      </c>
      <c r="AA1000"/>
      <c r="AB1000"/>
    </row>
    <row r="1001" spans="1:28" x14ac:dyDescent="0.55000000000000004">
      <c r="A1001" s="1">
        <f t="shared" si="221"/>
        <v>1001</v>
      </c>
      <c r="B1001" t="s">
        <v>32</v>
      </c>
      <c r="D1001" t="s">
        <v>216</v>
      </c>
      <c r="E1001" t="s">
        <v>597</v>
      </c>
      <c r="F1001" t="s">
        <v>431</v>
      </c>
      <c r="G1001" t="s">
        <v>432</v>
      </c>
      <c r="H1001" t="s">
        <v>573</v>
      </c>
      <c r="I1001" t="s">
        <v>619</v>
      </c>
      <c r="J1001" t="s">
        <v>620</v>
      </c>
      <c r="K1001" t="s">
        <v>434</v>
      </c>
      <c r="L1001" t="s">
        <v>621</v>
      </c>
      <c r="M1001" t="s">
        <v>28</v>
      </c>
      <c r="N1001" s="1">
        <f t="shared" si="222"/>
        <v>2</v>
      </c>
      <c r="O1001" s="1">
        <f t="shared" si="223"/>
        <v>0</v>
      </c>
      <c r="P1001" s="1">
        <f t="shared" si="224"/>
        <v>2</v>
      </c>
      <c r="Q1001" s="1">
        <f t="shared" si="225"/>
        <v>1</v>
      </c>
      <c r="R1001" s="1">
        <f t="shared" si="226"/>
        <v>1</v>
      </c>
      <c r="S1001" s="1">
        <f t="shared" si="227"/>
        <v>1</v>
      </c>
      <c r="T1001" s="1">
        <f t="shared" si="228"/>
        <v>1</v>
      </c>
      <c r="U1001" s="26">
        <f t="shared" si="229"/>
        <v>1</v>
      </c>
      <c r="V1001" s="26">
        <f t="shared" si="230"/>
        <v>1</v>
      </c>
      <c r="W1001" s="1">
        <f t="shared" si="231"/>
        <v>1</v>
      </c>
      <c r="X1001" s="26">
        <f t="shared" si="232"/>
        <v>0</v>
      </c>
      <c r="Y1001" s="26">
        <f t="shared" si="233"/>
        <v>0</v>
      </c>
      <c r="Z1001" s="1">
        <f t="shared" si="234"/>
        <v>1</v>
      </c>
      <c r="AA1001"/>
      <c r="AB1001"/>
    </row>
    <row r="1002" spans="1:28" x14ac:dyDescent="0.55000000000000004">
      <c r="A1002" s="1">
        <f t="shared" si="221"/>
        <v>1002</v>
      </c>
      <c r="B1002" t="s">
        <v>32</v>
      </c>
      <c r="D1002" t="s">
        <v>216</v>
      </c>
      <c r="E1002" t="s">
        <v>597</v>
      </c>
      <c r="F1002" t="s">
        <v>431</v>
      </c>
      <c r="G1002" t="s">
        <v>438</v>
      </c>
      <c r="H1002" t="s">
        <v>573</v>
      </c>
      <c r="I1002" t="s">
        <v>622</v>
      </c>
      <c r="J1002" t="s">
        <v>623</v>
      </c>
      <c r="K1002" t="s">
        <v>624</v>
      </c>
      <c r="L1002" t="s">
        <v>625</v>
      </c>
      <c r="M1002" t="s">
        <v>28</v>
      </c>
      <c r="N1002" s="1">
        <f t="shared" si="222"/>
        <v>2</v>
      </c>
      <c r="O1002" s="1">
        <f t="shared" si="223"/>
        <v>0</v>
      </c>
      <c r="P1002" s="1">
        <f t="shared" si="224"/>
        <v>2</v>
      </c>
      <c r="Q1002" s="1">
        <f t="shared" si="225"/>
        <v>1</v>
      </c>
      <c r="R1002" s="1">
        <f t="shared" si="226"/>
        <v>1</v>
      </c>
      <c r="S1002" s="1">
        <f t="shared" si="227"/>
        <v>1</v>
      </c>
      <c r="T1002" s="1">
        <f t="shared" si="228"/>
        <v>1</v>
      </c>
      <c r="U1002" s="26">
        <f t="shared" si="229"/>
        <v>1</v>
      </c>
      <c r="V1002" s="26">
        <f t="shared" si="230"/>
        <v>1</v>
      </c>
      <c r="W1002" s="1">
        <f t="shared" si="231"/>
        <v>1</v>
      </c>
      <c r="X1002" s="26">
        <f t="shared" si="232"/>
        <v>0</v>
      </c>
      <c r="Y1002" s="26">
        <f t="shared" si="233"/>
        <v>0</v>
      </c>
      <c r="Z1002" s="1">
        <f t="shared" si="234"/>
        <v>1</v>
      </c>
      <c r="AA1002"/>
      <c r="AB1002"/>
    </row>
    <row r="1003" spans="1:28" x14ac:dyDescent="0.55000000000000004">
      <c r="A1003" s="1">
        <f t="shared" si="221"/>
        <v>1003</v>
      </c>
      <c r="B1003" t="s">
        <v>32</v>
      </c>
      <c r="D1003" t="s">
        <v>216</v>
      </c>
      <c r="E1003" t="s">
        <v>597</v>
      </c>
      <c r="F1003" t="s">
        <v>447</v>
      </c>
      <c r="G1003" t="s">
        <v>626</v>
      </c>
      <c r="H1003" t="s">
        <v>590</v>
      </c>
      <c r="I1003" t="s">
        <v>490</v>
      </c>
      <c r="J1003" t="s">
        <v>627</v>
      </c>
      <c r="K1003" t="s">
        <v>628</v>
      </c>
      <c r="L1003" t="s">
        <v>629</v>
      </c>
      <c r="M1003" t="s">
        <v>28</v>
      </c>
      <c r="N1003" s="1">
        <f t="shared" si="222"/>
        <v>0</v>
      </c>
      <c r="O1003" s="1">
        <f t="shared" si="223"/>
        <v>1</v>
      </c>
      <c r="P1003" s="1">
        <f t="shared" si="224"/>
        <v>1</v>
      </c>
      <c r="Q1003" s="1">
        <f t="shared" si="225"/>
        <v>1</v>
      </c>
      <c r="R1003" s="1">
        <f t="shared" si="226"/>
        <v>1</v>
      </c>
      <c r="S1003" s="1">
        <f t="shared" si="227"/>
        <v>1</v>
      </c>
      <c r="T1003" s="1">
        <f t="shared" si="228"/>
        <v>1</v>
      </c>
      <c r="U1003" s="26">
        <f t="shared" si="229"/>
        <v>0</v>
      </c>
      <c r="V1003" s="26">
        <f t="shared" si="230"/>
        <v>0</v>
      </c>
      <c r="W1003" s="1">
        <f t="shared" si="231"/>
        <v>1</v>
      </c>
      <c r="X1003" s="26">
        <f t="shared" si="232"/>
        <v>1</v>
      </c>
      <c r="Y1003" s="26">
        <f t="shared" si="233"/>
        <v>0</v>
      </c>
      <c r="Z1003" s="1">
        <f t="shared" si="234"/>
        <v>0</v>
      </c>
      <c r="AA1003"/>
      <c r="AB1003"/>
    </row>
    <row r="1004" spans="1:28" x14ac:dyDescent="0.55000000000000004">
      <c r="A1004" s="1">
        <f t="shared" si="221"/>
        <v>1004</v>
      </c>
      <c r="B1004" t="s">
        <v>32</v>
      </c>
      <c r="D1004" t="s">
        <v>216</v>
      </c>
      <c r="E1004" t="s">
        <v>597</v>
      </c>
      <c r="F1004" t="s">
        <v>447</v>
      </c>
      <c r="G1004" t="s">
        <v>630</v>
      </c>
      <c r="H1004" t="s">
        <v>608</v>
      </c>
      <c r="I1004" t="s">
        <v>506</v>
      </c>
      <c r="J1004" t="s">
        <v>631</v>
      </c>
      <c r="K1004" t="s">
        <v>632</v>
      </c>
      <c r="L1004" t="s">
        <v>633</v>
      </c>
      <c r="M1004" t="s">
        <v>28</v>
      </c>
      <c r="N1004" s="1">
        <f t="shared" si="222"/>
        <v>1</v>
      </c>
      <c r="O1004" s="1">
        <f t="shared" si="223"/>
        <v>1</v>
      </c>
      <c r="P1004" s="1">
        <f t="shared" si="224"/>
        <v>2</v>
      </c>
      <c r="Q1004" s="1">
        <f t="shared" si="225"/>
        <v>0</v>
      </c>
      <c r="R1004" s="1">
        <f t="shared" si="226"/>
        <v>1</v>
      </c>
      <c r="S1004" s="1">
        <f t="shared" si="227"/>
        <v>0</v>
      </c>
      <c r="T1004" s="1">
        <f t="shared" si="228"/>
        <v>1</v>
      </c>
      <c r="U1004" s="26">
        <f t="shared" si="229"/>
        <v>1</v>
      </c>
      <c r="V1004" s="26">
        <f t="shared" si="230"/>
        <v>0</v>
      </c>
      <c r="W1004" s="1">
        <f t="shared" si="231"/>
        <v>1</v>
      </c>
      <c r="X1004" s="26">
        <f t="shared" si="232"/>
        <v>1</v>
      </c>
      <c r="Y1004" s="26">
        <f t="shared" si="233"/>
        <v>0</v>
      </c>
      <c r="Z1004" s="1">
        <f t="shared" si="234"/>
        <v>1</v>
      </c>
      <c r="AA1004"/>
      <c r="AB1004"/>
    </row>
    <row r="1005" spans="1:28" x14ac:dyDescent="0.55000000000000004">
      <c r="A1005" s="1">
        <f t="shared" si="221"/>
        <v>1005</v>
      </c>
      <c r="B1005" t="s">
        <v>32</v>
      </c>
      <c r="D1005" t="s">
        <v>177</v>
      </c>
      <c r="E1005" t="s">
        <v>634</v>
      </c>
      <c r="F1005" t="s">
        <v>251</v>
      </c>
      <c r="G1005" t="s">
        <v>635</v>
      </c>
      <c r="H1005" t="s">
        <v>565</v>
      </c>
      <c r="I1005" t="s">
        <v>500</v>
      </c>
      <c r="J1005" t="s">
        <v>636</v>
      </c>
      <c r="K1005" t="s">
        <v>637</v>
      </c>
      <c r="L1005" t="s">
        <v>638</v>
      </c>
      <c r="M1005" t="s">
        <v>28</v>
      </c>
      <c r="N1005" s="1">
        <f t="shared" si="222"/>
        <v>2</v>
      </c>
      <c r="O1005" s="1">
        <f t="shared" si="223"/>
        <v>3</v>
      </c>
      <c r="P1005" s="1">
        <f t="shared" si="224"/>
        <v>5</v>
      </c>
      <c r="Q1005" s="1">
        <f t="shared" si="225"/>
        <v>1</v>
      </c>
      <c r="R1005" s="1">
        <f t="shared" si="226"/>
        <v>0</v>
      </c>
      <c r="S1005" s="1">
        <f t="shared" si="227"/>
        <v>0</v>
      </c>
      <c r="T1005" s="1">
        <f t="shared" si="228"/>
        <v>1</v>
      </c>
      <c r="U1005" s="26">
        <f t="shared" si="229"/>
        <v>1</v>
      </c>
      <c r="V1005" s="26">
        <f t="shared" si="230"/>
        <v>1</v>
      </c>
      <c r="W1005" s="1">
        <f t="shared" si="231"/>
        <v>0</v>
      </c>
      <c r="X1005" s="26">
        <f t="shared" si="232"/>
        <v>1</v>
      </c>
      <c r="Y1005" s="26">
        <f t="shared" si="233"/>
        <v>1</v>
      </c>
      <c r="Z1005" s="1">
        <f t="shared" si="234"/>
        <v>1</v>
      </c>
      <c r="AA1005"/>
      <c r="AB1005"/>
    </row>
    <row r="1006" spans="1:28" x14ac:dyDescent="0.55000000000000004">
      <c r="A1006" s="1">
        <f t="shared" si="221"/>
        <v>1006</v>
      </c>
      <c r="B1006" t="s">
        <v>32</v>
      </c>
      <c r="D1006" t="s">
        <v>177</v>
      </c>
      <c r="E1006" t="s">
        <v>634</v>
      </c>
      <c r="F1006" t="s">
        <v>181</v>
      </c>
      <c r="G1006" t="s">
        <v>639</v>
      </c>
      <c r="H1006" t="s">
        <v>640</v>
      </c>
      <c r="I1006" t="s">
        <v>459</v>
      </c>
      <c r="J1006" t="s">
        <v>126</v>
      </c>
      <c r="K1006" t="s">
        <v>641</v>
      </c>
      <c r="L1006" t="s">
        <v>642</v>
      </c>
      <c r="M1006" t="s">
        <v>28</v>
      </c>
      <c r="N1006" s="1">
        <f t="shared" si="222"/>
        <v>1</v>
      </c>
      <c r="O1006" s="1">
        <f t="shared" si="223"/>
        <v>4</v>
      </c>
      <c r="P1006" s="1">
        <f t="shared" si="224"/>
        <v>5</v>
      </c>
      <c r="Q1006" s="1">
        <f t="shared" si="225"/>
        <v>1</v>
      </c>
      <c r="R1006" s="1">
        <f t="shared" si="226"/>
        <v>0</v>
      </c>
      <c r="S1006" s="1">
        <f t="shared" si="227"/>
        <v>0</v>
      </c>
      <c r="T1006" s="1">
        <f t="shared" si="228"/>
        <v>1</v>
      </c>
      <c r="U1006" s="26">
        <f t="shared" si="229"/>
        <v>1</v>
      </c>
      <c r="V1006" s="26">
        <f t="shared" si="230"/>
        <v>0</v>
      </c>
      <c r="W1006" s="1">
        <f t="shared" si="231"/>
        <v>0</v>
      </c>
      <c r="X1006" s="26">
        <f t="shared" si="232"/>
        <v>0</v>
      </c>
      <c r="Y1006" s="26">
        <f t="shared" si="233"/>
        <v>1</v>
      </c>
      <c r="Z1006" s="1">
        <f t="shared" si="234"/>
        <v>1</v>
      </c>
      <c r="AA1006"/>
      <c r="AB1006"/>
    </row>
    <row r="1007" spans="1:28" x14ac:dyDescent="0.55000000000000004">
      <c r="A1007" s="1">
        <f t="shared" si="221"/>
        <v>1007</v>
      </c>
      <c r="B1007" t="s">
        <v>32</v>
      </c>
      <c r="D1007" t="s">
        <v>177</v>
      </c>
      <c r="E1007" t="s">
        <v>634</v>
      </c>
      <c r="F1007" t="s">
        <v>492</v>
      </c>
      <c r="G1007" t="s">
        <v>493</v>
      </c>
      <c r="H1007" t="s">
        <v>579</v>
      </c>
      <c r="I1007" t="s">
        <v>643</v>
      </c>
      <c r="J1007" t="s">
        <v>644</v>
      </c>
      <c r="K1007" t="s">
        <v>495</v>
      </c>
      <c r="L1007" t="s">
        <v>645</v>
      </c>
      <c r="M1007" t="s">
        <v>28</v>
      </c>
      <c r="N1007" s="1">
        <f t="shared" si="222"/>
        <v>2</v>
      </c>
      <c r="O1007" s="1">
        <f t="shared" si="223"/>
        <v>1</v>
      </c>
      <c r="P1007" s="1">
        <f t="shared" si="224"/>
        <v>3</v>
      </c>
      <c r="Q1007" s="1">
        <f t="shared" si="225"/>
        <v>1</v>
      </c>
      <c r="R1007" s="1">
        <f t="shared" si="226"/>
        <v>1</v>
      </c>
      <c r="S1007" s="1">
        <f t="shared" si="227"/>
        <v>1</v>
      </c>
      <c r="T1007" s="1">
        <f t="shared" si="228"/>
        <v>1</v>
      </c>
      <c r="U1007" s="26">
        <f t="shared" si="229"/>
        <v>1</v>
      </c>
      <c r="V1007" s="26">
        <f t="shared" si="230"/>
        <v>1</v>
      </c>
      <c r="W1007" s="1">
        <f t="shared" si="231"/>
        <v>1</v>
      </c>
      <c r="X1007" s="26">
        <f t="shared" si="232"/>
        <v>1</v>
      </c>
      <c r="Y1007" s="26">
        <f t="shared" si="233"/>
        <v>0</v>
      </c>
      <c r="Z1007" s="1">
        <f t="shared" si="234"/>
        <v>1</v>
      </c>
      <c r="AA1007"/>
      <c r="AB1007"/>
    </row>
    <row r="1008" spans="1:28" x14ac:dyDescent="0.55000000000000004">
      <c r="A1008" s="1">
        <f t="shared" si="221"/>
        <v>1008</v>
      </c>
      <c r="B1008" t="s">
        <v>32</v>
      </c>
      <c r="D1008" t="s">
        <v>177</v>
      </c>
      <c r="E1008" t="s">
        <v>634</v>
      </c>
      <c r="F1008" t="s">
        <v>182</v>
      </c>
      <c r="G1008" t="s">
        <v>646</v>
      </c>
      <c r="H1008" t="s">
        <v>608</v>
      </c>
      <c r="I1008" t="s">
        <v>480</v>
      </c>
      <c r="J1008" t="s">
        <v>647</v>
      </c>
      <c r="K1008" t="s">
        <v>648</v>
      </c>
      <c r="L1008" t="s">
        <v>649</v>
      </c>
      <c r="M1008" t="s">
        <v>28</v>
      </c>
      <c r="N1008" s="1">
        <f t="shared" si="222"/>
        <v>1</v>
      </c>
      <c r="O1008" s="1">
        <f t="shared" si="223"/>
        <v>1</v>
      </c>
      <c r="P1008" s="1">
        <f t="shared" si="224"/>
        <v>2</v>
      </c>
      <c r="Q1008" s="1">
        <f t="shared" si="225"/>
        <v>0</v>
      </c>
      <c r="R1008" s="1">
        <f t="shared" si="226"/>
        <v>1</v>
      </c>
      <c r="S1008" s="1">
        <f t="shared" si="227"/>
        <v>0</v>
      </c>
      <c r="T1008" s="1">
        <f t="shared" si="228"/>
        <v>1</v>
      </c>
      <c r="U1008" s="26">
        <f t="shared" si="229"/>
        <v>1</v>
      </c>
      <c r="V1008" s="26">
        <f t="shared" si="230"/>
        <v>0</v>
      </c>
      <c r="W1008" s="1">
        <f t="shared" si="231"/>
        <v>1</v>
      </c>
      <c r="X1008" s="26">
        <f t="shared" si="232"/>
        <v>1</v>
      </c>
      <c r="Y1008" s="26">
        <f t="shared" si="233"/>
        <v>0</v>
      </c>
      <c r="Z1008" s="1">
        <f t="shared" si="234"/>
        <v>1</v>
      </c>
      <c r="AA1008"/>
      <c r="AB1008"/>
    </row>
    <row r="1009" spans="1:28" x14ac:dyDescent="0.55000000000000004">
      <c r="A1009" s="1">
        <f t="shared" si="221"/>
        <v>1009</v>
      </c>
      <c r="B1009" t="s">
        <v>36</v>
      </c>
      <c r="D1009" t="s">
        <v>189</v>
      </c>
      <c r="E1009" t="s">
        <v>707</v>
      </c>
      <c r="F1009" t="s">
        <v>181</v>
      </c>
      <c r="G1009" t="s">
        <v>513</v>
      </c>
      <c r="H1009" t="s">
        <v>708</v>
      </c>
      <c r="I1009" t="s">
        <v>709</v>
      </c>
      <c r="J1009" t="s">
        <v>710</v>
      </c>
      <c r="K1009" t="s">
        <v>515</v>
      </c>
      <c r="L1009" t="s">
        <v>711</v>
      </c>
      <c r="M1009" t="s">
        <v>28</v>
      </c>
      <c r="N1009" s="1">
        <f t="shared" si="222"/>
        <v>0</v>
      </c>
      <c r="O1009" s="1">
        <f t="shared" si="223"/>
        <v>0</v>
      </c>
      <c r="P1009" s="1">
        <f t="shared" si="224"/>
        <v>0</v>
      </c>
      <c r="Q1009" s="1">
        <f t="shared" si="225"/>
        <v>0</v>
      </c>
      <c r="R1009" s="1">
        <f t="shared" si="226"/>
        <v>1</v>
      </c>
      <c r="S1009" s="1">
        <f t="shared" si="227"/>
        <v>0</v>
      </c>
      <c r="T1009" s="1">
        <f t="shared" si="228"/>
        <v>1</v>
      </c>
      <c r="U1009" s="26">
        <f t="shared" si="229"/>
        <v>0</v>
      </c>
      <c r="V1009" s="26">
        <f t="shared" si="230"/>
        <v>0</v>
      </c>
      <c r="W1009" s="1">
        <f t="shared" si="231"/>
        <v>1</v>
      </c>
      <c r="X1009" s="26">
        <f t="shared" si="232"/>
        <v>0</v>
      </c>
      <c r="Y1009" s="26">
        <f t="shared" si="233"/>
        <v>0</v>
      </c>
      <c r="Z1009" s="1">
        <f t="shared" si="234"/>
        <v>0</v>
      </c>
      <c r="AA1009"/>
      <c r="AB1009"/>
    </row>
    <row r="1010" spans="1:28" x14ac:dyDescent="0.55000000000000004">
      <c r="A1010" s="1">
        <f t="shared" si="221"/>
        <v>1010</v>
      </c>
      <c r="B1010" t="s">
        <v>36</v>
      </c>
      <c r="D1010" t="s">
        <v>189</v>
      </c>
      <c r="E1010" t="s">
        <v>707</v>
      </c>
      <c r="F1010" t="s">
        <v>202</v>
      </c>
      <c r="G1010" t="s">
        <v>530</v>
      </c>
      <c r="H1010" t="s">
        <v>573</v>
      </c>
      <c r="I1010" t="s">
        <v>712</v>
      </c>
      <c r="J1010" t="s">
        <v>713</v>
      </c>
      <c r="K1010" t="s">
        <v>532</v>
      </c>
      <c r="L1010" t="s">
        <v>714</v>
      </c>
      <c r="M1010" t="s">
        <v>28</v>
      </c>
      <c r="N1010" s="1">
        <f t="shared" si="222"/>
        <v>2</v>
      </c>
      <c r="O1010" s="1">
        <f t="shared" si="223"/>
        <v>0</v>
      </c>
      <c r="P1010" s="1">
        <f t="shared" si="224"/>
        <v>2</v>
      </c>
      <c r="Q1010" s="1">
        <f t="shared" si="225"/>
        <v>1</v>
      </c>
      <c r="R1010" s="1">
        <f t="shared" si="226"/>
        <v>1</v>
      </c>
      <c r="S1010" s="1">
        <f t="shared" si="227"/>
        <v>1</v>
      </c>
      <c r="T1010" s="1">
        <f t="shared" si="228"/>
        <v>1</v>
      </c>
      <c r="U1010" s="26">
        <f t="shared" si="229"/>
        <v>1</v>
      </c>
      <c r="V1010" s="26">
        <f t="shared" si="230"/>
        <v>1</v>
      </c>
      <c r="W1010" s="1">
        <f t="shared" si="231"/>
        <v>1</v>
      </c>
      <c r="X1010" s="26">
        <f t="shared" si="232"/>
        <v>0</v>
      </c>
      <c r="Y1010" s="26">
        <f t="shared" si="233"/>
        <v>0</v>
      </c>
      <c r="Z1010" s="1">
        <f t="shared" si="234"/>
        <v>1</v>
      </c>
      <c r="AA1010"/>
      <c r="AB1010"/>
    </row>
    <row r="1011" spans="1:28" x14ac:dyDescent="0.55000000000000004">
      <c r="A1011" s="1">
        <f t="shared" si="221"/>
        <v>1011</v>
      </c>
      <c r="B1011" t="s">
        <v>36</v>
      </c>
      <c r="D1011" t="s">
        <v>189</v>
      </c>
      <c r="E1011" t="s">
        <v>707</v>
      </c>
      <c r="F1011" t="s">
        <v>202</v>
      </c>
      <c r="G1011" t="s">
        <v>715</v>
      </c>
      <c r="H1011" t="s">
        <v>581</v>
      </c>
      <c r="I1011" t="s">
        <v>525</v>
      </c>
      <c r="J1011" t="s">
        <v>716</v>
      </c>
      <c r="K1011" t="s">
        <v>717</v>
      </c>
      <c r="L1011" t="s">
        <v>718</v>
      </c>
      <c r="M1011" t="s">
        <v>28</v>
      </c>
      <c r="N1011" s="1">
        <f t="shared" si="222"/>
        <v>1</v>
      </c>
      <c r="O1011" s="1">
        <f t="shared" si="223"/>
        <v>2</v>
      </c>
      <c r="P1011" s="1">
        <f t="shared" si="224"/>
        <v>3</v>
      </c>
      <c r="Q1011" s="1">
        <f t="shared" si="225"/>
        <v>1</v>
      </c>
      <c r="R1011" s="1">
        <f t="shared" si="226"/>
        <v>1</v>
      </c>
      <c r="S1011" s="1">
        <f t="shared" si="227"/>
        <v>1</v>
      </c>
      <c r="T1011" s="1">
        <f t="shared" si="228"/>
        <v>1</v>
      </c>
      <c r="U1011" s="26">
        <f t="shared" si="229"/>
        <v>1</v>
      </c>
      <c r="V1011" s="26">
        <f t="shared" si="230"/>
        <v>0</v>
      </c>
      <c r="W1011" s="1">
        <f t="shared" si="231"/>
        <v>1</v>
      </c>
      <c r="X1011" s="26">
        <f t="shared" si="232"/>
        <v>1</v>
      </c>
      <c r="Y1011" s="26">
        <f t="shared" si="233"/>
        <v>1</v>
      </c>
      <c r="Z1011" s="1">
        <f t="shared" si="234"/>
        <v>1</v>
      </c>
      <c r="AA1011"/>
      <c r="AB1011"/>
    </row>
    <row r="1012" spans="1:28" x14ac:dyDescent="0.55000000000000004">
      <c r="A1012" s="1">
        <f t="shared" si="221"/>
        <v>1012</v>
      </c>
      <c r="B1012" t="s">
        <v>36</v>
      </c>
      <c r="D1012" t="s">
        <v>189</v>
      </c>
      <c r="E1012" t="s">
        <v>707</v>
      </c>
      <c r="F1012" t="s">
        <v>182</v>
      </c>
      <c r="G1012" t="s">
        <v>527</v>
      </c>
      <c r="H1012" t="s">
        <v>708</v>
      </c>
      <c r="I1012" t="s">
        <v>719</v>
      </c>
      <c r="J1012" t="s">
        <v>720</v>
      </c>
      <c r="K1012" t="s">
        <v>529</v>
      </c>
      <c r="L1012" t="s">
        <v>721</v>
      </c>
      <c r="M1012" t="s">
        <v>28</v>
      </c>
      <c r="N1012" s="1">
        <f t="shared" si="222"/>
        <v>0</v>
      </c>
      <c r="O1012" s="1">
        <f t="shared" si="223"/>
        <v>0</v>
      </c>
      <c r="P1012" s="1">
        <f t="shared" si="224"/>
        <v>0</v>
      </c>
      <c r="Q1012" s="1">
        <f t="shared" si="225"/>
        <v>0</v>
      </c>
      <c r="R1012" s="1">
        <f t="shared" si="226"/>
        <v>1</v>
      </c>
      <c r="S1012" s="1">
        <f t="shared" si="227"/>
        <v>0</v>
      </c>
      <c r="T1012" s="1">
        <f t="shared" si="228"/>
        <v>1</v>
      </c>
      <c r="U1012" s="26">
        <f t="shared" si="229"/>
        <v>0</v>
      </c>
      <c r="V1012" s="26">
        <f t="shared" si="230"/>
        <v>0</v>
      </c>
      <c r="W1012" s="1">
        <f t="shared" si="231"/>
        <v>1</v>
      </c>
      <c r="X1012" s="26">
        <f t="shared" si="232"/>
        <v>0</v>
      </c>
      <c r="Y1012" s="26">
        <f t="shared" si="233"/>
        <v>0</v>
      </c>
      <c r="Z1012" s="1">
        <f t="shared" si="234"/>
        <v>0</v>
      </c>
      <c r="AA1012"/>
      <c r="AB1012"/>
    </row>
    <row r="1013" spans="1:28" x14ac:dyDescent="0.55000000000000004">
      <c r="A1013" s="1">
        <f t="shared" si="221"/>
        <v>1013</v>
      </c>
      <c r="B1013" t="s">
        <v>36</v>
      </c>
      <c r="D1013" t="s">
        <v>189</v>
      </c>
      <c r="E1013" t="s">
        <v>707</v>
      </c>
      <c r="F1013" t="s">
        <v>431</v>
      </c>
      <c r="G1013" t="s">
        <v>518</v>
      </c>
      <c r="H1013" t="s">
        <v>722</v>
      </c>
      <c r="I1013" t="s">
        <v>723</v>
      </c>
      <c r="J1013" t="s">
        <v>724</v>
      </c>
      <c r="K1013" t="s">
        <v>520</v>
      </c>
      <c r="L1013" t="s">
        <v>725</v>
      </c>
      <c r="M1013" t="s">
        <v>28</v>
      </c>
      <c r="N1013" s="1">
        <f t="shared" si="222"/>
        <v>3</v>
      </c>
      <c r="O1013" s="1">
        <f t="shared" si="223"/>
        <v>0</v>
      </c>
      <c r="P1013" s="1">
        <f t="shared" si="224"/>
        <v>3</v>
      </c>
      <c r="Q1013" s="1">
        <f t="shared" si="225"/>
        <v>1</v>
      </c>
      <c r="R1013" s="1">
        <f t="shared" si="226"/>
        <v>1</v>
      </c>
      <c r="S1013" s="1">
        <f t="shared" si="227"/>
        <v>1</v>
      </c>
      <c r="T1013" s="1">
        <f t="shared" si="228"/>
        <v>0</v>
      </c>
      <c r="U1013" s="26">
        <f t="shared" si="229"/>
        <v>1</v>
      </c>
      <c r="V1013" s="26">
        <f t="shared" si="230"/>
        <v>1</v>
      </c>
      <c r="W1013" s="1">
        <f t="shared" si="231"/>
        <v>1</v>
      </c>
      <c r="X1013" s="26">
        <f t="shared" si="232"/>
        <v>0</v>
      </c>
      <c r="Y1013" s="26">
        <f t="shared" si="233"/>
        <v>0</v>
      </c>
      <c r="Z1013" s="1">
        <f t="shared" si="234"/>
        <v>1</v>
      </c>
      <c r="AA1013"/>
      <c r="AB1013"/>
    </row>
    <row r="1014" spans="1:28" x14ac:dyDescent="0.55000000000000004">
      <c r="A1014" s="1">
        <f t="shared" si="221"/>
        <v>1014</v>
      </c>
      <c r="B1014" t="s">
        <v>36</v>
      </c>
      <c r="D1014" t="s">
        <v>189</v>
      </c>
      <c r="E1014" t="s">
        <v>707</v>
      </c>
      <c r="F1014" t="s">
        <v>450</v>
      </c>
      <c r="G1014" t="s">
        <v>561</v>
      </c>
      <c r="H1014" t="s">
        <v>683</v>
      </c>
      <c r="I1014" t="s">
        <v>726</v>
      </c>
      <c r="J1014" t="s">
        <v>727</v>
      </c>
      <c r="K1014" t="s">
        <v>563</v>
      </c>
      <c r="L1014" t="s">
        <v>728</v>
      </c>
      <c r="M1014" t="s">
        <v>28</v>
      </c>
      <c r="N1014" s="1">
        <f t="shared" si="222"/>
        <v>3</v>
      </c>
      <c r="O1014" s="1">
        <f t="shared" si="223"/>
        <v>2</v>
      </c>
      <c r="P1014" s="1">
        <f t="shared" si="224"/>
        <v>5</v>
      </c>
      <c r="Q1014" s="1">
        <f t="shared" si="225"/>
        <v>1</v>
      </c>
      <c r="R1014" s="1">
        <f t="shared" si="226"/>
        <v>0</v>
      </c>
      <c r="S1014" s="1">
        <f t="shared" si="227"/>
        <v>0</v>
      </c>
      <c r="T1014" s="1">
        <f t="shared" si="228"/>
        <v>0</v>
      </c>
      <c r="U1014" s="26">
        <f t="shared" si="229"/>
        <v>1</v>
      </c>
      <c r="V1014" s="26">
        <f t="shared" si="230"/>
        <v>1</v>
      </c>
      <c r="W1014" s="1">
        <f t="shared" si="231"/>
        <v>1</v>
      </c>
      <c r="X1014" s="26">
        <f t="shared" si="232"/>
        <v>1</v>
      </c>
      <c r="Y1014" s="26">
        <f t="shared" si="233"/>
        <v>1</v>
      </c>
      <c r="Z1014" s="1">
        <f t="shared" si="234"/>
        <v>1</v>
      </c>
      <c r="AA1014"/>
      <c r="AB1014"/>
    </row>
    <row r="1015" spans="1:28" x14ac:dyDescent="0.55000000000000004">
      <c r="A1015" s="1">
        <f t="shared" si="221"/>
        <v>1015</v>
      </c>
      <c r="B1015" t="s">
        <v>33</v>
      </c>
      <c r="C1015" t="s">
        <v>122</v>
      </c>
      <c r="D1015" t="s">
        <v>174</v>
      </c>
      <c r="E1015" t="s">
        <v>1222</v>
      </c>
      <c r="F1015" t="s">
        <v>277</v>
      </c>
      <c r="G1015" t="s">
        <v>284</v>
      </c>
      <c r="H1015" t="s">
        <v>873</v>
      </c>
      <c r="I1015" t="s">
        <v>365</v>
      </c>
      <c r="J1015" t="s">
        <v>1223</v>
      </c>
      <c r="K1015" t="s">
        <v>286</v>
      </c>
      <c r="L1015" t="s">
        <v>1194</v>
      </c>
      <c r="M1015" t="s">
        <v>28</v>
      </c>
      <c r="N1015" s="1">
        <f t="shared" si="222"/>
        <v>4</v>
      </c>
      <c r="O1015" s="1">
        <f t="shared" si="223"/>
        <v>3</v>
      </c>
      <c r="P1015" s="1">
        <f t="shared" si="224"/>
        <v>7</v>
      </c>
      <c r="Q1015" s="1">
        <f t="shared" si="225"/>
        <v>1</v>
      </c>
      <c r="R1015" s="1">
        <f t="shared" si="226"/>
        <v>0</v>
      </c>
      <c r="S1015" s="1">
        <f t="shared" si="227"/>
        <v>0</v>
      </c>
      <c r="T1015" s="1">
        <f t="shared" si="228"/>
        <v>0</v>
      </c>
      <c r="U1015" s="26">
        <f t="shared" si="229"/>
        <v>0</v>
      </c>
      <c r="V1015" s="26">
        <f t="shared" si="230"/>
        <v>1</v>
      </c>
      <c r="W1015" s="1">
        <f t="shared" si="231"/>
        <v>0</v>
      </c>
      <c r="X1015" s="26">
        <f t="shared" si="232"/>
        <v>1</v>
      </c>
      <c r="Y1015" s="26">
        <f t="shared" si="233"/>
        <v>1</v>
      </c>
      <c r="Z1015" s="1">
        <f t="shared" si="234"/>
        <v>1</v>
      </c>
      <c r="AA1015"/>
      <c r="AB1015"/>
    </row>
    <row r="1016" spans="1:28" x14ac:dyDescent="0.55000000000000004">
      <c r="A1016" s="1">
        <f t="shared" si="221"/>
        <v>1016</v>
      </c>
      <c r="B1016" t="s">
        <v>37</v>
      </c>
      <c r="C1016" t="s">
        <v>41</v>
      </c>
      <c r="D1016" t="s">
        <v>174</v>
      </c>
      <c r="E1016" t="s">
        <v>1222</v>
      </c>
      <c r="F1016" t="s">
        <v>315</v>
      </c>
      <c r="G1016" t="s">
        <v>313</v>
      </c>
      <c r="H1016" t="s">
        <v>581</v>
      </c>
      <c r="I1016" t="s">
        <v>318</v>
      </c>
      <c r="J1016" t="s">
        <v>1337</v>
      </c>
      <c r="K1016" t="s">
        <v>317</v>
      </c>
      <c r="L1016" t="s">
        <v>591</v>
      </c>
      <c r="M1016" t="s">
        <v>28</v>
      </c>
      <c r="N1016" s="1">
        <f t="shared" si="222"/>
        <v>1</v>
      </c>
      <c r="O1016" s="1">
        <f t="shared" si="223"/>
        <v>2</v>
      </c>
      <c r="P1016" s="1">
        <f t="shared" si="224"/>
        <v>3</v>
      </c>
      <c r="Q1016" s="1">
        <f t="shared" si="225"/>
        <v>1</v>
      </c>
      <c r="R1016" s="1">
        <f t="shared" si="226"/>
        <v>1</v>
      </c>
      <c r="S1016" s="1">
        <f t="shared" si="227"/>
        <v>1</v>
      </c>
      <c r="T1016" s="1">
        <f t="shared" si="228"/>
        <v>1</v>
      </c>
      <c r="U1016" s="26">
        <f t="shared" si="229"/>
        <v>1</v>
      </c>
      <c r="V1016" s="26">
        <f t="shared" si="230"/>
        <v>0</v>
      </c>
      <c r="W1016" s="1">
        <f t="shared" si="231"/>
        <v>1</v>
      </c>
      <c r="X1016" s="26">
        <f t="shared" si="232"/>
        <v>1</v>
      </c>
      <c r="Y1016" s="26">
        <f t="shared" si="233"/>
        <v>1</v>
      </c>
      <c r="Z1016" s="1">
        <f t="shared" si="234"/>
        <v>1</v>
      </c>
      <c r="AA1016"/>
      <c r="AB1016"/>
    </row>
    <row r="1017" spans="1:28" x14ac:dyDescent="0.55000000000000004">
      <c r="A1017" s="1">
        <f t="shared" si="221"/>
        <v>1017</v>
      </c>
      <c r="B1017" t="s">
        <v>37</v>
      </c>
      <c r="C1017" t="s">
        <v>41</v>
      </c>
      <c r="D1017" t="s">
        <v>174</v>
      </c>
      <c r="E1017" t="s">
        <v>1222</v>
      </c>
      <c r="F1017" t="s">
        <v>311</v>
      </c>
      <c r="G1017" t="s">
        <v>321</v>
      </c>
      <c r="H1017" t="s">
        <v>608</v>
      </c>
      <c r="I1017" t="s">
        <v>312</v>
      </c>
      <c r="J1017" t="s">
        <v>1338</v>
      </c>
      <c r="K1017" t="s">
        <v>323</v>
      </c>
      <c r="L1017" t="s">
        <v>866</v>
      </c>
      <c r="M1017" t="s">
        <v>28</v>
      </c>
      <c r="N1017" s="1">
        <f t="shared" si="222"/>
        <v>1</v>
      </c>
      <c r="O1017" s="1">
        <f t="shared" si="223"/>
        <v>1</v>
      </c>
      <c r="P1017" s="1">
        <f t="shared" si="224"/>
        <v>2</v>
      </c>
      <c r="Q1017" s="1">
        <f t="shared" si="225"/>
        <v>0</v>
      </c>
      <c r="R1017" s="1">
        <f t="shared" si="226"/>
        <v>1</v>
      </c>
      <c r="S1017" s="1">
        <f t="shared" si="227"/>
        <v>0</v>
      </c>
      <c r="T1017" s="1">
        <f t="shared" si="228"/>
        <v>1</v>
      </c>
      <c r="U1017" s="26">
        <f t="shared" si="229"/>
        <v>1</v>
      </c>
      <c r="V1017" s="26">
        <f t="shared" si="230"/>
        <v>0</v>
      </c>
      <c r="W1017" s="1">
        <f t="shared" si="231"/>
        <v>1</v>
      </c>
      <c r="X1017" s="26">
        <f t="shared" si="232"/>
        <v>1</v>
      </c>
      <c r="Y1017" s="26">
        <f t="shared" si="233"/>
        <v>0</v>
      </c>
      <c r="Z1017" s="1">
        <f t="shared" si="234"/>
        <v>1</v>
      </c>
      <c r="AA1017"/>
      <c r="AB1017"/>
    </row>
    <row r="1018" spans="1:28" x14ac:dyDescent="0.55000000000000004">
      <c r="A1018" s="1">
        <f t="shared" si="221"/>
        <v>1018</v>
      </c>
      <c r="B1018" t="s">
        <v>40</v>
      </c>
      <c r="C1018" t="s">
        <v>118</v>
      </c>
      <c r="D1018" t="s">
        <v>174</v>
      </c>
      <c r="E1018" t="s">
        <v>1222</v>
      </c>
      <c r="F1018" t="s">
        <v>251</v>
      </c>
      <c r="G1018" t="s">
        <v>263</v>
      </c>
      <c r="H1018" t="s">
        <v>575</v>
      </c>
      <c r="I1018" t="s">
        <v>255</v>
      </c>
      <c r="J1018" t="s">
        <v>1375</v>
      </c>
      <c r="K1018" t="s">
        <v>264</v>
      </c>
      <c r="L1018" t="s">
        <v>1027</v>
      </c>
      <c r="M1018" t="s">
        <v>28</v>
      </c>
      <c r="N1018" s="1">
        <f t="shared" si="222"/>
        <v>1</v>
      </c>
      <c r="O1018" s="1">
        <f t="shared" si="223"/>
        <v>0</v>
      </c>
      <c r="P1018" s="1">
        <f t="shared" si="224"/>
        <v>1</v>
      </c>
      <c r="Q1018" s="1">
        <f t="shared" si="225"/>
        <v>1</v>
      </c>
      <c r="R1018" s="1">
        <f t="shared" si="226"/>
        <v>1</v>
      </c>
      <c r="S1018" s="1">
        <f t="shared" si="227"/>
        <v>1</v>
      </c>
      <c r="T1018" s="1">
        <f t="shared" si="228"/>
        <v>1</v>
      </c>
      <c r="U1018" s="26">
        <f t="shared" si="229"/>
        <v>1</v>
      </c>
      <c r="V1018" s="26">
        <f t="shared" si="230"/>
        <v>0</v>
      </c>
      <c r="W1018" s="1">
        <f t="shared" si="231"/>
        <v>1</v>
      </c>
      <c r="X1018" s="26">
        <f t="shared" si="232"/>
        <v>0</v>
      </c>
      <c r="Y1018" s="26">
        <f t="shared" si="233"/>
        <v>0</v>
      </c>
      <c r="Z1018" s="1">
        <f t="shared" si="234"/>
        <v>0</v>
      </c>
      <c r="AA1018"/>
      <c r="AB1018"/>
    </row>
    <row r="1019" spans="1:28" x14ac:dyDescent="0.55000000000000004">
      <c r="A1019" s="1">
        <f t="shared" si="221"/>
        <v>1019</v>
      </c>
      <c r="B1019" t="s">
        <v>33</v>
      </c>
      <c r="C1019" t="s">
        <v>122</v>
      </c>
      <c r="D1019" t="s">
        <v>133</v>
      </c>
      <c r="E1019" t="s">
        <v>508</v>
      </c>
      <c r="F1019" t="s">
        <v>364</v>
      </c>
      <c r="G1019" t="s">
        <v>287</v>
      </c>
      <c r="I1019" t="s">
        <v>278</v>
      </c>
      <c r="K1019" t="s">
        <v>289</v>
      </c>
      <c r="N1019" s="1" t="e">
        <f t="shared" si="222"/>
        <v>#VALUE!</v>
      </c>
      <c r="O1019" s="1" t="e">
        <f t="shared" si="223"/>
        <v>#VALUE!</v>
      </c>
      <c r="P1019" s="1" t="e">
        <f t="shared" si="224"/>
        <v>#VALUE!</v>
      </c>
      <c r="Q1019" s="1" t="e">
        <f t="shared" si="225"/>
        <v>#VALUE!</v>
      </c>
      <c r="R1019" s="1" t="e">
        <f t="shared" si="226"/>
        <v>#VALUE!</v>
      </c>
      <c r="S1019" s="1" t="e">
        <f t="shared" si="227"/>
        <v>#VALUE!</v>
      </c>
      <c r="T1019" s="1" t="e">
        <f t="shared" si="228"/>
        <v>#VALUE!</v>
      </c>
      <c r="U1019" s="26" t="e">
        <f t="shared" si="229"/>
        <v>#VALUE!</v>
      </c>
      <c r="V1019" s="26" t="e">
        <f t="shared" si="230"/>
        <v>#VALUE!</v>
      </c>
      <c r="W1019" s="1" t="e">
        <f t="shared" si="231"/>
        <v>#VALUE!</v>
      </c>
      <c r="X1019" s="26" t="e">
        <f t="shared" si="232"/>
        <v>#VALUE!</v>
      </c>
      <c r="Y1019" s="26" t="e">
        <f t="shared" si="233"/>
        <v>#VALUE!</v>
      </c>
      <c r="Z1019" s="1" t="e">
        <f t="shared" si="234"/>
        <v>#VALUE!</v>
      </c>
      <c r="AA1019"/>
      <c r="AB1019"/>
    </row>
    <row r="1020" spans="1:28" x14ac:dyDescent="0.55000000000000004">
      <c r="A1020" s="1">
        <f t="shared" si="221"/>
        <v>1020</v>
      </c>
      <c r="B1020" t="s">
        <v>33</v>
      </c>
      <c r="C1020" t="s">
        <v>122</v>
      </c>
      <c r="D1020" t="s">
        <v>133</v>
      </c>
      <c r="E1020" t="s">
        <v>508</v>
      </c>
      <c r="F1020" t="s">
        <v>277</v>
      </c>
      <c r="G1020" t="s">
        <v>360</v>
      </c>
      <c r="I1020" t="s">
        <v>281</v>
      </c>
      <c r="K1020" t="s">
        <v>371</v>
      </c>
      <c r="N1020" s="1" t="e">
        <f t="shared" si="222"/>
        <v>#VALUE!</v>
      </c>
      <c r="O1020" s="1" t="e">
        <f t="shared" si="223"/>
        <v>#VALUE!</v>
      </c>
      <c r="P1020" s="1" t="e">
        <f t="shared" si="224"/>
        <v>#VALUE!</v>
      </c>
      <c r="Q1020" s="1" t="e">
        <f t="shared" si="225"/>
        <v>#VALUE!</v>
      </c>
      <c r="R1020" s="1" t="e">
        <f t="shared" si="226"/>
        <v>#VALUE!</v>
      </c>
      <c r="S1020" s="1" t="e">
        <f t="shared" si="227"/>
        <v>#VALUE!</v>
      </c>
      <c r="T1020" s="1" t="e">
        <f t="shared" si="228"/>
        <v>#VALUE!</v>
      </c>
      <c r="U1020" s="26" t="e">
        <f t="shared" si="229"/>
        <v>#VALUE!</v>
      </c>
      <c r="V1020" s="26" t="e">
        <f t="shared" si="230"/>
        <v>#VALUE!</v>
      </c>
      <c r="W1020" s="1" t="e">
        <f t="shared" si="231"/>
        <v>#VALUE!</v>
      </c>
      <c r="X1020" s="26" t="e">
        <f t="shared" si="232"/>
        <v>#VALUE!</v>
      </c>
      <c r="Y1020" s="26" t="e">
        <f t="shared" si="233"/>
        <v>#VALUE!</v>
      </c>
      <c r="Z1020" s="1" t="e">
        <f t="shared" si="234"/>
        <v>#VALUE!</v>
      </c>
      <c r="AA1020"/>
      <c r="AB1020"/>
    </row>
    <row r="1021" spans="1:28" x14ac:dyDescent="0.55000000000000004">
      <c r="A1021" s="1">
        <f t="shared" si="221"/>
        <v>1021</v>
      </c>
      <c r="B1021" t="s">
        <v>30</v>
      </c>
      <c r="C1021" t="s">
        <v>115</v>
      </c>
      <c r="D1021" t="s">
        <v>133</v>
      </c>
      <c r="E1021" t="s">
        <v>508</v>
      </c>
      <c r="F1021" t="s">
        <v>346</v>
      </c>
      <c r="G1021" t="s">
        <v>55</v>
      </c>
      <c r="H1021" t="s">
        <v>581</v>
      </c>
      <c r="I1021" t="s">
        <v>63</v>
      </c>
      <c r="J1021" t="s">
        <v>1737</v>
      </c>
      <c r="K1021" t="s">
        <v>75</v>
      </c>
      <c r="L1021" t="s">
        <v>761</v>
      </c>
      <c r="M1021" t="s">
        <v>28</v>
      </c>
      <c r="N1021" s="1">
        <f t="shared" si="222"/>
        <v>1</v>
      </c>
      <c r="O1021" s="1">
        <f t="shared" si="223"/>
        <v>2</v>
      </c>
      <c r="P1021" s="1">
        <f t="shared" si="224"/>
        <v>3</v>
      </c>
      <c r="Q1021" s="1">
        <f t="shared" si="225"/>
        <v>1</v>
      </c>
      <c r="R1021" s="1">
        <f t="shared" si="226"/>
        <v>1</v>
      </c>
      <c r="S1021" s="1">
        <f t="shared" si="227"/>
        <v>1</v>
      </c>
      <c r="T1021" s="1">
        <f t="shared" si="228"/>
        <v>1</v>
      </c>
      <c r="U1021" s="26">
        <f t="shared" si="229"/>
        <v>1</v>
      </c>
      <c r="V1021" s="26">
        <f t="shared" si="230"/>
        <v>0</v>
      </c>
      <c r="W1021" s="1">
        <f t="shared" si="231"/>
        <v>1</v>
      </c>
      <c r="X1021" s="26">
        <f t="shared" si="232"/>
        <v>1</v>
      </c>
      <c r="Y1021" s="26">
        <f t="shared" si="233"/>
        <v>1</v>
      </c>
      <c r="Z1021" s="1">
        <f t="shared" si="234"/>
        <v>1</v>
      </c>
      <c r="AA1021"/>
      <c r="AB1021"/>
    </row>
    <row r="1022" spans="1:28" x14ac:dyDescent="0.55000000000000004">
      <c r="A1022" s="1">
        <f t="shared" si="221"/>
        <v>1022</v>
      </c>
      <c r="B1022" t="s">
        <v>30</v>
      </c>
      <c r="C1022" t="s">
        <v>115</v>
      </c>
      <c r="D1022" t="s">
        <v>133</v>
      </c>
      <c r="E1022" t="s">
        <v>508</v>
      </c>
      <c r="F1022" t="s">
        <v>356</v>
      </c>
      <c r="G1022" t="s">
        <v>60</v>
      </c>
      <c r="H1022" t="s">
        <v>873</v>
      </c>
      <c r="I1022" t="s">
        <v>67</v>
      </c>
      <c r="J1022" t="s">
        <v>1738</v>
      </c>
      <c r="K1022" t="s">
        <v>62</v>
      </c>
      <c r="L1022" t="s">
        <v>757</v>
      </c>
      <c r="M1022" t="s">
        <v>28</v>
      </c>
      <c r="N1022" s="1">
        <f t="shared" si="222"/>
        <v>4</v>
      </c>
      <c r="O1022" s="1">
        <f t="shared" si="223"/>
        <v>3</v>
      </c>
      <c r="P1022" s="1">
        <f t="shared" si="224"/>
        <v>7</v>
      </c>
      <c r="Q1022" s="1">
        <f t="shared" si="225"/>
        <v>1</v>
      </c>
      <c r="R1022" s="1">
        <f t="shared" si="226"/>
        <v>0</v>
      </c>
      <c r="S1022" s="1">
        <f t="shared" si="227"/>
        <v>0</v>
      </c>
      <c r="T1022" s="1">
        <f t="shared" si="228"/>
        <v>0</v>
      </c>
      <c r="U1022" s="26">
        <f t="shared" si="229"/>
        <v>0</v>
      </c>
      <c r="V1022" s="26">
        <f t="shared" si="230"/>
        <v>1</v>
      </c>
      <c r="W1022" s="1">
        <f t="shared" si="231"/>
        <v>0</v>
      </c>
      <c r="X1022" s="26">
        <f t="shared" si="232"/>
        <v>1</v>
      </c>
      <c r="Y1022" s="26">
        <f t="shared" si="233"/>
        <v>1</v>
      </c>
      <c r="Z1022" s="1">
        <f t="shared" si="234"/>
        <v>1</v>
      </c>
      <c r="AA1022"/>
      <c r="AB1022"/>
    </row>
    <row r="1023" spans="1:28" x14ac:dyDescent="0.55000000000000004">
      <c r="A1023" s="1">
        <f t="shared" si="221"/>
        <v>1023</v>
      </c>
      <c r="B1023" t="s">
        <v>33</v>
      </c>
      <c r="C1023" t="s">
        <v>122</v>
      </c>
      <c r="D1023" t="s">
        <v>133</v>
      </c>
      <c r="E1023" t="s">
        <v>508</v>
      </c>
      <c r="F1023" t="s">
        <v>277</v>
      </c>
      <c r="G1023" t="s">
        <v>282</v>
      </c>
      <c r="H1023" t="s">
        <v>722</v>
      </c>
      <c r="I1023" t="s">
        <v>291</v>
      </c>
      <c r="J1023" t="s">
        <v>1801</v>
      </c>
      <c r="K1023" t="s">
        <v>295</v>
      </c>
      <c r="L1023" t="s">
        <v>1051</v>
      </c>
      <c r="M1023" t="s">
        <v>28</v>
      </c>
      <c r="N1023" s="1">
        <f t="shared" si="222"/>
        <v>3</v>
      </c>
      <c r="O1023" s="1">
        <f t="shared" si="223"/>
        <v>0</v>
      </c>
      <c r="P1023" s="1">
        <f t="shared" si="224"/>
        <v>3</v>
      </c>
      <c r="Q1023" s="1">
        <f t="shared" si="225"/>
        <v>1</v>
      </c>
      <c r="R1023" s="1">
        <f t="shared" si="226"/>
        <v>1</v>
      </c>
      <c r="S1023" s="1">
        <f t="shared" si="227"/>
        <v>1</v>
      </c>
      <c r="T1023" s="1">
        <f t="shared" si="228"/>
        <v>0</v>
      </c>
      <c r="U1023" s="26">
        <f t="shared" si="229"/>
        <v>1</v>
      </c>
      <c r="V1023" s="26">
        <f t="shared" si="230"/>
        <v>1</v>
      </c>
      <c r="W1023" s="1">
        <f t="shared" si="231"/>
        <v>1</v>
      </c>
      <c r="X1023" s="26">
        <f t="shared" si="232"/>
        <v>0</v>
      </c>
      <c r="Y1023" s="26">
        <f t="shared" si="233"/>
        <v>0</v>
      </c>
      <c r="Z1023" s="1">
        <f t="shared" si="234"/>
        <v>1</v>
      </c>
      <c r="AA1023"/>
      <c r="AB1023"/>
    </row>
    <row r="1024" spans="1:28" x14ac:dyDescent="0.55000000000000004">
      <c r="A1024" s="1">
        <f t="shared" si="221"/>
        <v>1024</v>
      </c>
      <c r="B1024" t="s">
        <v>33</v>
      </c>
      <c r="C1024" t="s">
        <v>122</v>
      </c>
      <c r="D1024" t="s">
        <v>133</v>
      </c>
      <c r="E1024" t="s">
        <v>508</v>
      </c>
      <c r="F1024" t="s">
        <v>290</v>
      </c>
      <c r="G1024" t="s">
        <v>367</v>
      </c>
      <c r="H1024" t="s">
        <v>608</v>
      </c>
      <c r="I1024" t="s">
        <v>292</v>
      </c>
      <c r="J1024" t="s">
        <v>1802</v>
      </c>
      <c r="K1024" t="s">
        <v>368</v>
      </c>
      <c r="L1024" t="s">
        <v>1053</v>
      </c>
      <c r="M1024" t="s">
        <v>28</v>
      </c>
      <c r="N1024" s="1">
        <f t="shared" si="222"/>
        <v>1</v>
      </c>
      <c r="O1024" s="1">
        <f t="shared" si="223"/>
        <v>1</v>
      </c>
      <c r="P1024" s="1">
        <f t="shared" si="224"/>
        <v>2</v>
      </c>
      <c r="Q1024" s="1">
        <f t="shared" si="225"/>
        <v>0</v>
      </c>
      <c r="R1024" s="1">
        <f t="shared" si="226"/>
        <v>1</v>
      </c>
      <c r="S1024" s="1">
        <f t="shared" si="227"/>
        <v>0</v>
      </c>
      <c r="T1024" s="1">
        <f t="shared" si="228"/>
        <v>1</v>
      </c>
      <c r="U1024" s="26">
        <f t="shared" si="229"/>
        <v>1</v>
      </c>
      <c r="V1024" s="26">
        <f t="shared" si="230"/>
        <v>0</v>
      </c>
      <c r="W1024" s="1">
        <f t="shared" si="231"/>
        <v>1</v>
      </c>
      <c r="X1024" s="26">
        <f t="shared" si="232"/>
        <v>1</v>
      </c>
      <c r="Y1024" s="26">
        <f t="shared" si="233"/>
        <v>0</v>
      </c>
      <c r="Z1024" s="1">
        <f t="shared" si="234"/>
        <v>1</v>
      </c>
      <c r="AA1024"/>
      <c r="AB1024"/>
    </row>
    <row r="1025" spans="1:28" x14ac:dyDescent="0.55000000000000004">
      <c r="A1025" s="1">
        <f t="shared" si="221"/>
        <v>1025</v>
      </c>
      <c r="B1025" t="s">
        <v>35</v>
      </c>
      <c r="C1025" t="s">
        <v>116</v>
      </c>
      <c r="D1025" t="s">
        <v>133</v>
      </c>
      <c r="E1025" t="s">
        <v>508</v>
      </c>
      <c r="F1025" t="s">
        <v>380</v>
      </c>
      <c r="G1025" t="s">
        <v>211</v>
      </c>
      <c r="H1025" t="s">
        <v>568</v>
      </c>
      <c r="I1025" t="s">
        <v>207</v>
      </c>
      <c r="J1025" t="s">
        <v>1826</v>
      </c>
      <c r="K1025" t="s">
        <v>309</v>
      </c>
      <c r="L1025" t="s">
        <v>677</v>
      </c>
      <c r="M1025" t="s">
        <v>28</v>
      </c>
      <c r="N1025" s="1">
        <f t="shared" si="222"/>
        <v>0</v>
      </c>
      <c r="O1025" s="1">
        <f t="shared" si="223"/>
        <v>2</v>
      </c>
      <c r="P1025" s="1">
        <f t="shared" si="224"/>
        <v>2</v>
      </c>
      <c r="Q1025" s="1">
        <f t="shared" si="225"/>
        <v>1</v>
      </c>
      <c r="R1025" s="1">
        <f t="shared" si="226"/>
        <v>1</v>
      </c>
      <c r="S1025" s="1">
        <f t="shared" si="227"/>
        <v>1</v>
      </c>
      <c r="T1025" s="1">
        <f t="shared" si="228"/>
        <v>1</v>
      </c>
      <c r="U1025" s="26">
        <f t="shared" si="229"/>
        <v>0</v>
      </c>
      <c r="V1025" s="26">
        <f t="shared" si="230"/>
        <v>0</v>
      </c>
      <c r="W1025" s="1">
        <f t="shared" si="231"/>
        <v>1</v>
      </c>
      <c r="X1025" s="26">
        <f t="shared" si="232"/>
        <v>1</v>
      </c>
      <c r="Y1025" s="26">
        <f t="shared" si="233"/>
        <v>1</v>
      </c>
      <c r="Z1025" s="1">
        <f t="shared" si="234"/>
        <v>1</v>
      </c>
      <c r="AA1025"/>
      <c r="AB1025"/>
    </row>
    <row r="1026" spans="1:28" x14ac:dyDescent="0.55000000000000004">
      <c r="A1026" s="1">
        <f t="shared" si="221"/>
        <v>1026</v>
      </c>
      <c r="B1026" t="s">
        <v>35</v>
      </c>
      <c r="C1026" t="s">
        <v>116</v>
      </c>
      <c r="D1026" t="s">
        <v>133</v>
      </c>
      <c r="E1026" t="s">
        <v>508</v>
      </c>
      <c r="F1026" t="s">
        <v>376</v>
      </c>
      <c r="G1026" t="s">
        <v>306</v>
      </c>
      <c r="H1026" t="s">
        <v>664</v>
      </c>
      <c r="I1026" t="s">
        <v>383</v>
      </c>
      <c r="J1026" t="s">
        <v>1827</v>
      </c>
      <c r="K1026" t="s">
        <v>308</v>
      </c>
      <c r="L1026" t="s">
        <v>831</v>
      </c>
      <c r="M1026" t="s">
        <v>28</v>
      </c>
      <c r="N1026" s="1">
        <f t="shared" si="222"/>
        <v>2</v>
      </c>
      <c r="O1026" s="1">
        <f t="shared" si="223"/>
        <v>2</v>
      </c>
      <c r="P1026" s="1">
        <f t="shared" si="224"/>
        <v>4</v>
      </c>
      <c r="Q1026" s="1">
        <f t="shared" si="225"/>
        <v>0</v>
      </c>
      <c r="R1026" s="1">
        <f t="shared" si="226"/>
        <v>1</v>
      </c>
      <c r="S1026" s="1">
        <f t="shared" si="227"/>
        <v>0</v>
      </c>
      <c r="T1026" s="1">
        <f t="shared" si="228"/>
        <v>1</v>
      </c>
      <c r="U1026" s="26">
        <f t="shared" si="229"/>
        <v>1</v>
      </c>
      <c r="V1026" s="26">
        <f t="shared" si="230"/>
        <v>1</v>
      </c>
      <c r="W1026" s="1">
        <f t="shared" si="231"/>
        <v>1</v>
      </c>
      <c r="X1026" s="26">
        <f t="shared" si="232"/>
        <v>1</v>
      </c>
      <c r="Y1026" s="26">
        <f t="shared" si="233"/>
        <v>1</v>
      </c>
      <c r="Z1026" s="1">
        <f t="shared" si="234"/>
        <v>1</v>
      </c>
      <c r="AA1026"/>
      <c r="AB1026"/>
    </row>
    <row r="1027" spans="1:28" x14ac:dyDescent="0.55000000000000004">
      <c r="A1027" s="1">
        <f t="shared" ref="A1027:A1090" si="235">A1026+1</f>
        <v>1027</v>
      </c>
      <c r="B1027" t="s">
        <v>35</v>
      </c>
      <c r="C1027" t="s">
        <v>116</v>
      </c>
      <c r="D1027" t="s">
        <v>133</v>
      </c>
      <c r="E1027" t="s">
        <v>508</v>
      </c>
      <c r="F1027" t="s">
        <v>375</v>
      </c>
      <c r="G1027" t="s">
        <v>386</v>
      </c>
      <c r="H1027" t="s">
        <v>687</v>
      </c>
      <c r="I1027" t="s">
        <v>214</v>
      </c>
      <c r="J1027" t="s">
        <v>1828</v>
      </c>
      <c r="K1027" t="s">
        <v>418</v>
      </c>
      <c r="L1027" t="s">
        <v>835</v>
      </c>
      <c r="M1027" t="s">
        <v>28</v>
      </c>
      <c r="N1027" s="1">
        <f t="shared" ref="N1027:N1090" si="236">VALUE(LEFT(H1027,1))</f>
        <v>4</v>
      </c>
      <c r="O1027" s="1">
        <f t="shared" ref="O1027:O1090" si="237">VALUE(RIGHT(H1027,1))</f>
        <v>0</v>
      </c>
      <c r="P1027" s="1">
        <f t="shared" ref="P1027:P1090" si="238">SUM(N1027,O1027)</f>
        <v>4</v>
      </c>
      <c r="Q1027" s="1">
        <f t="shared" ref="Q1027:Q1090" si="239">IF(N1027&lt;&gt;O1027, 1, 0)</f>
        <v>1</v>
      </c>
      <c r="R1027" s="1">
        <f t="shared" ref="R1027:R1090" si="240">IF(P1027&lt;=4,1,0)</f>
        <v>1</v>
      </c>
      <c r="S1027" s="1">
        <f t="shared" ref="S1027:S1090" si="241">IF(AND(Q1027=1,R1027=1),1,0)</f>
        <v>1</v>
      </c>
      <c r="T1027" s="1">
        <f t="shared" ref="T1027:T1090" si="242">IF(N1027&lt;=2,1,0)</f>
        <v>0</v>
      </c>
      <c r="U1027" s="26">
        <f t="shared" ref="U1027:U1090" si="243">IF(AND(N1027&gt;=1,N1027&lt;=3),1,0)</f>
        <v>0</v>
      </c>
      <c r="V1027" s="26">
        <f t="shared" ref="V1027:V1090" si="244">IF(AND(N1027&gt;=2,N1027&lt;=5),1,0)</f>
        <v>1</v>
      </c>
      <c r="W1027" s="1">
        <f t="shared" ref="W1027:W1090" si="245">IF(O1027&lt;=2,1,0)</f>
        <v>1</v>
      </c>
      <c r="X1027" s="26">
        <f t="shared" ref="X1027:X1090" si="246">IF(AND(O1027&gt;=1,O1027&lt;=3),1,0)</f>
        <v>0</v>
      </c>
      <c r="Y1027" s="26">
        <f t="shared" ref="Y1027:Y1090" si="247">IF(AND(O1027&gt;=2,O1027&lt;=5),1,0)</f>
        <v>0</v>
      </c>
      <c r="Z1027" s="1">
        <f t="shared" ref="Z1027:Z1090" si="248">IF(P1027&gt;=2,1,0)</f>
        <v>1</v>
      </c>
      <c r="AA1027"/>
      <c r="AB1027"/>
    </row>
    <row r="1028" spans="1:28" x14ac:dyDescent="0.55000000000000004">
      <c r="A1028" s="1">
        <f t="shared" si="235"/>
        <v>1028</v>
      </c>
      <c r="B1028" t="s">
        <v>37</v>
      </c>
      <c r="C1028" t="s">
        <v>41</v>
      </c>
      <c r="D1028" t="s">
        <v>133</v>
      </c>
      <c r="E1028" t="s">
        <v>508</v>
      </c>
      <c r="F1028" t="s">
        <v>388</v>
      </c>
      <c r="G1028" t="s">
        <v>326</v>
      </c>
      <c r="H1028" t="s">
        <v>683</v>
      </c>
      <c r="I1028" t="s">
        <v>316</v>
      </c>
      <c r="J1028" t="s">
        <v>1838</v>
      </c>
      <c r="K1028" t="s">
        <v>389</v>
      </c>
      <c r="L1028" t="s">
        <v>861</v>
      </c>
      <c r="M1028" t="s">
        <v>28</v>
      </c>
      <c r="N1028" s="1">
        <f t="shared" si="236"/>
        <v>3</v>
      </c>
      <c r="O1028" s="1">
        <f t="shared" si="237"/>
        <v>2</v>
      </c>
      <c r="P1028" s="1">
        <f t="shared" si="238"/>
        <v>5</v>
      </c>
      <c r="Q1028" s="1">
        <f t="shared" si="239"/>
        <v>1</v>
      </c>
      <c r="R1028" s="1">
        <f t="shared" si="240"/>
        <v>0</v>
      </c>
      <c r="S1028" s="1">
        <f t="shared" si="241"/>
        <v>0</v>
      </c>
      <c r="T1028" s="1">
        <f t="shared" si="242"/>
        <v>0</v>
      </c>
      <c r="U1028" s="26">
        <f t="shared" si="243"/>
        <v>1</v>
      </c>
      <c r="V1028" s="26">
        <f t="shared" si="244"/>
        <v>1</v>
      </c>
      <c r="W1028" s="1">
        <f t="shared" si="245"/>
        <v>1</v>
      </c>
      <c r="X1028" s="26">
        <f t="shared" si="246"/>
        <v>1</v>
      </c>
      <c r="Y1028" s="26">
        <f t="shared" si="247"/>
        <v>1</v>
      </c>
      <c r="Z1028" s="1">
        <f t="shared" si="248"/>
        <v>1</v>
      </c>
      <c r="AA1028"/>
      <c r="AB1028"/>
    </row>
    <row r="1029" spans="1:28" x14ac:dyDescent="0.55000000000000004">
      <c r="A1029" s="1">
        <f t="shared" si="235"/>
        <v>1029</v>
      </c>
      <c r="B1029" t="s">
        <v>39</v>
      </c>
      <c r="C1029" t="s">
        <v>120</v>
      </c>
      <c r="D1029" t="s">
        <v>133</v>
      </c>
      <c r="E1029" t="s">
        <v>508</v>
      </c>
      <c r="F1029" t="s">
        <v>218</v>
      </c>
      <c r="G1029" t="s">
        <v>222</v>
      </c>
      <c r="H1029" t="s">
        <v>577</v>
      </c>
      <c r="I1029" t="s">
        <v>225</v>
      </c>
      <c r="J1029" t="s">
        <v>1880</v>
      </c>
      <c r="K1029" t="s">
        <v>224</v>
      </c>
      <c r="L1029" t="s">
        <v>1000</v>
      </c>
      <c r="M1029" t="s">
        <v>28</v>
      </c>
      <c r="N1029" s="1">
        <f t="shared" si="236"/>
        <v>1</v>
      </c>
      <c r="O1029" s="1">
        <f t="shared" si="237"/>
        <v>3</v>
      </c>
      <c r="P1029" s="1">
        <f t="shared" si="238"/>
        <v>4</v>
      </c>
      <c r="Q1029" s="1">
        <f t="shared" si="239"/>
        <v>1</v>
      </c>
      <c r="R1029" s="1">
        <f t="shared" si="240"/>
        <v>1</v>
      </c>
      <c r="S1029" s="1">
        <f t="shared" si="241"/>
        <v>1</v>
      </c>
      <c r="T1029" s="1">
        <f t="shared" si="242"/>
        <v>1</v>
      </c>
      <c r="U1029" s="26">
        <f t="shared" si="243"/>
        <v>1</v>
      </c>
      <c r="V1029" s="26">
        <f t="shared" si="244"/>
        <v>0</v>
      </c>
      <c r="W1029" s="1">
        <f t="shared" si="245"/>
        <v>0</v>
      </c>
      <c r="X1029" s="26">
        <f t="shared" si="246"/>
        <v>1</v>
      </c>
      <c r="Y1029" s="26">
        <f t="shared" si="247"/>
        <v>1</v>
      </c>
      <c r="Z1029" s="1">
        <f t="shared" si="248"/>
        <v>1</v>
      </c>
      <c r="AA1029"/>
      <c r="AB1029"/>
    </row>
    <row r="1030" spans="1:28" x14ac:dyDescent="0.55000000000000004">
      <c r="A1030" s="1">
        <f t="shared" si="235"/>
        <v>1030</v>
      </c>
      <c r="B1030" t="s">
        <v>39</v>
      </c>
      <c r="C1030" t="s">
        <v>120</v>
      </c>
      <c r="D1030" t="s">
        <v>133</v>
      </c>
      <c r="E1030" t="s">
        <v>508</v>
      </c>
      <c r="F1030" t="s">
        <v>218</v>
      </c>
      <c r="G1030" t="s">
        <v>232</v>
      </c>
      <c r="H1030" t="s">
        <v>608</v>
      </c>
      <c r="I1030" t="s">
        <v>234</v>
      </c>
      <c r="J1030" t="s">
        <v>1881</v>
      </c>
      <c r="K1030" t="s">
        <v>238</v>
      </c>
      <c r="L1030" t="s">
        <v>1005</v>
      </c>
      <c r="M1030" t="s">
        <v>28</v>
      </c>
      <c r="N1030" s="1">
        <f t="shared" si="236"/>
        <v>1</v>
      </c>
      <c r="O1030" s="1">
        <f t="shared" si="237"/>
        <v>1</v>
      </c>
      <c r="P1030" s="1">
        <f t="shared" si="238"/>
        <v>2</v>
      </c>
      <c r="Q1030" s="1">
        <f t="shared" si="239"/>
        <v>0</v>
      </c>
      <c r="R1030" s="1">
        <f t="shared" si="240"/>
        <v>1</v>
      </c>
      <c r="S1030" s="1">
        <f t="shared" si="241"/>
        <v>0</v>
      </c>
      <c r="T1030" s="1">
        <f t="shared" si="242"/>
        <v>1</v>
      </c>
      <c r="U1030" s="26">
        <f t="shared" si="243"/>
        <v>1</v>
      </c>
      <c r="V1030" s="26">
        <f t="shared" si="244"/>
        <v>0</v>
      </c>
      <c r="W1030" s="1">
        <f t="shared" si="245"/>
        <v>1</v>
      </c>
      <c r="X1030" s="26">
        <f t="shared" si="246"/>
        <v>1</v>
      </c>
      <c r="Y1030" s="26">
        <f t="shared" si="247"/>
        <v>0</v>
      </c>
      <c r="Z1030" s="1">
        <f t="shared" si="248"/>
        <v>1</v>
      </c>
      <c r="AA1030"/>
      <c r="AB1030"/>
    </row>
    <row r="1031" spans="1:28" x14ac:dyDescent="0.55000000000000004">
      <c r="A1031" s="1">
        <f t="shared" si="235"/>
        <v>1031</v>
      </c>
      <c r="B1031" t="s">
        <v>39</v>
      </c>
      <c r="C1031" t="s">
        <v>120</v>
      </c>
      <c r="D1031" t="s">
        <v>133</v>
      </c>
      <c r="E1031" t="s">
        <v>508</v>
      </c>
      <c r="F1031" t="s">
        <v>218</v>
      </c>
      <c r="G1031" t="s">
        <v>231</v>
      </c>
      <c r="H1031" t="s">
        <v>739</v>
      </c>
      <c r="I1031" t="s">
        <v>229</v>
      </c>
      <c r="J1031" t="s">
        <v>1163</v>
      </c>
      <c r="K1031" t="s">
        <v>233</v>
      </c>
      <c r="L1031" t="s">
        <v>995</v>
      </c>
      <c r="M1031" t="s">
        <v>28</v>
      </c>
      <c r="N1031" s="1">
        <f t="shared" si="236"/>
        <v>0</v>
      </c>
      <c r="O1031" s="1">
        <f t="shared" si="237"/>
        <v>3</v>
      </c>
      <c r="P1031" s="1">
        <f t="shared" si="238"/>
        <v>3</v>
      </c>
      <c r="Q1031" s="1">
        <f t="shared" si="239"/>
        <v>1</v>
      </c>
      <c r="R1031" s="1">
        <f t="shared" si="240"/>
        <v>1</v>
      </c>
      <c r="S1031" s="1">
        <f t="shared" si="241"/>
        <v>1</v>
      </c>
      <c r="T1031" s="1">
        <f t="shared" si="242"/>
        <v>1</v>
      </c>
      <c r="U1031" s="26">
        <f t="shared" si="243"/>
        <v>0</v>
      </c>
      <c r="V1031" s="26">
        <f t="shared" si="244"/>
        <v>0</v>
      </c>
      <c r="W1031" s="1">
        <f t="shared" si="245"/>
        <v>0</v>
      </c>
      <c r="X1031" s="26">
        <f t="shared" si="246"/>
        <v>1</v>
      </c>
      <c r="Y1031" s="26">
        <f t="shared" si="247"/>
        <v>1</v>
      </c>
      <c r="Z1031" s="1">
        <f t="shared" si="248"/>
        <v>1</v>
      </c>
      <c r="AA1031"/>
      <c r="AB1031"/>
    </row>
    <row r="1032" spans="1:28" x14ac:dyDescent="0.55000000000000004">
      <c r="A1032" s="1">
        <f t="shared" si="235"/>
        <v>1032</v>
      </c>
      <c r="B1032" t="s">
        <v>40</v>
      </c>
      <c r="C1032" t="s">
        <v>118</v>
      </c>
      <c r="D1032" t="s">
        <v>133</v>
      </c>
      <c r="E1032" t="s">
        <v>508</v>
      </c>
      <c r="F1032" t="s">
        <v>394</v>
      </c>
      <c r="G1032" t="s">
        <v>253</v>
      </c>
      <c r="H1032" t="s">
        <v>573</v>
      </c>
      <c r="I1032" t="s">
        <v>256</v>
      </c>
      <c r="J1032" t="s">
        <v>1939</v>
      </c>
      <c r="K1032" t="s">
        <v>395</v>
      </c>
      <c r="L1032" t="s">
        <v>1014</v>
      </c>
      <c r="M1032" t="s">
        <v>28</v>
      </c>
      <c r="N1032" s="1">
        <f t="shared" si="236"/>
        <v>2</v>
      </c>
      <c r="O1032" s="1">
        <f t="shared" si="237"/>
        <v>0</v>
      </c>
      <c r="P1032" s="1">
        <f t="shared" si="238"/>
        <v>2</v>
      </c>
      <c r="Q1032" s="1">
        <f t="shared" si="239"/>
        <v>1</v>
      </c>
      <c r="R1032" s="1">
        <f t="shared" si="240"/>
        <v>1</v>
      </c>
      <c r="S1032" s="1">
        <f t="shared" si="241"/>
        <v>1</v>
      </c>
      <c r="T1032" s="1">
        <f t="shared" si="242"/>
        <v>1</v>
      </c>
      <c r="U1032" s="26">
        <f t="shared" si="243"/>
        <v>1</v>
      </c>
      <c r="V1032" s="26">
        <f t="shared" si="244"/>
        <v>1</v>
      </c>
      <c r="W1032" s="1">
        <f t="shared" si="245"/>
        <v>1</v>
      </c>
      <c r="X1032" s="26">
        <f t="shared" si="246"/>
        <v>0</v>
      </c>
      <c r="Y1032" s="26">
        <f t="shared" si="247"/>
        <v>0</v>
      </c>
      <c r="Z1032" s="1">
        <f t="shared" si="248"/>
        <v>1</v>
      </c>
      <c r="AA1032"/>
      <c r="AB1032"/>
    </row>
    <row r="1033" spans="1:28" x14ac:dyDescent="0.55000000000000004">
      <c r="A1033" s="1">
        <f t="shared" si="235"/>
        <v>1033</v>
      </c>
      <c r="B1033" t="s">
        <v>40</v>
      </c>
      <c r="C1033" t="s">
        <v>118</v>
      </c>
      <c r="D1033" t="s">
        <v>133</v>
      </c>
      <c r="E1033" t="s">
        <v>508</v>
      </c>
      <c r="F1033" t="s">
        <v>392</v>
      </c>
      <c r="G1033" t="s">
        <v>258</v>
      </c>
      <c r="H1033" t="s">
        <v>1214</v>
      </c>
      <c r="I1033" t="s">
        <v>252</v>
      </c>
      <c r="J1033" t="s">
        <v>1940</v>
      </c>
      <c r="K1033" t="s">
        <v>259</v>
      </c>
      <c r="L1033" t="s">
        <v>1018</v>
      </c>
      <c r="M1033" t="s">
        <v>28</v>
      </c>
      <c r="N1033" s="1">
        <f t="shared" si="236"/>
        <v>4</v>
      </c>
      <c r="O1033" s="1">
        <f t="shared" si="237"/>
        <v>2</v>
      </c>
      <c r="P1033" s="1">
        <f t="shared" si="238"/>
        <v>6</v>
      </c>
      <c r="Q1033" s="1">
        <f t="shared" si="239"/>
        <v>1</v>
      </c>
      <c r="R1033" s="1">
        <f t="shared" si="240"/>
        <v>0</v>
      </c>
      <c r="S1033" s="1">
        <f t="shared" si="241"/>
        <v>0</v>
      </c>
      <c r="T1033" s="1">
        <f t="shared" si="242"/>
        <v>0</v>
      </c>
      <c r="U1033" s="26">
        <f t="shared" si="243"/>
        <v>0</v>
      </c>
      <c r="V1033" s="26">
        <f t="shared" si="244"/>
        <v>1</v>
      </c>
      <c r="W1033" s="1">
        <f t="shared" si="245"/>
        <v>1</v>
      </c>
      <c r="X1033" s="26">
        <f t="shared" si="246"/>
        <v>1</v>
      </c>
      <c r="Y1033" s="26">
        <f t="shared" si="247"/>
        <v>1</v>
      </c>
      <c r="Z1033" s="1">
        <f t="shared" si="248"/>
        <v>1</v>
      </c>
      <c r="AA1033"/>
      <c r="AB1033"/>
    </row>
    <row r="1034" spans="1:28" x14ac:dyDescent="0.55000000000000004">
      <c r="A1034" s="1">
        <f t="shared" si="235"/>
        <v>1034</v>
      </c>
      <c r="B1034" t="s">
        <v>40</v>
      </c>
      <c r="C1034" t="s">
        <v>118</v>
      </c>
      <c r="D1034" t="s">
        <v>133</v>
      </c>
      <c r="E1034" t="s">
        <v>508</v>
      </c>
      <c r="F1034" t="s">
        <v>392</v>
      </c>
      <c r="G1034" t="s">
        <v>248</v>
      </c>
      <c r="H1034" t="s">
        <v>722</v>
      </c>
      <c r="I1034" t="s">
        <v>266</v>
      </c>
      <c r="J1034" t="s">
        <v>704</v>
      </c>
      <c r="K1034" t="s">
        <v>250</v>
      </c>
      <c r="L1034" t="s">
        <v>1025</v>
      </c>
      <c r="M1034" t="s">
        <v>28</v>
      </c>
      <c r="N1034" s="1">
        <f t="shared" si="236"/>
        <v>3</v>
      </c>
      <c r="O1034" s="1">
        <f t="shared" si="237"/>
        <v>0</v>
      </c>
      <c r="P1034" s="1">
        <f t="shared" si="238"/>
        <v>3</v>
      </c>
      <c r="Q1034" s="1">
        <f t="shared" si="239"/>
        <v>1</v>
      </c>
      <c r="R1034" s="1">
        <f t="shared" si="240"/>
        <v>1</v>
      </c>
      <c r="S1034" s="1">
        <f t="shared" si="241"/>
        <v>1</v>
      </c>
      <c r="T1034" s="1">
        <f t="shared" si="242"/>
        <v>0</v>
      </c>
      <c r="U1034" s="26">
        <f t="shared" si="243"/>
        <v>1</v>
      </c>
      <c r="V1034" s="26">
        <f t="shared" si="244"/>
        <v>1</v>
      </c>
      <c r="W1034" s="1">
        <f t="shared" si="245"/>
        <v>1</v>
      </c>
      <c r="X1034" s="26">
        <f t="shared" si="246"/>
        <v>0</v>
      </c>
      <c r="Y1034" s="26">
        <f t="shared" si="247"/>
        <v>0</v>
      </c>
      <c r="Z1034" s="1">
        <f t="shared" si="248"/>
        <v>1</v>
      </c>
      <c r="AA1034"/>
      <c r="AB1034"/>
    </row>
    <row r="1035" spans="1:28" x14ac:dyDescent="0.55000000000000004">
      <c r="A1035" s="1">
        <f t="shared" si="235"/>
        <v>1035</v>
      </c>
      <c r="B1035" t="s">
        <v>33</v>
      </c>
      <c r="C1035" t="s">
        <v>122</v>
      </c>
      <c r="D1035" t="s">
        <v>42</v>
      </c>
      <c r="E1035" t="s">
        <v>509</v>
      </c>
      <c r="F1035" t="s">
        <v>364</v>
      </c>
      <c r="G1035" t="s">
        <v>299</v>
      </c>
      <c r="I1035" t="s">
        <v>362</v>
      </c>
      <c r="K1035" t="s">
        <v>366</v>
      </c>
      <c r="N1035" s="1" t="e">
        <f t="shared" si="236"/>
        <v>#VALUE!</v>
      </c>
      <c r="O1035" s="1" t="e">
        <f t="shared" si="237"/>
        <v>#VALUE!</v>
      </c>
      <c r="P1035" s="1" t="e">
        <f t="shared" si="238"/>
        <v>#VALUE!</v>
      </c>
      <c r="Q1035" s="1" t="e">
        <f t="shared" si="239"/>
        <v>#VALUE!</v>
      </c>
      <c r="R1035" s="1" t="e">
        <f t="shared" si="240"/>
        <v>#VALUE!</v>
      </c>
      <c r="S1035" s="1" t="e">
        <f t="shared" si="241"/>
        <v>#VALUE!</v>
      </c>
      <c r="T1035" s="1" t="e">
        <f t="shared" si="242"/>
        <v>#VALUE!</v>
      </c>
      <c r="U1035" s="26" t="e">
        <f t="shared" si="243"/>
        <v>#VALUE!</v>
      </c>
      <c r="V1035" s="26" t="e">
        <f t="shared" si="244"/>
        <v>#VALUE!</v>
      </c>
      <c r="W1035" s="1" t="e">
        <f t="shared" si="245"/>
        <v>#VALUE!</v>
      </c>
      <c r="X1035" s="26" t="e">
        <f t="shared" si="246"/>
        <v>#VALUE!</v>
      </c>
      <c r="Y1035" s="26" t="e">
        <f t="shared" si="247"/>
        <v>#VALUE!</v>
      </c>
      <c r="Z1035" s="1" t="e">
        <f t="shared" si="248"/>
        <v>#VALUE!</v>
      </c>
      <c r="AA1035"/>
      <c r="AB1035"/>
    </row>
    <row r="1036" spans="1:28" x14ac:dyDescent="0.55000000000000004">
      <c r="A1036" s="1">
        <f t="shared" si="235"/>
        <v>1036</v>
      </c>
      <c r="B1036" t="s">
        <v>33</v>
      </c>
      <c r="C1036" t="s">
        <v>122</v>
      </c>
      <c r="D1036" t="s">
        <v>42</v>
      </c>
      <c r="E1036" t="s">
        <v>509</v>
      </c>
      <c r="F1036" t="s">
        <v>277</v>
      </c>
      <c r="G1036" t="s">
        <v>288</v>
      </c>
      <c r="I1036" t="s">
        <v>279</v>
      </c>
      <c r="K1036" t="s">
        <v>361</v>
      </c>
      <c r="N1036" s="1" t="e">
        <f t="shared" si="236"/>
        <v>#VALUE!</v>
      </c>
      <c r="O1036" s="1" t="e">
        <f t="shared" si="237"/>
        <v>#VALUE!</v>
      </c>
      <c r="P1036" s="1" t="e">
        <f t="shared" si="238"/>
        <v>#VALUE!</v>
      </c>
      <c r="Q1036" s="1" t="e">
        <f t="shared" si="239"/>
        <v>#VALUE!</v>
      </c>
      <c r="R1036" s="1" t="e">
        <f t="shared" si="240"/>
        <v>#VALUE!</v>
      </c>
      <c r="S1036" s="1" t="e">
        <f t="shared" si="241"/>
        <v>#VALUE!</v>
      </c>
      <c r="T1036" s="1" t="e">
        <f t="shared" si="242"/>
        <v>#VALUE!</v>
      </c>
      <c r="U1036" s="26" t="e">
        <f t="shared" si="243"/>
        <v>#VALUE!</v>
      </c>
      <c r="V1036" s="26" t="e">
        <f t="shared" si="244"/>
        <v>#VALUE!</v>
      </c>
      <c r="W1036" s="1" t="e">
        <f t="shared" si="245"/>
        <v>#VALUE!</v>
      </c>
      <c r="X1036" s="26" t="e">
        <f t="shared" si="246"/>
        <v>#VALUE!</v>
      </c>
      <c r="Y1036" s="26" t="e">
        <f t="shared" si="247"/>
        <v>#VALUE!</v>
      </c>
      <c r="Z1036" s="1" t="e">
        <f t="shared" si="248"/>
        <v>#VALUE!</v>
      </c>
      <c r="AA1036"/>
      <c r="AB1036"/>
    </row>
    <row r="1037" spans="1:28" x14ac:dyDescent="0.55000000000000004">
      <c r="A1037" s="1">
        <f t="shared" si="235"/>
        <v>1037</v>
      </c>
      <c r="B1037" t="s">
        <v>30</v>
      </c>
      <c r="C1037" t="s">
        <v>115</v>
      </c>
      <c r="D1037" t="s">
        <v>42</v>
      </c>
      <c r="E1037" t="s">
        <v>509</v>
      </c>
      <c r="F1037" t="s">
        <v>380</v>
      </c>
      <c r="G1037" t="s">
        <v>58</v>
      </c>
      <c r="H1037" t="s">
        <v>573</v>
      </c>
      <c r="I1037" t="s">
        <v>45</v>
      </c>
      <c r="J1037" t="s">
        <v>1418</v>
      </c>
      <c r="K1037" t="s">
        <v>71</v>
      </c>
      <c r="L1037" t="s">
        <v>769</v>
      </c>
      <c r="M1037" t="s">
        <v>28</v>
      </c>
      <c r="N1037" s="1">
        <f t="shared" si="236"/>
        <v>2</v>
      </c>
      <c r="O1037" s="1">
        <f t="shared" si="237"/>
        <v>0</v>
      </c>
      <c r="P1037" s="1">
        <f t="shared" si="238"/>
        <v>2</v>
      </c>
      <c r="Q1037" s="1">
        <f t="shared" si="239"/>
        <v>1</v>
      </c>
      <c r="R1037" s="1">
        <f t="shared" si="240"/>
        <v>1</v>
      </c>
      <c r="S1037" s="1">
        <f t="shared" si="241"/>
        <v>1</v>
      </c>
      <c r="T1037" s="1">
        <f t="shared" si="242"/>
        <v>1</v>
      </c>
      <c r="U1037" s="26">
        <f t="shared" si="243"/>
        <v>1</v>
      </c>
      <c r="V1037" s="26">
        <f t="shared" si="244"/>
        <v>1</v>
      </c>
      <c r="W1037" s="1">
        <f t="shared" si="245"/>
        <v>1</v>
      </c>
      <c r="X1037" s="26">
        <f t="shared" si="246"/>
        <v>0</v>
      </c>
      <c r="Y1037" s="26">
        <f t="shared" si="247"/>
        <v>0</v>
      </c>
      <c r="Z1037" s="1">
        <f t="shared" si="248"/>
        <v>1</v>
      </c>
      <c r="AA1037"/>
      <c r="AB1037"/>
    </row>
    <row r="1038" spans="1:28" x14ac:dyDescent="0.55000000000000004">
      <c r="A1038" s="1">
        <f t="shared" si="235"/>
        <v>1038</v>
      </c>
      <c r="B1038" t="s">
        <v>30</v>
      </c>
      <c r="C1038" t="s">
        <v>115</v>
      </c>
      <c r="D1038" t="s">
        <v>42</v>
      </c>
      <c r="E1038" t="s">
        <v>509</v>
      </c>
      <c r="F1038" t="s">
        <v>380</v>
      </c>
      <c r="G1038" t="s">
        <v>54</v>
      </c>
      <c r="H1038" t="s">
        <v>573</v>
      </c>
      <c r="I1038" t="s">
        <v>44</v>
      </c>
      <c r="J1038" t="s">
        <v>1419</v>
      </c>
      <c r="K1038" t="s">
        <v>56</v>
      </c>
      <c r="L1038" t="s">
        <v>759</v>
      </c>
      <c r="M1038" t="s">
        <v>28</v>
      </c>
      <c r="N1038" s="1">
        <f t="shared" si="236"/>
        <v>2</v>
      </c>
      <c r="O1038" s="1">
        <f t="shared" si="237"/>
        <v>0</v>
      </c>
      <c r="P1038" s="1">
        <f t="shared" si="238"/>
        <v>2</v>
      </c>
      <c r="Q1038" s="1">
        <f t="shared" si="239"/>
        <v>1</v>
      </c>
      <c r="R1038" s="1">
        <f t="shared" si="240"/>
        <v>1</v>
      </c>
      <c r="S1038" s="1">
        <f t="shared" si="241"/>
        <v>1</v>
      </c>
      <c r="T1038" s="1">
        <f t="shared" si="242"/>
        <v>1</v>
      </c>
      <c r="U1038" s="26">
        <f t="shared" si="243"/>
        <v>1</v>
      </c>
      <c r="V1038" s="26">
        <f t="shared" si="244"/>
        <v>1</v>
      </c>
      <c r="W1038" s="1">
        <f t="shared" si="245"/>
        <v>1</v>
      </c>
      <c r="X1038" s="26">
        <f t="shared" si="246"/>
        <v>0</v>
      </c>
      <c r="Y1038" s="26">
        <f t="shared" si="247"/>
        <v>0</v>
      </c>
      <c r="Z1038" s="1">
        <f t="shared" si="248"/>
        <v>1</v>
      </c>
      <c r="AA1038"/>
      <c r="AB1038"/>
    </row>
    <row r="1039" spans="1:28" x14ac:dyDescent="0.55000000000000004">
      <c r="A1039" s="1">
        <f t="shared" si="235"/>
        <v>1039</v>
      </c>
      <c r="B1039" t="s">
        <v>30</v>
      </c>
      <c r="C1039" t="s">
        <v>115</v>
      </c>
      <c r="D1039" t="s">
        <v>42</v>
      </c>
      <c r="E1039" t="s">
        <v>509</v>
      </c>
      <c r="F1039" t="s">
        <v>380</v>
      </c>
      <c r="G1039" t="s">
        <v>66</v>
      </c>
      <c r="H1039" t="s">
        <v>687</v>
      </c>
      <c r="I1039" t="s">
        <v>64</v>
      </c>
      <c r="J1039" t="s">
        <v>1420</v>
      </c>
      <c r="K1039" t="s">
        <v>68</v>
      </c>
      <c r="L1039" t="s">
        <v>777</v>
      </c>
      <c r="M1039" t="s">
        <v>28</v>
      </c>
      <c r="N1039" s="1">
        <f t="shared" si="236"/>
        <v>4</v>
      </c>
      <c r="O1039" s="1">
        <f t="shared" si="237"/>
        <v>0</v>
      </c>
      <c r="P1039" s="1">
        <f t="shared" si="238"/>
        <v>4</v>
      </c>
      <c r="Q1039" s="1">
        <f t="shared" si="239"/>
        <v>1</v>
      </c>
      <c r="R1039" s="1">
        <f t="shared" si="240"/>
        <v>1</v>
      </c>
      <c r="S1039" s="1">
        <f t="shared" si="241"/>
        <v>1</v>
      </c>
      <c r="T1039" s="1">
        <f t="shared" si="242"/>
        <v>0</v>
      </c>
      <c r="U1039" s="26">
        <f t="shared" si="243"/>
        <v>0</v>
      </c>
      <c r="V1039" s="26">
        <f t="shared" si="244"/>
        <v>1</v>
      </c>
      <c r="W1039" s="1">
        <f t="shared" si="245"/>
        <v>1</v>
      </c>
      <c r="X1039" s="26">
        <f t="shared" si="246"/>
        <v>0</v>
      </c>
      <c r="Y1039" s="26">
        <f t="shared" si="247"/>
        <v>0</v>
      </c>
      <c r="Z1039" s="1">
        <f t="shared" si="248"/>
        <v>1</v>
      </c>
      <c r="AA1039"/>
      <c r="AB1039"/>
    </row>
    <row r="1040" spans="1:28" x14ac:dyDescent="0.55000000000000004">
      <c r="A1040" s="1">
        <f t="shared" si="235"/>
        <v>1040</v>
      </c>
      <c r="B1040" t="s">
        <v>30</v>
      </c>
      <c r="C1040" t="s">
        <v>115</v>
      </c>
      <c r="D1040" t="s">
        <v>42</v>
      </c>
      <c r="E1040" t="s">
        <v>509</v>
      </c>
      <c r="F1040" t="s">
        <v>398</v>
      </c>
      <c r="G1040" t="s">
        <v>51</v>
      </c>
      <c r="H1040" t="s">
        <v>581</v>
      </c>
      <c r="I1040" t="s">
        <v>48</v>
      </c>
      <c r="J1040" t="s">
        <v>1421</v>
      </c>
      <c r="K1040" t="s">
        <v>53</v>
      </c>
      <c r="L1040" t="s">
        <v>779</v>
      </c>
      <c r="M1040" t="s">
        <v>28</v>
      </c>
      <c r="N1040" s="1">
        <f t="shared" si="236"/>
        <v>1</v>
      </c>
      <c r="O1040" s="1">
        <f t="shared" si="237"/>
        <v>2</v>
      </c>
      <c r="P1040" s="1">
        <f t="shared" si="238"/>
        <v>3</v>
      </c>
      <c r="Q1040" s="1">
        <f t="shared" si="239"/>
        <v>1</v>
      </c>
      <c r="R1040" s="1">
        <f t="shared" si="240"/>
        <v>1</v>
      </c>
      <c r="S1040" s="1">
        <f t="shared" si="241"/>
        <v>1</v>
      </c>
      <c r="T1040" s="1">
        <f t="shared" si="242"/>
        <v>1</v>
      </c>
      <c r="U1040" s="26">
        <f t="shared" si="243"/>
        <v>1</v>
      </c>
      <c r="V1040" s="26">
        <f t="shared" si="244"/>
        <v>0</v>
      </c>
      <c r="W1040" s="1">
        <f t="shared" si="245"/>
        <v>1</v>
      </c>
      <c r="X1040" s="26">
        <f t="shared" si="246"/>
        <v>1</v>
      </c>
      <c r="Y1040" s="26">
        <f t="shared" si="247"/>
        <v>1</v>
      </c>
      <c r="Z1040" s="1">
        <f t="shared" si="248"/>
        <v>1</v>
      </c>
      <c r="AA1040"/>
      <c r="AB1040"/>
    </row>
    <row r="1041" spans="1:28" x14ac:dyDescent="0.55000000000000004">
      <c r="A1041" s="1">
        <f t="shared" si="235"/>
        <v>1041</v>
      </c>
      <c r="B1041" t="s">
        <v>30</v>
      </c>
      <c r="C1041" t="s">
        <v>115</v>
      </c>
      <c r="D1041" t="s">
        <v>42</v>
      </c>
      <c r="E1041" t="s">
        <v>509</v>
      </c>
      <c r="F1041" t="s">
        <v>400</v>
      </c>
      <c r="G1041" t="s">
        <v>61</v>
      </c>
      <c r="H1041" t="s">
        <v>575</v>
      </c>
      <c r="I1041" t="s">
        <v>49</v>
      </c>
      <c r="J1041" t="s">
        <v>1422</v>
      </c>
      <c r="K1041" t="s">
        <v>62</v>
      </c>
      <c r="L1041" t="s">
        <v>767</v>
      </c>
      <c r="M1041" t="s">
        <v>28</v>
      </c>
      <c r="N1041" s="1">
        <f t="shared" si="236"/>
        <v>1</v>
      </c>
      <c r="O1041" s="1">
        <f t="shared" si="237"/>
        <v>0</v>
      </c>
      <c r="P1041" s="1">
        <f t="shared" si="238"/>
        <v>1</v>
      </c>
      <c r="Q1041" s="1">
        <f t="shared" si="239"/>
        <v>1</v>
      </c>
      <c r="R1041" s="1">
        <f t="shared" si="240"/>
        <v>1</v>
      </c>
      <c r="S1041" s="1">
        <f t="shared" si="241"/>
        <v>1</v>
      </c>
      <c r="T1041" s="1">
        <f t="shared" si="242"/>
        <v>1</v>
      </c>
      <c r="U1041" s="26">
        <f t="shared" si="243"/>
        <v>1</v>
      </c>
      <c r="V1041" s="26">
        <f t="shared" si="244"/>
        <v>0</v>
      </c>
      <c r="W1041" s="1">
        <f t="shared" si="245"/>
        <v>1</v>
      </c>
      <c r="X1041" s="26">
        <f t="shared" si="246"/>
        <v>0</v>
      </c>
      <c r="Y1041" s="26">
        <f t="shared" si="247"/>
        <v>0</v>
      </c>
      <c r="Z1041" s="1">
        <f t="shared" si="248"/>
        <v>0</v>
      </c>
      <c r="AA1041"/>
      <c r="AB1041"/>
    </row>
    <row r="1042" spans="1:28" x14ac:dyDescent="0.55000000000000004">
      <c r="A1042" s="1">
        <f t="shared" si="235"/>
        <v>1042</v>
      </c>
      <c r="B1042" t="s">
        <v>35</v>
      </c>
      <c r="C1042" t="s">
        <v>116</v>
      </c>
      <c r="D1042" t="s">
        <v>42</v>
      </c>
      <c r="E1042" t="s">
        <v>509</v>
      </c>
      <c r="F1042" t="s">
        <v>411</v>
      </c>
      <c r="G1042" t="s">
        <v>304</v>
      </c>
      <c r="H1042" t="s">
        <v>568</v>
      </c>
      <c r="I1042" t="s">
        <v>204</v>
      </c>
      <c r="J1042" t="s">
        <v>880</v>
      </c>
      <c r="K1042" t="s">
        <v>382</v>
      </c>
      <c r="L1042" t="s">
        <v>576</v>
      </c>
      <c r="M1042" t="s">
        <v>28</v>
      </c>
      <c r="N1042" s="1">
        <f t="shared" si="236"/>
        <v>0</v>
      </c>
      <c r="O1042" s="1">
        <f t="shared" si="237"/>
        <v>2</v>
      </c>
      <c r="P1042" s="1">
        <f t="shared" si="238"/>
        <v>2</v>
      </c>
      <c r="Q1042" s="1">
        <f t="shared" si="239"/>
        <v>1</v>
      </c>
      <c r="R1042" s="1">
        <f t="shared" si="240"/>
        <v>1</v>
      </c>
      <c r="S1042" s="1">
        <f t="shared" si="241"/>
        <v>1</v>
      </c>
      <c r="T1042" s="1">
        <f t="shared" si="242"/>
        <v>1</v>
      </c>
      <c r="U1042" s="26">
        <f t="shared" si="243"/>
        <v>0</v>
      </c>
      <c r="V1042" s="26">
        <f t="shared" si="244"/>
        <v>0</v>
      </c>
      <c r="W1042" s="1">
        <f t="shared" si="245"/>
        <v>1</v>
      </c>
      <c r="X1042" s="26">
        <f t="shared" si="246"/>
        <v>1</v>
      </c>
      <c r="Y1042" s="26">
        <f t="shared" si="247"/>
        <v>1</v>
      </c>
      <c r="Z1042" s="1">
        <f t="shared" si="248"/>
        <v>1</v>
      </c>
      <c r="AA1042"/>
      <c r="AB1042"/>
    </row>
    <row r="1043" spans="1:28" x14ac:dyDescent="0.55000000000000004">
      <c r="A1043" s="1">
        <f t="shared" si="235"/>
        <v>1043</v>
      </c>
      <c r="B1043" t="s">
        <v>35</v>
      </c>
      <c r="C1043" t="s">
        <v>116</v>
      </c>
      <c r="D1043" t="s">
        <v>42</v>
      </c>
      <c r="E1043" t="s">
        <v>509</v>
      </c>
      <c r="F1043" t="s">
        <v>357</v>
      </c>
      <c r="G1043" t="s">
        <v>384</v>
      </c>
      <c r="H1043" t="s">
        <v>579</v>
      </c>
      <c r="I1043" t="s">
        <v>307</v>
      </c>
      <c r="J1043" t="s">
        <v>1503</v>
      </c>
      <c r="K1043" t="s">
        <v>385</v>
      </c>
      <c r="L1043" t="s">
        <v>1232</v>
      </c>
      <c r="M1043" t="s">
        <v>28</v>
      </c>
      <c r="N1043" s="1">
        <f t="shared" si="236"/>
        <v>2</v>
      </c>
      <c r="O1043" s="1">
        <f t="shared" si="237"/>
        <v>1</v>
      </c>
      <c r="P1043" s="1">
        <f t="shared" si="238"/>
        <v>3</v>
      </c>
      <c r="Q1043" s="1">
        <f t="shared" si="239"/>
        <v>1</v>
      </c>
      <c r="R1043" s="1">
        <f t="shared" si="240"/>
        <v>1</v>
      </c>
      <c r="S1043" s="1">
        <f t="shared" si="241"/>
        <v>1</v>
      </c>
      <c r="T1043" s="1">
        <f t="shared" si="242"/>
        <v>1</v>
      </c>
      <c r="U1043" s="26">
        <f t="shared" si="243"/>
        <v>1</v>
      </c>
      <c r="V1043" s="26">
        <f t="shared" si="244"/>
        <v>1</v>
      </c>
      <c r="W1043" s="1">
        <f t="shared" si="245"/>
        <v>1</v>
      </c>
      <c r="X1043" s="26">
        <f t="shared" si="246"/>
        <v>1</v>
      </c>
      <c r="Y1043" s="26">
        <f t="shared" si="247"/>
        <v>0</v>
      </c>
      <c r="Z1043" s="1">
        <f t="shared" si="248"/>
        <v>1</v>
      </c>
      <c r="AA1043"/>
      <c r="AB1043"/>
    </row>
    <row r="1044" spans="1:28" x14ac:dyDescent="0.55000000000000004">
      <c r="A1044" s="1">
        <f t="shared" si="235"/>
        <v>1044</v>
      </c>
      <c r="B1044" t="s">
        <v>35</v>
      </c>
      <c r="C1044" t="s">
        <v>116</v>
      </c>
      <c r="D1044" t="s">
        <v>42</v>
      </c>
      <c r="E1044" t="s">
        <v>509</v>
      </c>
      <c r="F1044" t="s">
        <v>357</v>
      </c>
      <c r="G1044" t="s">
        <v>210</v>
      </c>
      <c r="H1044" t="s">
        <v>722</v>
      </c>
      <c r="I1044" t="s">
        <v>377</v>
      </c>
      <c r="J1044" t="s">
        <v>1504</v>
      </c>
      <c r="K1044" t="s">
        <v>212</v>
      </c>
      <c r="L1044" t="s">
        <v>582</v>
      </c>
      <c r="M1044" t="s">
        <v>28</v>
      </c>
      <c r="N1044" s="1">
        <f t="shared" si="236"/>
        <v>3</v>
      </c>
      <c r="O1044" s="1">
        <f t="shared" si="237"/>
        <v>0</v>
      </c>
      <c r="P1044" s="1">
        <f t="shared" si="238"/>
        <v>3</v>
      </c>
      <c r="Q1044" s="1">
        <f t="shared" si="239"/>
        <v>1</v>
      </c>
      <c r="R1044" s="1">
        <f t="shared" si="240"/>
        <v>1</v>
      </c>
      <c r="S1044" s="1">
        <f t="shared" si="241"/>
        <v>1</v>
      </c>
      <c r="T1044" s="1">
        <f t="shared" si="242"/>
        <v>0</v>
      </c>
      <c r="U1044" s="26">
        <f t="shared" si="243"/>
        <v>1</v>
      </c>
      <c r="V1044" s="26">
        <f t="shared" si="244"/>
        <v>1</v>
      </c>
      <c r="W1044" s="1">
        <f t="shared" si="245"/>
        <v>1</v>
      </c>
      <c r="X1044" s="26">
        <f t="shared" si="246"/>
        <v>0</v>
      </c>
      <c r="Y1044" s="26">
        <f t="shared" si="247"/>
        <v>0</v>
      </c>
      <c r="Z1044" s="1">
        <f t="shared" si="248"/>
        <v>1</v>
      </c>
      <c r="AA1044"/>
      <c r="AB1044"/>
    </row>
    <row r="1045" spans="1:28" x14ac:dyDescent="0.55000000000000004">
      <c r="A1045" s="1">
        <f t="shared" si="235"/>
        <v>1045</v>
      </c>
      <c r="B1045" t="s">
        <v>35</v>
      </c>
      <c r="C1045" t="s">
        <v>116</v>
      </c>
      <c r="D1045" t="s">
        <v>42</v>
      </c>
      <c r="E1045" t="s">
        <v>509</v>
      </c>
      <c r="F1045" t="s">
        <v>357</v>
      </c>
      <c r="G1045" t="s">
        <v>303</v>
      </c>
      <c r="H1045" t="s">
        <v>664</v>
      </c>
      <c r="I1045" t="s">
        <v>205</v>
      </c>
      <c r="J1045" t="s">
        <v>1505</v>
      </c>
      <c r="K1045" t="s">
        <v>305</v>
      </c>
      <c r="L1045" t="s">
        <v>839</v>
      </c>
      <c r="M1045" t="s">
        <v>28</v>
      </c>
      <c r="N1045" s="1">
        <f t="shared" si="236"/>
        <v>2</v>
      </c>
      <c r="O1045" s="1">
        <f t="shared" si="237"/>
        <v>2</v>
      </c>
      <c r="P1045" s="1">
        <f t="shared" si="238"/>
        <v>4</v>
      </c>
      <c r="Q1045" s="1">
        <f t="shared" si="239"/>
        <v>0</v>
      </c>
      <c r="R1045" s="1">
        <f t="shared" si="240"/>
        <v>1</v>
      </c>
      <c r="S1045" s="1">
        <f t="shared" si="241"/>
        <v>0</v>
      </c>
      <c r="T1045" s="1">
        <f t="shared" si="242"/>
        <v>1</v>
      </c>
      <c r="U1045" s="26">
        <f t="shared" si="243"/>
        <v>1</v>
      </c>
      <c r="V1045" s="26">
        <f t="shared" si="244"/>
        <v>1</v>
      </c>
      <c r="W1045" s="1">
        <f t="shared" si="245"/>
        <v>1</v>
      </c>
      <c r="X1045" s="26">
        <f t="shared" si="246"/>
        <v>1</v>
      </c>
      <c r="Y1045" s="26">
        <f t="shared" si="247"/>
        <v>1</v>
      </c>
      <c r="Z1045" s="1">
        <f t="shared" si="248"/>
        <v>1</v>
      </c>
      <c r="AA1045"/>
      <c r="AB1045"/>
    </row>
    <row r="1046" spans="1:28" x14ac:dyDescent="0.55000000000000004">
      <c r="A1046" s="1">
        <f t="shared" si="235"/>
        <v>1046</v>
      </c>
      <c r="B1046" t="s">
        <v>35</v>
      </c>
      <c r="C1046" t="s">
        <v>116</v>
      </c>
      <c r="D1046" t="s">
        <v>42</v>
      </c>
      <c r="E1046" t="s">
        <v>509</v>
      </c>
      <c r="F1046" t="s">
        <v>412</v>
      </c>
      <c r="G1046" t="s">
        <v>213</v>
      </c>
      <c r="H1046" t="s">
        <v>575</v>
      </c>
      <c r="I1046" t="s">
        <v>208</v>
      </c>
      <c r="J1046" t="s">
        <v>1506</v>
      </c>
      <c r="K1046" t="s">
        <v>215</v>
      </c>
      <c r="L1046" t="s">
        <v>843</v>
      </c>
      <c r="M1046" t="s">
        <v>28</v>
      </c>
      <c r="N1046" s="1">
        <f t="shared" si="236"/>
        <v>1</v>
      </c>
      <c r="O1046" s="1">
        <f t="shared" si="237"/>
        <v>0</v>
      </c>
      <c r="P1046" s="1">
        <f t="shared" si="238"/>
        <v>1</v>
      </c>
      <c r="Q1046" s="1">
        <f t="shared" si="239"/>
        <v>1</v>
      </c>
      <c r="R1046" s="1">
        <f t="shared" si="240"/>
        <v>1</v>
      </c>
      <c r="S1046" s="1">
        <f t="shared" si="241"/>
        <v>1</v>
      </c>
      <c r="T1046" s="1">
        <f t="shared" si="242"/>
        <v>1</v>
      </c>
      <c r="U1046" s="26">
        <f t="shared" si="243"/>
        <v>1</v>
      </c>
      <c r="V1046" s="26">
        <f t="shared" si="244"/>
        <v>0</v>
      </c>
      <c r="W1046" s="1">
        <f t="shared" si="245"/>
        <v>1</v>
      </c>
      <c r="X1046" s="26">
        <f t="shared" si="246"/>
        <v>0</v>
      </c>
      <c r="Y1046" s="26">
        <f t="shared" si="247"/>
        <v>0</v>
      </c>
      <c r="Z1046" s="1">
        <f t="shared" si="248"/>
        <v>0</v>
      </c>
      <c r="AA1046"/>
      <c r="AB1046"/>
    </row>
    <row r="1047" spans="1:28" x14ac:dyDescent="0.55000000000000004">
      <c r="A1047" s="1">
        <f t="shared" si="235"/>
        <v>1047</v>
      </c>
      <c r="B1047" t="s">
        <v>39</v>
      </c>
      <c r="C1047" t="s">
        <v>120</v>
      </c>
      <c r="D1047" t="s">
        <v>42</v>
      </c>
      <c r="E1047" t="s">
        <v>509</v>
      </c>
      <c r="F1047" t="s">
        <v>218</v>
      </c>
      <c r="G1047" t="s">
        <v>219</v>
      </c>
      <c r="H1047" t="s">
        <v>708</v>
      </c>
      <c r="I1047" t="s">
        <v>226</v>
      </c>
      <c r="J1047" t="s">
        <v>1546</v>
      </c>
      <c r="K1047" t="s">
        <v>221</v>
      </c>
      <c r="L1047" t="s">
        <v>1140</v>
      </c>
      <c r="M1047" t="s">
        <v>28</v>
      </c>
      <c r="N1047" s="1">
        <f t="shared" si="236"/>
        <v>0</v>
      </c>
      <c r="O1047" s="1">
        <f t="shared" si="237"/>
        <v>0</v>
      </c>
      <c r="P1047" s="1">
        <f t="shared" si="238"/>
        <v>0</v>
      </c>
      <c r="Q1047" s="1">
        <f t="shared" si="239"/>
        <v>0</v>
      </c>
      <c r="R1047" s="1">
        <f t="shared" si="240"/>
        <v>1</v>
      </c>
      <c r="S1047" s="1">
        <f t="shared" si="241"/>
        <v>0</v>
      </c>
      <c r="T1047" s="1">
        <f t="shared" si="242"/>
        <v>1</v>
      </c>
      <c r="U1047" s="26">
        <f t="shared" si="243"/>
        <v>0</v>
      </c>
      <c r="V1047" s="26">
        <f t="shared" si="244"/>
        <v>0</v>
      </c>
      <c r="W1047" s="1">
        <f t="shared" si="245"/>
        <v>1</v>
      </c>
      <c r="X1047" s="26">
        <f t="shared" si="246"/>
        <v>0</v>
      </c>
      <c r="Y1047" s="26">
        <f t="shared" si="247"/>
        <v>0</v>
      </c>
      <c r="Z1047" s="1">
        <f t="shared" si="248"/>
        <v>0</v>
      </c>
      <c r="AA1047"/>
      <c r="AB1047"/>
    </row>
    <row r="1048" spans="1:28" x14ac:dyDescent="0.55000000000000004">
      <c r="A1048" s="1">
        <f t="shared" si="235"/>
        <v>1048</v>
      </c>
      <c r="B1048" t="s">
        <v>39</v>
      </c>
      <c r="C1048" t="s">
        <v>120</v>
      </c>
      <c r="D1048" t="s">
        <v>42</v>
      </c>
      <c r="E1048" t="s">
        <v>509</v>
      </c>
      <c r="F1048" t="s">
        <v>218</v>
      </c>
      <c r="G1048" t="s">
        <v>228</v>
      </c>
      <c r="H1048" t="s">
        <v>708</v>
      </c>
      <c r="I1048" t="s">
        <v>220</v>
      </c>
      <c r="J1048" t="s">
        <v>1547</v>
      </c>
      <c r="K1048" t="s">
        <v>230</v>
      </c>
      <c r="L1048" t="s">
        <v>1007</v>
      </c>
      <c r="M1048" t="s">
        <v>28</v>
      </c>
      <c r="N1048" s="1">
        <f t="shared" si="236"/>
        <v>0</v>
      </c>
      <c r="O1048" s="1">
        <f t="shared" si="237"/>
        <v>0</v>
      </c>
      <c r="P1048" s="1">
        <f t="shared" si="238"/>
        <v>0</v>
      </c>
      <c r="Q1048" s="1">
        <f t="shared" si="239"/>
        <v>0</v>
      </c>
      <c r="R1048" s="1">
        <f t="shared" si="240"/>
        <v>1</v>
      </c>
      <c r="S1048" s="1">
        <f t="shared" si="241"/>
        <v>0</v>
      </c>
      <c r="T1048" s="1">
        <f t="shared" si="242"/>
        <v>1</v>
      </c>
      <c r="U1048" s="26">
        <f t="shared" si="243"/>
        <v>0</v>
      </c>
      <c r="V1048" s="26">
        <f t="shared" si="244"/>
        <v>0</v>
      </c>
      <c r="W1048" s="1">
        <f t="shared" si="245"/>
        <v>1</v>
      </c>
      <c r="X1048" s="26">
        <f t="shared" si="246"/>
        <v>0</v>
      </c>
      <c r="Y1048" s="26">
        <f t="shared" si="247"/>
        <v>0</v>
      </c>
      <c r="Z1048" s="1">
        <f t="shared" si="248"/>
        <v>0</v>
      </c>
      <c r="AA1048"/>
      <c r="AB1048"/>
    </row>
    <row r="1049" spans="1:28" x14ac:dyDescent="0.55000000000000004">
      <c r="A1049" s="1">
        <f t="shared" si="235"/>
        <v>1049</v>
      </c>
      <c r="B1049" t="s">
        <v>39</v>
      </c>
      <c r="C1049" t="s">
        <v>120</v>
      </c>
      <c r="D1049" t="s">
        <v>42</v>
      </c>
      <c r="E1049" t="s">
        <v>509</v>
      </c>
      <c r="F1049" t="s">
        <v>218</v>
      </c>
      <c r="G1049" t="s">
        <v>223</v>
      </c>
      <c r="H1049" t="s">
        <v>590</v>
      </c>
      <c r="I1049" t="s">
        <v>235</v>
      </c>
      <c r="J1049" t="s">
        <v>1548</v>
      </c>
      <c r="K1049" t="s">
        <v>244</v>
      </c>
      <c r="L1049" t="s">
        <v>1154</v>
      </c>
      <c r="M1049" t="s">
        <v>28</v>
      </c>
      <c r="N1049" s="1">
        <f t="shared" si="236"/>
        <v>0</v>
      </c>
      <c r="O1049" s="1">
        <f t="shared" si="237"/>
        <v>1</v>
      </c>
      <c r="P1049" s="1">
        <f t="shared" si="238"/>
        <v>1</v>
      </c>
      <c r="Q1049" s="1">
        <f t="shared" si="239"/>
        <v>1</v>
      </c>
      <c r="R1049" s="1">
        <f t="shared" si="240"/>
        <v>1</v>
      </c>
      <c r="S1049" s="1">
        <f t="shared" si="241"/>
        <v>1</v>
      </c>
      <c r="T1049" s="1">
        <f t="shared" si="242"/>
        <v>1</v>
      </c>
      <c r="U1049" s="26">
        <f t="shared" si="243"/>
        <v>0</v>
      </c>
      <c r="V1049" s="26">
        <f t="shared" si="244"/>
        <v>0</v>
      </c>
      <c r="W1049" s="1">
        <f t="shared" si="245"/>
        <v>1</v>
      </c>
      <c r="X1049" s="26">
        <f t="shared" si="246"/>
        <v>1</v>
      </c>
      <c r="Y1049" s="26">
        <f t="shared" si="247"/>
        <v>0</v>
      </c>
      <c r="Z1049" s="1">
        <f t="shared" si="248"/>
        <v>0</v>
      </c>
      <c r="AA1049"/>
      <c r="AB1049"/>
    </row>
    <row r="1050" spans="1:28" x14ac:dyDescent="0.55000000000000004">
      <c r="A1050" s="1">
        <f t="shared" si="235"/>
        <v>1050</v>
      </c>
      <c r="B1050" t="s">
        <v>30</v>
      </c>
      <c r="C1050" t="s">
        <v>115</v>
      </c>
      <c r="D1050" t="s">
        <v>179</v>
      </c>
      <c r="E1050" t="s">
        <v>800</v>
      </c>
      <c r="F1050" t="s">
        <v>181</v>
      </c>
      <c r="G1050" t="s">
        <v>52</v>
      </c>
      <c r="H1050" t="s">
        <v>722</v>
      </c>
      <c r="I1050" t="s">
        <v>57</v>
      </c>
      <c r="J1050" t="s">
        <v>801</v>
      </c>
      <c r="K1050" t="s">
        <v>71</v>
      </c>
      <c r="L1050" t="s">
        <v>781</v>
      </c>
      <c r="M1050" t="s">
        <v>28</v>
      </c>
      <c r="N1050" s="1">
        <f t="shared" si="236"/>
        <v>3</v>
      </c>
      <c r="O1050" s="1">
        <f t="shared" si="237"/>
        <v>0</v>
      </c>
      <c r="P1050" s="1">
        <f t="shared" si="238"/>
        <v>3</v>
      </c>
      <c r="Q1050" s="1">
        <f t="shared" si="239"/>
        <v>1</v>
      </c>
      <c r="R1050" s="1">
        <f t="shared" si="240"/>
        <v>1</v>
      </c>
      <c r="S1050" s="1">
        <f t="shared" si="241"/>
        <v>1</v>
      </c>
      <c r="T1050" s="1">
        <f t="shared" si="242"/>
        <v>0</v>
      </c>
      <c r="U1050" s="26">
        <f t="shared" si="243"/>
        <v>1</v>
      </c>
      <c r="V1050" s="26">
        <f t="shared" si="244"/>
        <v>1</v>
      </c>
      <c r="W1050" s="1">
        <f t="shared" si="245"/>
        <v>1</v>
      </c>
      <c r="X1050" s="26">
        <f t="shared" si="246"/>
        <v>0</v>
      </c>
      <c r="Y1050" s="26">
        <f t="shared" si="247"/>
        <v>0</v>
      </c>
      <c r="Z1050" s="1">
        <f t="shared" si="248"/>
        <v>1</v>
      </c>
      <c r="AA1050"/>
      <c r="AB1050"/>
    </row>
    <row r="1051" spans="1:28" x14ac:dyDescent="0.55000000000000004">
      <c r="A1051" s="1">
        <f t="shared" si="235"/>
        <v>1051</v>
      </c>
      <c r="B1051" t="s">
        <v>32</v>
      </c>
      <c r="D1051" t="s">
        <v>216</v>
      </c>
      <c r="E1051" t="s">
        <v>650</v>
      </c>
      <c r="F1051" t="s">
        <v>375</v>
      </c>
      <c r="G1051" t="s">
        <v>651</v>
      </c>
      <c r="H1051" t="s">
        <v>608</v>
      </c>
      <c r="I1051" t="s">
        <v>421</v>
      </c>
      <c r="J1051" t="s">
        <v>652</v>
      </c>
      <c r="K1051" t="s">
        <v>653</v>
      </c>
      <c r="L1051" t="s">
        <v>654</v>
      </c>
      <c r="M1051" t="s">
        <v>28</v>
      </c>
      <c r="N1051" s="1">
        <f t="shared" si="236"/>
        <v>1</v>
      </c>
      <c r="O1051" s="1">
        <f t="shared" si="237"/>
        <v>1</v>
      </c>
      <c r="P1051" s="1">
        <f t="shared" si="238"/>
        <v>2</v>
      </c>
      <c r="Q1051" s="1">
        <f t="shared" si="239"/>
        <v>0</v>
      </c>
      <c r="R1051" s="1">
        <f t="shared" si="240"/>
        <v>1</v>
      </c>
      <c r="S1051" s="1">
        <f t="shared" si="241"/>
        <v>0</v>
      </c>
      <c r="T1051" s="1">
        <f t="shared" si="242"/>
        <v>1</v>
      </c>
      <c r="U1051" s="26">
        <f t="shared" si="243"/>
        <v>1</v>
      </c>
      <c r="V1051" s="26">
        <f t="shared" si="244"/>
        <v>0</v>
      </c>
      <c r="W1051" s="1">
        <f t="shared" si="245"/>
        <v>1</v>
      </c>
      <c r="X1051" s="26">
        <f t="shared" si="246"/>
        <v>1</v>
      </c>
      <c r="Y1051" s="26">
        <f t="shared" si="247"/>
        <v>0</v>
      </c>
      <c r="Z1051" s="1">
        <f t="shared" si="248"/>
        <v>1</v>
      </c>
      <c r="AA1051"/>
      <c r="AB1051"/>
    </row>
    <row r="1052" spans="1:28" x14ac:dyDescent="0.55000000000000004">
      <c r="A1052" s="1">
        <f t="shared" si="235"/>
        <v>1052</v>
      </c>
      <c r="B1052" t="s">
        <v>32</v>
      </c>
      <c r="D1052" t="s">
        <v>216</v>
      </c>
      <c r="E1052" t="s">
        <v>650</v>
      </c>
      <c r="F1052" t="s">
        <v>247</v>
      </c>
      <c r="G1052" t="s">
        <v>468</v>
      </c>
      <c r="H1052" t="s">
        <v>565</v>
      </c>
      <c r="I1052" t="s">
        <v>655</v>
      </c>
      <c r="J1052" t="s">
        <v>656</v>
      </c>
      <c r="K1052" t="s">
        <v>393</v>
      </c>
      <c r="L1052" t="s">
        <v>657</v>
      </c>
      <c r="M1052" t="s">
        <v>28</v>
      </c>
      <c r="N1052" s="1">
        <f t="shared" si="236"/>
        <v>2</v>
      </c>
      <c r="O1052" s="1">
        <f t="shared" si="237"/>
        <v>3</v>
      </c>
      <c r="P1052" s="1">
        <f t="shared" si="238"/>
        <v>5</v>
      </c>
      <c r="Q1052" s="1">
        <f t="shared" si="239"/>
        <v>1</v>
      </c>
      <c r="R1052" s="1">
        <f t="shared" si="240"/>
        <v>0</v>
      </c>
      <c r="S1052" s="1">
        <f t="shared" si="241"/>
        <v>0</v>
      </c>
      <c r="T1052" s="1">
        <f t="shared" si="242"/>
        <v>1</v>
      </c>
      <c r="U1052" s="26">
        <f t="shared" si="243"/>
        <v>1</v>
      </c>
      <c r="V1052" s="26">
        <f t="shared" si="244"/>
        <v>1</v>
      </c>
      <c r="W1052" s="1">
        <f t="shared" si="245"/>
        <v>0</v>
      </c>
      <c r="X1052" s="26">
        <f t="shared" si="246"/>
        <v>1</v>
      </c>
      <c r="Y1052" s="26">
        <f t="shared" si="247"/>
        <v>1</v>
      </c>
      <c r="Z1052" s="1">
        <f t="shared" si="248"/>
        <v>1</v>
      </c>
      <c r="AA1052"/>
      <c r="AB1052"/>
    </row>
    <row r="1053" spans="1:28" x14ac:dyDescent="0.55000000000000004">
      <c r="A1053" s="1">
        <f t="shared" si="235"/>
        <v>1053</v>
      </c>
      <c r="B1053" t="s">
        <v>32</v>
      </c>
      <c r="D1053" t="s">
        <v>216</v>
      </c>
      <c r="E1053" t="s">
        <v>650</v>
      </c>
      <c r="F1053" t="s">
        <v>658</v>
      </c>
      <c r="G1053" t="s">
        <v>659</v>
      </c>
      <c r="H1053" t="s">
        <v>581</v>
      </c>
      <c r="I1053" t="s">
        <v>469</v>
      </c>
      <c r="J1053" t="s">
        <v>660</v>
      </c>
      <c r="K1053" t="s">
        <v>661</v>
      </c>
      <c r="L1053" t="s">
        <v>662</v>
      </c>
      <c r="M1053" t="s">
        <v>28</v>
      </c>
      <c r="N1053" s="1">
        <f t="shared" si="236"/>
        <v>1</v>
      </c>
      <c r="O1053" s="1">
        <f t="shared" si="237"/>
        <v>2</v>
      </c>
      <c r="P1053" s="1">
        <f t="shared" si="238"/>
        <v>3</v>
      </c>
      <c r="Q1053" s="1">
        <f t="shared" si="239"/>
        <v>1</v>
      </c>
      <c r="R1053" s="1">
        <f t="shared" si="240"/>
        <v>1</v>
      </c>
      <c r="S1053" s="1">
        <f t="shared" si="241"/>
        <v>1</v>
      </c>
      <c r="T1053" s="1">
        <f t="shared" si="242"/>
        <v>1</v>
      </c>
      <c r="U1053" s="26">
        <f t="shared" si="243"/>
        <v>1</v>
      </c>
      <c r="V1053" s="26">
        <f t="shared" si="244"/>
        <v>0</v>
      </c>
      <c r="W1053" s="1">
        <f t="shared" si="245"/>
        <v>1</v>
      </c>
      <c r="X1053" s="26">
        <f t="shared" si="246"/>
        <v>1</v>
      </c>
      <c r="Y1053" s="26">
        <f t="shared" si="247"/>
        <v>1</v>
      </c>
      <c r="Z1053" s="1">
        <f t="shared" si="248"/>
        <v>1</v>
      </c>
      <c r="AA1053"/>
      <c r="AB1053"/>
    </row>
    <row r="1054" spans="1:28" x14ac:dyDescent="0.55000000000000004">
      <c r="A1054" s="1">
        <f t="shared" si="235"/>
        <v>1054</v>
      </c>
      <c r="B1054" t="s">
        <v>32</v>
      </c>
      <c r="D1054" t="s">
        <v>216</v>
      </c>
      <c r="E1054" t="s">
        <v>650</v>
      </c>
      <c r="F1054" t="s">
        <v>181</v>
      </c>
      <c r="G1054" t="s">
        <v>663</v>
      </c>
      <c r="H1054" t="s">
        <v>664</v>
      </c>
      <c r="I1054" t="s">
        <v>503</v>
      </c>
      <c r="J1054" t="s">
        <v>665</v>
      </c>
      <c r="K1054" t="s">
        <v>666</v>
      </c>
      <c r="L1054" t="s">
        <v>667</v>
      </c>
      <c r="M1054" t="s">
        <v>28</v>
      </c>
      <c r="N1054" s="1">
        <f t="shared" si="236"/>
        <v>2</v>
      </c>
      <c r="O1054" s="1">
        <f t="shared" si="237"/>
        <v>2</v>
      </c>
      <c r="P1054" s="1">
        <f t="shared" si="238"/>
        <v>4</v>
      </c>
      <c r="Q1054" s="1">
        <f t="shared" si="239"/>
        <v>0</v>
      </c>
      <c r="R1054" s="1">
        <f t="shared" si="240"/>
        <v>1</v>
      </c>
      <c r="S1054" s="1">
        <f t="shared" si="241"/>
        <v>0</v>
      </c>
      <c r="T1054" s="1">
        <f t="shared" si="242"/>
        <v>1</v>
      </c>
      <c r="U1054" s="26">
        <f t="shared" si="243"/>
        <v>1</v>
      </c>
      <c r="V1054" s="26">
        <f t="shared" si="244"/>
        <v>1</v>
      </c>
      <c r="W1054" s="1">
        <f t="shared" si="245"/>
        <v>1</v>
      </c>
      <c r="X1054" s="26">
        <f t="shared" si="246"/>
        <v>1</v>
      </c>
      <c r="Y1054" s="26">
        <f t="shared" si="247"/>
        <v>1</v>
      </c>
      <c r="Z1054" s="1">
        <f t="shared" si="248"/>
        <v>1</v>
      </c>
      <c r="AA1054"/>
      <c r="AB1054"/>
    </row>
    <row r="1055" spans="1:28" x14ac:dyDescent="0.55000000000000004">
      <c r="A1055" s="1">
        <f t="shared" si="235"/>
        <v>1055</v>
      </c>
      <c r="B1055" t="s">
        <v>32</v>
      </c>
      <c r="D1055" t="s">
        <v>216</v>
      </c>
      <c r="E1055" t="s">
        <v>650</v>
      </c>
      <c r="F1055" t="s">
        <v>431</v>
      </c>
      <c r="G1055" t="s">
        <v>435</v>
      </c>
      <c r="H1055" t="s">
        <v>664</v>
      </c>
      <c r="I1055" t="s">
        <v>668</v>
      </c>
      <c r="J1055" t="s">
        <v>669</v>
      </c>
      <c r="K1055" t="s">
        <v>437</v>
      </c>
      <c r="L1055" t="s">
        <v>670</v>
      </c>
      <c r="M1055" t="s">
        <v>28</v>
      </c>
      <c r="N1055" s="1">
        <f t="shared" si="236"/>
        <v>2</v>
      </c>
      <c r="O1055" s="1">
        <f t="shared" si="237"/>
        <v>2</v>
      </c>
      <c r="P1055" s="1">
        <f t="shared" si="238"/>
        <v>4</v>
      </c>
      <c r="Q1055" s="1">
        <f t="shared" si="239"/>
        <v>0</v>
      </c>
      <c r="R1055" s="1">
        <f t="shared" si="240"/>
        <v>1</v>
      </c>
      <c r="S1055" s="1">
        <f t="shared" si="241"/>
        <v>0</v>
      </c>
      <c r="T1055" s="1">
        <f t="shared" si="242"/>
        <v>1</v>
      </c>
      <c r="U1055" s="26">
        <f t="shared" si="243"/>
        <v>1</v>
      </c>
      <c r="V1055" s="26">
        <f t="shared" si="244"/>
        <v>1</v>
      </c>
      <c r="W1055" s="1">
        <f t="shared" si="245"/>
        <v>1</v>
      </c>
      <c r="X1055" s="26">
        <f t="shared" si="246"/>
        <v>1</v>
      </c>
      <c r="Y1055" s="26">
        <f t="shared" si="247"/>
        <v>1</v>
      </c>
      <c r="Z1055" s="1">
        <f t="shared" si="248"/>
        <v>1</v>
      </c>
      <c r="AA1055"/>
      <c r="AB1055"/>
    </row>
    <row r="1056" spans="1:28" x14ac:dyDescent="0.55000000000000004">
      <c r="A1056" s="1">
        <f t="shared" si="235"/>
        <v>1056</v>
      </c>
      <c r="B1056" t="s">
        <v>32</v>
      </c>
      <c r="D1056" t="s">
        <v>216</v>
      </c>
      <c r="E1056" t="s">
        <v>650</v>
      </c>
      <c r="F1056" t="s">
        <v>202</v>
      </c>
      <c r="G1056" t="s">
        <v>671</v>
      </c>
      <c r="H1056" t="s">
        <v>565</v>
      </c>
      <c r="I1056" t="s">
        <v>429</v>
      </c>
      <c r="J1056" t="s">
        <v>672</v>
      </c>
      <c r="K1056" t="s">
        <v>673</v>
      </c>
      <c r="L1056" t="s">
        <v>674</v>
      </c>
      <c r="M1056" t="s">
        <v>28</v>
      </c>
      <c r="N1056" s="1">
        <f t="shared" si="236"/>
        <v>2</v>
      </c>
      <c r="O1056" s="1">
        <f t="shared" si="237"/>
        <v>3</v>
      </c>
      <c r="P1056" s="1">
        <f t="shared" si="238"/>
        <v>5</v>
      </c>
      <c r="Q1056" s="1">
        <f t="shared" si="239"/>
        <v>1</v>
      </c>
      <c r="R1056" s="1">
        <f t="shared" si="240"/>
        <v>0</v>
      </c>
      <c r="S1056" s="1">
        <f t="shared" si="241"/>
        <v>0</v>
      </c>
      <c r="T1056" s="1">
        <f t="shared" si="242"/>
        <v>1</v>
      </c>
      <c r="U1056" s="26">
        <f t="shared" si="243"/>
        <v>1</v>
      </c>
      <c r="V1056" s="26">
        <f t="shared" si="244"/>
        <v>1</v>
      </c>
      <c r="W1056" s="1">
        <f t="shared" si="245"/>
        <v>0</v>
      </c>
      <c r="X1056" s="26">
        <f t="shared" si="246"/>
        <v>1</v>
      </c>
      <c r="Y1056" s="26">
        <f t="shared" si="247"/>
        <v>1</v>
      </c>
      <c r="Z1056" s="1">
        <f t="shared" si="248"/>
        <v>1</v>
      </c>
      <c r="AA1056"/>
      <c r="AB1056"/>
    </row>
    <row r="1057" spans="1:28" x14ac:dyDescent="0.55000000000000004">
      <c r="A1057" s="1">
        <f t="shared" si="235"/>
        <v>1057</v>
      </c>
      <c r="B1057" t="s">
        <v>32</v>
      </c>
      <c r="D1057" t="s">
        <v>216</v>
      </c>
      <c r="E1057" t="s">
        <v>650</v>
      </c>
      <c r="F1057" t="s">
        <v>311</v>
      </c>
      <c r="G1057" t="s">
        <v>441</v>
      </c>
      <c r="H1057" t="s">
        <v>579</v>
      </c>
      <c r="I1057" t="s">
        <v>675</v>
      </c>
      <c r="J1057" t="s">
        <v>676</v>
      </c>
      <c r="K1057" t="s">
        <v>443</v>
      </c>
      <c r="L1057" t="s">
        <v>677</v>
      </c>
      <c r="M1057" t="s">
        <v>28</v>
      </c>
      <c r="N1057" s="1">
        <f t="shared" si="236"/>
        <v>2</v>
      </c>
      <c r="O1057" s="1">
        <f t="shared" si="237"/>
        <v>1</v>
      </c>
      <c r="P1057" s="1">
        <f t="shared" si="238"/>
        <v>3</v>
      </c>
      <c r="Q1057" s="1">
        <f t="shared" si="239"/>
        <v>1</v>
      </c>
      <c r="R1057" s="1">
        <f t="shared" si="240"/>
        <v>1</v>
      </c>
      <c r="S1057" s="1">
        <f t="shared" si="241"/>
        <v>1</v>
      </c>
      <c r="T1057" s="1">
        <f t="shared" si="242"/>
        <v>1</v>
      </c>
      <c r="U1057" s="26">
        <f t="shared" si="243"/>
        <v>1</v>
      </c>
      <c r="V1057" s="26">
        <f t="shared" si="244"/>
        <v>1</v>
      </c>
      <c r="W1057" s="1">
        <f t="shared" si="245"/>
        <v>1</v>
      </c>
      <c r="X1057" s="26">
        <f t="shared" si="246"/>
        <v>1</v>
      </c>
      <c r="Y1057" s="26">
        <f t="shared" si="247"/>
        <v>0</v>
      </c>
      <c r="Z1057" s="1">
        <f t="shared" si="248"/>
        <v>1</v>
      </c>
      <c r="AA1057"/>
      <c r="AB1057"/>
    </row>
    <row r="1058" spans="1:28" x14ac:dyDescent="0.55000000000000004">
      <c r="A1058" s="1">
        <f t="shared" si="235"/>
        <v>1058</v>
      </c>
      <c r="B1058" t="s">
        <v>32</v>
      </c>
      <c r="D1058" t="s">
        <v>216</v>
      </c>
      <c r="E1058" t="s">
        <v>650</v>
      </c>
      <c r="F1058" t="s">
        <v>311</v>
      </c>
      <c r="G1058" t="s">
        <v>476</v>
      </c>
      <c r="H1058" t="s">
        <v>678</v>
      </c>
      <c r="I1058" t="s">
        <v>679</v>
      </c>
      <c r="J1058" t="s">
        <v>680</v>
      </c>
      <c r="K1058" t="s">
        <v>330</v>
      </c>
      <c r="L1058" t="s">
        <v>681</v>
      </c>
      <c r="M1058" t="s">
        <v>28</v>
      </c>
      <c r="N1058" s="1">
        <f t="shared" si="236"/>
        <v>5</v>
      </c>
      <c r="O1058" s="1">
        <f t="shared" si="237"/>
        <v>1</v>
      </c>
      <c r="P1058" s="1">
        <f t="shared" si="238"/>
        <v>6</v>
      </c>
      <c r="Q1058" s="1">
        <f t="shared" si="239"/>
        <v>1</v>
      </c>
      <c r="R1058" s="1">
        <f t="shared" si="240"/>
        <v>0</v>
      </c>
      <c r="S1058" s="1">
        <f t="shared" si="241"/>
        <v>0</v>
      </c>
      <c r="T1058" s="1">
        <f t="shared" si="242"/>
        <v>0</v>
      </c>
      <c r="U1058" s="26">
        <f t="shared" si="243"/>
        <v>0</v>
      </c>
      <c r="V1058" s="26">
        <f t="shared" si="244"/>
        <v>1</v>
      </c>
      <c r="W1058" s="1">
        <f t="shared" si="245"/>
        <v>1</v>
      </c>
      <c r="X1058" s="26">
        <f t="shared" si="246"/>
        <v>1</v>
      </c>
      <c r="Y1058" s="26">
        <f t="shared" si="247"/>
        <v>0</v>
      </c>
      <c r="Z1058" s="1">
        <f t="shared" si="248"/>
        <v>1</v>
      </c>
      <c r="AA1058"/>
      <c r="AB1058"/>
    </row>
    <row r="1059" spans="1:28" x14ac:dyDescent="0.55000000000000004">
      <c r="A1059" s="1">
        <f t="shared" si="235"/>
        <v>1059</v>
      </c>
      <c r="B1059" t="s">
        <v>32</v>
      </c>
      <c r="D1059" t="s">
        <v>216</v>
      </c>
      <c r="E1059" t="s">
        <v>650</v>
      </c>
      <c r="F1059" t="s">
        <v>182</v>
      </c>
      <c r="G1059" t="s">
        <v>682</v>
      </c>
      <c r="H1059" t="s">
        <v>683</v>
      </c>
      <c r="I1059" t="s">
        <v>477</v>
      </c>
      <c r="J1059" t="s">
        <v>684</v>
      </c>
      <c r="K1059" t="s">
        <v>685</v>
      </c>
      <c r="L1059" t="s">
        <v>686</v>
      </c>
      <c r="M1059" t="s">
        <v>28</v>
      </c>
      <c r="N1059" s="1">
        <f t="shared" si="236"/>
        <v>3</v>
      </c>
      <c r="O1059" s="1">
        <f t="shared" si="237"/>
        <v>2</v>
      </c>
      <c r="P1059" s="1">
        <f t="shared" si="238"/>
        <v>5</v>
      </c>
      <c r="Q1059" s="1">
        <f t="shared" si="239"/>
        <v>1</v>
      </c>
      <c r="R1059" s="1">
        <f t="shared" si="240"/>
        <v>0</v>
      </c>
      <c r="S1059" s="1">
        <f t="shared" si="241"/>
        <v>0</v>
      </c>
      <c r="T1059" s="1">
        <f t="shared" si="242"/>
        <v>0</v>
      </c>
      <c r="U1059" s="26">
        <f t="shared" si="243"/>
        <v>1</v>
      </c>
      <c r="V1059" s="26">
        <f t="shared" si="244"/>
        <v>1</v>
      </c>
      <c r="W1059" s="1">
        <f t="shared" si="245"/>
        <v>1</v>
      </c>
      <c r="X1059" s="26">
        <f t="shared" si="246"/>
        <v>1</v>
      </c>
      <c r="Y1059" s="26">
        <f t="shared" si="247"/>
        <v>1</v>
      </c>
      <c r="Z1059" s="1">
        <f t="shared" si="248"/>
        <v>1</v>
      </c>
      <c r="AA1059"/>
      <c r="AB1059"/>
    </row>
    <row r="1060" spans="1:28" x14ac:dyDescent="0.55000000000000004">
      <c r="A1060" s="1">
        <f t="shared" si="235"/>
        <v>1060</v>
      </c>
      <c r="B1060" t="s">
        <v>32</v>
      </c>
      <c r="D1060" t="s">
        <v>216</v>
      </c>
      <c r="E1060" t="s">
        <v>650</v>
      </c>
      <c r="F1060" t="s">
        <v>457</v>
      </c>
      <c r="G1060" t="s">
        <v>458</v>
      </c>
      <c r="H1060" t="s">
        <v>687</v>
      </c>
      <c r="I1060" t="s">
        <v>688</v>
      </c>
      <c r="J1060" t="s">
        <v>689</v>
      </c>
      <c r="K1060" t="s">
        <v>460</v>
      </c>
      <c r="L1060" t="s">
        <v>690</v>
      </c>
      <c r="M1060" t="s">
        <v>28</v>
      </c>
      <c r="N1060" s="1">
        <f t="shared" si="236"/>
        <v>4</v>
      </c>
      <c r="O1060" s="1">
        <f t="shared" si="237"/>
        <v>0</v>
      </c>
      <c r="P1060" s="1">
        <f t="shared" si="238"/>
        <v>4</v>
      </c>
      <c r="Q1060" s="1">
        <f t="shared" si="239"/>
        <v>1</v>
      </c>
      <c r="R1060" s="1">
        <f t="shared" si="240"/>
        <v>1</v>
      </c>
      <c r="S1060" s="1">
        <f t="shared" si="241"/>
        <v>1</v>
      </c>
      <c r="T1060" s="1">
        <f t="shared" si="242"/>
        <v>0</v>
      </c>
      <c r="U1060" s="26">
        <f t="shared" si="243"/>
        <v>0</v>
      </c>
      <c r="V1060" s="26">
        <f t="shared" si="244"/>
        <v>1</v>
      </c>
      <c r="W1060" s="1">
        <f t="shared" si="245"/>
        <v>1</v>
      </c>
      <c r="X1060" s="26">
        <f t="shared" si="246"/>
        <v>0</v>
      </c>
      <c r="Y1060" s="26">
        <f t="shared" si="247"/>
        <v>0</v>
      </c>
      <c r="Z1060" s="1">
        <f t="shared" si="248"/>
        <v>1</v>
      </c>
      <c r="AA1060"/>
      <c r="AB1060"/>
    </row>
    <row r="1061" spans="1:28" x14ac:dyDescent="0.55000000000000004">
      <c r="A1061" s="1">
        <f t="shared" si="235"/>
        <v>1061</v>
      </c>
      <c r="B1061" t="s">
        <v>33</v>
      </c>
      <c r="C1061" t="s">
        <v>122</v>
      </c>
      <c r="D1061" t="s">
        <v>216</v>
      </c>
      <c r="E1061" t="s">
        <v>650</v>
      </c>
      <c r="F1061" t="s">
        <v>277</v>
      </c>
      <c r="G1061" t="s">
        <v>296</v>
      </c>
      <c r="H1061" t="s">
        <v>683</v>
      </c>
      <c r="I1061" t="s">
        <v>285</v>
      </c>
      <c r="J1061" t="s">
        <v>828</v>
      </c>
      <c r="K1061" t="s">
        <v>297</v>
      </c>
      <c r="L1061" t="s">
        <v>829</v>
      </c>
      <c r="M1061" t="s">
        <v>28</v>
      </c>
      <c r="N1061" s="1">
        <f t="shared" si="236"/>
        <v>3</v>
      </c>
      <c r="O1061" s="1">
        <f t="shared" si="237"/>
        <v>2</v>
      </c>
      <c r="P1061" s="1">
        <f t="shared" si="238"/>
        <v>5</v>
      </c>
      <c r="Q1061" s="1">
        <f t="shared" si="239"/>
        <v>1</v>
      </c>
      <c r="R1061" s="1">
        <f t="shared" si="240"/>
        <v>0</v>
      </c>
      <c r="S1061" s="1">
        <f t="shared" si="241"/>
        <v>0</v>
      </c>
      <c r="T1061" s="1">
        <f t="shared" si="242"/>
        <v>0</v>
      </c>
      <c r="U1061" s="26">
        <f t="shared" si="243"/>
        <v>1</v>
      </c>
      <c r="V1061" s="26">
        <f t="shared" si="244"/>
        <v>1</v>
      </c>
      <c r="W1061" s="1">
        <f t="shared" si="245"/>
        <v>1</v>
      </c>
      <c r="X1061" s="26">
        <f t="shared" si="246"/>
        <v>1</v>
      </c>
      <c r="Y1061" s="26">
        <f t="shared" si="247"/>
        <v>1</v>
      </c>
      <c r="Z1061" s="1">
        <f t="shared" si="248"/>
        <v>1</v>
      </c>
      <c r="AA1061"/>
      <c r="AB1061"/>
    </row>
    <row r="1062" spans="1:28" x14ac:dyDescent="0.55000000000000004">
      <c r="A1062" s="1">
        <f t="shared" si="235"/>
        <v>1062</v>
      </c>
      <c r="B1062" t="s">
        <v>32</v>
      </c>
      <c r="D1062" t="s">
        <v>177</v>
      </c>
      <c r="E1062" t="s">
        <v>691</v>
      </c>
      <c r="F1062" t="s">
        <v>478</v>
      </c>
      <c r="G1062" t="s">
        <v>692</v>
      </c>
      <c r="H1062" t="s">
        <v>581</v>
      </c>
      <c r="I1062" t="s">
        <v>484</v>
      </c>
      <c r="J1062" t="s">
        <v>693</v>
      </c>
      <c r="K1062" t="s">
        <v>694</v>
      </c>
      <c r="L1062" t="s">
        <v>695</v>
      </c>
      <c r="M1062" t="s">
        <v>28</v>
      </c>
      <c r="N1062" s="1">
        <f t="shared" si="236"/>
        <v>1</v>
      </c>
      <c r="O1062" s="1">
        <f t="shared" si="237"/>
        <v>2</v>
      </c>
      <c r="P1062" s="1">
        <f t="shared" si="238"/>
        <v>3</v>
      </c>
      <c r="Q1062" s="1">
        <f t="shared" si="239"/>
        <v>1</v>
      </c>
      <c r="R1062" s="1">
        <f t="shared" si="240"/>
        <v>1</v>
      </c>
      <c r="S1062" s="1">
        <f t="shared" si="241"/>
        <v>1</v>
      </c>
      <c r="T1062" s="1">
        <f t="shared" si="242"/>
        <v>1</v>
      </c>
      <c r="U1062" s="26">
        <f t="shared" si="243"/>
        <v>1</v>
      </c>
      <c r="V1062" s="26">
        <f t="shared" si="244"/>
        <v>0</v>
      </c>
      <c r="W1062" s="1">
        <f t="shared" si="245"/>
        <v>1</v>
      </c>
      <c r="X1062" s="26">
        <f t="shared" si="246"/>
        <v>1</v>
      </c>
      <c r="Y1062" s="26">
        <f t="shared" si="247"/>
        <v>1</v>
      </c>
      <c r="Z1062" s="1">
        <f t="shared" si="248"/>
        <v>1</v>
      </c>
      <c r="AA1062"/>
      <c r="AB1062"/>
    </row>
    <row r="1063" spans="1:28" x14ac:dyDescent="0.55000000000000004">
      <c r="A1063" s="1">
        <f t="shared" si="235"/>
        <v>1063</v>
      </c>
      <c r="B1063" t="s">
        <v>32</v>
      </c>
      <c r="D1063" t="s">
        <v>177</v>
      </c>
      <c r="E1063" t="s">
        <v>691</v>
      </c>
      <c r="F1063" t="s">
        <v>457</v>
      </c>
      <c r="G1063" t="s">
        <v>505</v>
      </c>
      <c r="H1063" t="s">
        <v>575</v>
      </c>
      <c r="I1063" t="s">
        <v>696</v>
      </c>
      <c r="J1063" t="s">
        <v>697</v>
      </c>
      <c r="K1063" t="s">
        <v>507</v>
      </c>
      <c r="L1063" t="s">
        <v>698</v>
      </c>
      <c r="M1063" t="s">
        <v>28</v>
      </c>
      <c r="N1063" s="1">
        <f t="shared" si="236"/>
        <v>1</v>
      </c>
      <c r="O1063" s="1">
        <f t="shared" si="237"/>
        <v>0</v>
      </c>
      <c r="P1063" s="1">
        <f t="shared" si="238"/>
        <v>1</v>
      </c>
      <c r="Q1063" s="1">
        <f t="shared" si="239"/>
        <v>1</v>
      </c>
      <c r="R1063" s="1">
        <f t="shared" si="240"/>
        <v>1</v>
      </c>
      <c r="S1063" s="1">
        <f t="shared" si="241"/>
        <v>1</v>
      </c>
      <c r="T1063" s="1">
        <f t="shared" si="242"/>
        <v>1</v>
      </c>
      <c r="U1063" s="26">
        <f t="shared" si="243"/>
        <v>1</v>
      </c>
      <c r="V1063" s="26">
        <f t="shared" si="244"/>
        <v>0</v>
      </c>
      <c r="W1063" s="1">
        <f t="shared" si="245"/>
        <v>1</v>
      </c>
      <c r="X1063" s="26">
        <f t="shared" si="246"/>
        <v>0</v>
      </c>
      <c r="Y1063" s="26">
        <f t="shared" si="247"/>
        <v>0</v>
      </c>
      <c r="Z1063" s="1">
        <f t="shared" si="248"/>
        <v>0</v>
      </c>
      <c r="AA1063"/>
      <c r="AB1063"/>
    </row>
    <row r="1064" spans="1:28" x14ac:dyDescent="0.55000000000000004">
      <c r="A1064" s="1">
        <f t="shared" si="235"/>
        <v>1064</v>
      </c>
      <c r="B1064" t="s">
        <v>32</v>
      </c>
      <c r="D1064" t="s">
        <v>177</v>
      </c>
      <c r="E1064" t="s">
        <v>691</v>
      </c>
      <c r="F1064" t="s">
        <v>302</v>
      </c>
      <c r="G1064" t="s">
        <v>461</v>
      </c>
      <c r="H1064" t="s">
        <v>699</v>
      </c>
      <c r="I1064" t="s">
        <v>700</v>
      </c>
      <c r="J1064" t="s">
        <v>701</v>
      </c>
      <c r="K1064" t="s">
        <v>463</v>
      </c>
      <c r="L1064" t="s">
        <v>702</v>
      </c>
      <c r="M1064" t="s">
        <v>28</v>
      </c>
      <c r="N1064" s="1">
        <f t="shared" si="236"/>
        <v>6</v>
      </c>
      <c r="O1064" s="1">
        <f t="shared" si="237"/>
        <v>1</v>
      </c>
      <c r="P1064" s="1">
        <f t="shared" si="238"/>
        <v>7</v>
      </c>
      <c r="Q1064" s="1">
        <f t="shared" si="239"/>
        <v>1</v>
      </c>
      <c r="R1064" s="1">
        <f t="shared" si="240"/>
        <v>0</v>
      </c>
      <c r="S1064" s="1">
        <f t="shared" si="241"/>
        <v>0</v>
      </c>
      <c r="T1064" s="1">
        <f t="shared" si="242"/>
        <v>0</v>
      </c>
      <c r="U1064" s="26">
        <f t="shared" si="243"/>
        <v>0</v>
      </c>
      <c r="V1064" s="26">
        <f t="shared" si="244"/>
        <v>0</v>
      </c>
      <c r="W1064" s="1">
        <f t="shared" si="245"/>
        <v>1</v>
      </c>
      <c r="X1064" s="26">
        <f t="shared" si="246"/>
        <v>1</v>
      </c>
      <c r="Y1064" s="26">
        <f t="shared" si="247"/>
        <v>0</v>
      </c>
      <c r="Z1064" s="1">
        <f t="shared" si="248"/>
        <v>1</v>
      </c>
      <c r="AA1064"/>
      <c r="AB1064"/>
    </row>
    <row r="1065" spans="1:28" x14ac:dyDescent="0.55000000000000004">
      <c r="A1065" s="1">
        <f t="shared" si="235"/>
        <v>1065</v>
      </c>
      <c r="B1065" t="s">
        <v>32</v>
      </c>
      <c r="D1065" t="s">
        <v>177</v>
      </c>
      <c r="E1065" t="s">
        <v>691</v>
      </c>
      <c r="F1065" t="s">
        <v>302</v>
      </c>
      <c r="G1065" t="s">
        <v>703</v>
      </c>
      <c r="H1065" t="s">
        <v>568</v>
      </c>
      <c r="I1065" t="s">
        <v>455</v>
      </c>
      <c r="J1065" t="s">
        <v>704</v>
      </c>
      <c r="K1065" t="s">
        <v>705</v>
      </c>
      <c r="L1065" t="s">
        <v>706</v>
      </c>
      <c r="M1065" t="s">
        <v>28</v>
      </c>
      <c r="N1065" s="1">
        <f t="shared" si="236"/>
        <v>0</v>
      </c>
      <c r="O1065" s="1">
        <f t="shared" si="237"/>
        <v>2</v>
      </c>
      <c r="P1065" s="1">
        <f t="shared" si="238"/>
        <v>2</v>
      </c>
      <c r="Q1065" s="1">
        <f t="shared" si="239"/>
        <v>1</v>
      </c>
      <c r="R1065" s="1">
        <f t="shared" si="240"/>
        <v>1</v>
      </c>
      <c r="S1065" s="1">
        <f t="shared" si="241"/>
        <v>1</v>
      </c>
      <c r="T1065" s="1">
        <f t="shared" si="242"/>
        <v>1</v>
      </c>
      <c r="U1065" s="26">
        <f t="shared" si="243"/>
        <v>0</v>
      </c>
      <c r="V1065" s="26">
        <f t="shared" si="244"/>
        <v>0</v>
      </c>
      <c r="W1065" s="1">
        <f t="shared" si="245"/>
        <v>1</v>
      </c>
      <c r="X1065" s="26">
        <f t="shared" si="246"/>
        <v>1</v>
      </c>
      <c r="Y1065" s="26">
        <f t="shared" si="247"/>
        <v>1</v>
      </c>
      <c r="Z1065" s="1">
        <f t="shared" si="248"/>
        <v>1</v>
      </c>
      <c r="AA1065"/>
      <c r="AB1065"/>
    </row>
    <row r="1066" spans="1:28" x14ac:dyDescent="0.55000000000000004">
      <c r="A1066" s="1">
        <f t="shared" si="235"/>
        <v>1066</v>
      </c>
      <c r="B1066" t="s">
        <v>35</v>
      </c>
      <c r="C1066" t="s">
        <v>117</v>
      </c>
      <c r="D1066" t="s">
        <v>189</v>
      </c>
      <c r="E1066" t="s">
        <v>729</v>
      </c>
      <c r="F1066" t="s">
        <v>181</v>
      </c>
      <c r="G1066" t="s">
        <v>214</v>
      </c>
      <c r="H1066" t="s">
        <v>699</v>
      </c>
      <c r="I1066" t="s">
        <v>306</v>
      </c>
      <c r="J1066" t="s">
        <v>857</v>
      </c>
      <c r="K1066" t="s">
        <v>301</v>
      </c>
      <c r="L1066" t="s">
        <v>858</v>
      </c>
      <c r="M1066" t="s">
        <v>28</v>
      </c>
      <c r="N1066" s="1">
        <f t="shared" si="236"/>
        <v>6</v>
      </c>
      <c r="O1066" s="1">
        <f t="shared" si="237"/>
        <v>1</v>
      </c>
      <c r="P1066" s="1">
        <f t="shared" si="238"/>
        <v>7</v>
      </c>
      <c r="Q1066" s="1">
        <f t="shared" si="239"/>
        <v>1</v>
      </c>
      <c r="R1066" s="1">
        <f t="shared" si="240"/>
        <v>0</v>
      </c>
      <c r="S1066" s="1">
        <f t="shared" si="241"/>
        <v>0</v>
      </c>
      <c r="T1066" s="1">
        <f t="shared" si="242"/>
        <v>0</v>
      </c>
      <c r="U1066" s="26">
        <f t="shared" si="243"/>
        <v>0</v>
      </c>
      <c r="V1066" s="26">
        <f t="shared" si="244"/>
        <v>0</v>
      </c>
      <c r="W1066" s="1">
        <f t="shared" si="245"/>
        <v>1</v>
      </c>
      <c r="X1066" s="26">
        <f t="shared" si="246"/>
        <v>1</v>
      </c>
      <c r="Y1066" s="26">
        <f t="shared" si="247"/>
        <v>0</v>
      </c>
      <c r="Z1066" s="1">
        <f t="shared" si="248"/>
        <v>1</v>
      </c>
      <c r="AA1066"/>
      <c r="AB1066"/>
    </row>
    <row r="1067" spans="1:28" x14ac:dyDescent="0.55000000000000004">
      <c r="A1067" s="1">
        <f t="shared" si="235"/>
        <v>1067</v>
      </c>
      <c r="B1067" t="s">
        <v>36</v>
      </c>
      <c r="D1067" t="s">
        <v>189</v>
      </c>
      <c r="E1067" t="s">
        <v>729</v>
      </c>
      <c r="F1067" t="s">
        <v>658</v>
      </c>
      <c r="G1067" t="s">
        <v>730</v>
      </c>
      <c r="H1067" t="s">
        <v>581</v>
      </c>
      <c r="I1067" t="s">
        <v>519</v>
      </c>
      <c r="J1067" t="s">
        <v>731</v>
      </c>
      <c r="K1067" t="s">
        <v>325</v>
      </c>
      <c r="L1067" t="s">
        <v>732</v>
      </c>
      <c r="M1067" t="s">
        <v>28</v>
      </c>
      <c r="N1067" s="1">
        <f t="shared" si="236"/>
        <v>1</v>
      </c>
      <c r="O1067" s="1">
        <f t="shared" si="237"/>
        <v>2</v>
      </c>
      <c r="P1067" s="1">
        <f t="shared" si="238"/>
        <v>3</v>
      </c>
      <c r="Q1067" s="1">
        <f t="shared" si="239"/>
        <v>1</v>
      </c>
      <c r="R1067" s="1">
        <f t="shared" si="240"/>
        <v>1</v>
      </c>
      <c r="S1067" s="1">
        <f t="shared" si="241"/>
        <v>1</v>
      </c>
      <c r="T1067" s="1">
        <f t="shared" si="242"/>
        <v>1</v>
      </c>
      <c r="U1067" s="26">
        <f t="shared" si="243"/>
        <v>1</v>
      </c>
      <c r="V1067" s="26">
        <f t="shared" si="244"/>
        <v>0</v>
      </c>
      <c r="W1067" s="1">
        <f t="shared" si="245"/>
        <v>1</v>
      </c>
      <c r="X1067" s="26">
        <f t="shared" si="246"/>
        <v>1</v>
      </c>
      <c r="Y1067" s="26">
        <f t="shared" si="247"/>
        <v>1</v>
      </c>
      <c r="Z1067" s="1">
        <f t="shared" si="248"/>
        <v>1</v>
      </c>
      <c r="AA1067"/>
      <c r="AB1067"/>
    </row>
    <row r="1068" spans="1:28" x14ac:dyDescent="0.55000000000000004">
      <c r="A1068" s="1">
        <f t="shared" si="235"/>
        <v>1068</v>
      </c>
      <c r="B1068" t="s">
        <v>36</v>
      </c>
      <c r="D1068" t="s">
        <v>189</v>
      </c>
      <c r="E1068" t="s">
        <v>729</v>
      </c>
      <c r="F1068" t="s">
        <v>202</v>
      </c>
      <c r="G1068" t="s">
        <v>733</v>
      </c>
      <c r="H1068" t="s">
        <v>590</v>
      </c>
      <c r="I1068" t="s">
        <v>543</v>
      </c>
      <c r="J1068" t="s">
        <v>734</v>
      </c>
      <c r="K1068" t="s">
        <v>735</v>
      </c>
      <c r="L1068" t="s">
        <v>736</v>
      </c>
      <c r="M1068" t="s">
        <v>28</v>
      </c>
      <c r="N1068" s="1">
        <f t="shared" si="236"/>
        <v>0</v>
      </c>
      <c r="O1068" s="1">
        <f t="shared" si="237"/>
        <v>1</v>
      </c>
      <c r="P1068" s="1">
        <f t="shared" si="238"/>
        <v>1</v>
      </c>
      <c r="Q1068" s="1">
        <f t="shared" si="239"/>
        <v>1</v>
      </c>
      <c r="R1068" s="1">
        <f t="shared" si="240"/>
        <v>1</v>
      </c>
      <c r="S1068" s="1">
        <f t="shared" si="241"/>
        <v>1</v>
      </c>
      <c r="T1068" s="1">
        <f t="shared" si="242"/>
        <v>1</v>
      </c>
      <c r="U1068" s="26">
        <f t="shared" si="243"/>
        <v>0</v>
      </c>
      <c r="V1068" s="26">
        <f t="shared" si="244"/>
        <v>0</v>
      </c>
      <c r="W1068" s="1">
        <f t="shared" si="245"/>
        <v>1</v>
      </c>
      <c r="X1068" s="26">
        <f t="shared" si="246"/>
        <v>1</v>
      </c>
      <c r="Y1068" s="26">
        <f t="shared" si="247"/>
        <v>0</v>
      </c>
      <c r="Z1068" s="1">
        <f t="shared" si="248"/>
        <v>0</v>
      </c>
      <c r="AA1068"/>
      <c r="AB1068"/>
    </row>
    <row r="1069" spans="1:28" x14ac:dyDescent="0.55000000000000004">
      <c r="A1069" s="1">
        <f t="shared" si="235"/>
        <v>1069</v>
      </c>
      <c r="B1069" t="s">
        <v>36</v>
      </c>
      <c r="D1069" t="s">
        <v>189</v>
      </c>
      <c r="E1069" t="s">
        <v>729</v>
      </c>
      <c r="F1069" t="s">
        <v>737</v>
      </c>
      <c r="G1069" t="s">
        <v>738</v>
      </c>
      <c r="H1069" t="s">
        <v>739</v>
      </c>
      <c r="I1069" t="s">
        <v>562</v>
      </c>
      <c r="J1069" t="s">
        <v>740</v>
      </c>
      <c r="K1069" t="s">
        <v>741</v>
      </c>
      <c r="L1069" t="s">
        <v>742</v>
      </c>
      <c r="M1069" t="s">
        <v>28</v>
      </c>
      <c r="N1069" s="1">
        <f t="shared" si="236"/>
        <v>0</v>
      </c>
      <c r="O1069" s="1">
        <f t="shared" si="237"/>
        <v>3</v>
      </c>
      <c r="P1069" s="1">
        <f t="shared" si="238"/>
        <v>3</v>
      </c>
      <c r="Q1069" s="1">
        <f t="shared" si="239"/>
        <v>1</v>
      </c>
      <c r="R1069" s="1">
        <f t="shared" si="240"/>
        <v>1</v>
      </c>
      <c r="S1069" s="1">
        <f t="shared" si="241"/>
        <v>1</v>
      </c>
      <c r="T1069" s="1">
        <f t="shared" si="242"/>
        <v>1</v>
      </c>
      <c r="U1069" s="26">
        <f t="shared" si="243"/>
        <v>0</v>
      </c>
      <c r="V1069" s="26">
        <f t="shared" si="244"/>
        <v>0</v>
      </c>
      <c r="W1069" s="1">
        <f t="shared" si="245"/>
        <v>0</v>
      </c>
      <c r="X1069" s="26">
        <f t="shared" si="246"/>
        <v>1</v>
      </c>
      <c r="Y1069" s="26">
        <f t="shared" si="247"/>
        <v>1</v>
      </c>
      <c r="Z1069" s="1">
        <f t="shared" si="248"/>
        <v>1</v>
      </c>
      <c r="AA1069"/>
      <c r="AB1069"/>
    </row>
    <row r="1070" spans="1:28" x14ac:dyDescent="0.55000000000000004">
      <c r="A1070" s="1">
        <f t="shared" si="235"/>
        <v>1070</v>
      </c>
      <c r="B1070" t="s">
        <v>36</v>
      </c>
      <c r="D1070" t="s">
        <v>189</v>
      </c>
      <c r="E1070" t="s">
        <v>729</v>
      </c>
      <c r="F1070" t="s">
        <v>478</v>
      </c>
      <c r="G1070" t="s">
        <v>554</v>
      </c>
      <c r="H1070" t="s">
        <v>722</v>
      </c>
      <c r="I1070" t="s">
        <v>743</v>
      </c>
      <c r="J1070" t="s">
        <v>744</v>
      </c>
      <c r="K1070" t="s">
        <v>556</v>
      </c>
      <c r="L1070" t="s">
        <v>745</v>
      </c>
      <c r="M1070" t="s">
        <v>28</v>
      </c>
      <c r="N1070" s="1">
        <f t="shared" si="236"/>
        <v>3</v>
      </c>
      <c r="O1070" s="1">
        <f t="shared" si="237"/>
        <v>0</v>
      </c>
      <c r="P1070" s="1">
        <f t="shared" si="238"/>
        <v>3</v>
      </c>
      <c r="Q1070" s="1">
        <f t="shared" si="239"/>
        <v>1</v>
      </c>
      <c r="R1070" s="1">
        <f t="shared" si="240"/>
        <v>1</v>
      </c>
      <c r="S1070" s="1">
        <f t="shared" si="241"/>
        <v>1</v>
      </c>
      <c r="T1070" s="1">
        <f t="shared" si="242"/>
        <v>0</v>
      </c>
      <c r="U1070" s="26">
        <f t="shared" si="243"/>
        <v>1</v>
      </c>
      <c r="V1070" s="26">
        <f t="shared" si="244"/>
        <v>1</v>
      </c>
      <c r="W1070" s="1">
        <f t="shared" si="245"/>
        <v>1</v>
      </c>
      <c r="X1070" s="26">
        <f t="shared" si="246"/>
        <v>0</v>
      </c>
      <c r="Y1070" s="26">
        <f t="shared" si="247"/>
        <v>0</v>
      </c>
      <c r="Z1070" s="1">
        <f t="shared" si="248"/>
        <v>1</v>
      </c>
      <c r="AA1070"/>
      <c r="AB1070"/>
    </row>
    <row r="1071" spans="1:28" x14ac:dyDescent="0.55000000000000004">
      <c r="A1071" s="1">
        <f t="shared" si="235"/>
        <v>1071</v>
      </c>
      <c r="B1071" t="s">
        <v>36</v>
      </c>
      <c r="D1071" t="s">
        <v>189</v>
      </c>
      <c r="E1071" t="s">
        <v>729</v>
      </c>
      <c r="F1071" t="s">
        <v>457</v>
      </c>
      <c r="G1071" t="s">
        <v>746</v>
      </c>
      <c r="H1071" t="s">
        <v>747</v>
      </c>
      <c r="I1071" t="s">
        <v>559</v>
      </c>
      <c r="J1071" t="s">
        <v>748</v>
      </c>
      <c r="K1071" t="s">
        <v>749</v>
      </c>
      <c r="L1071" t="s">
        <v>750</v>
      </c>
      <c r="M1071" t="s">
        <v>28</v>
      </c>
      <c r="N1071" s="1" t="e">
        <f t="shared" si="236"/>
        <v>#VALUE!</v>
      </c>
      <c r="O1071" s="1" t="e">
        <f t="shared" si="237"/>
        <v>#VALUE!</v>
      </c>
      <c r="P1071" s="1" t="e">
        <f t="shared" si="238"/>
        <v>#VALUE!</v>
      </c>
      <c r="Q1071" s="1" t="e">
        <f t="shared" si="239"/>
        <v>#VALUE!</v>
      </c>
      <c r="R1071" s="1" t="e">
        <f t="shared" si="240"/>
        <v>#VALUE!</v>
      </c>
      <c r="S1071" s="1" t="e">
        <f t="shared" si="241"/>
        <v>#VALUE!</v>
      </c>
      <c r="T1071" s="1" t="e">
        <f t="shared" si="242"/>
        <v>#VALUE!</v>
      </c>
      <c r="U1071" s="26" t="e">
        <f t="shared" si="243"/>
        <v>#VALUE!</v>
      </c>
      <c r="V1071" s="26" t="e">
        <f t="shared" si="244"/>
        <v>#VALUE!</v>
      </c>
      <c r="W1071" s="1" t="e">
        <f t="shared" si="245"/>
        <v>#VALUE!</v>
      </c>
      <c r="X1071" s="26" t="e">
        <f t="shared" si="246"/>
        <v>#VALUE!</v>
      </c>
      <c r="Y1071" s="26" t="e">
        <f t="shared" si="247"/>
        <v>#VALUE!</v>
      </c>
      <c r="Z1071" s="1" t="e">
        <f t="shared" si="248"/>
        <v>#VALUE!</v>
      </c>
      <c r="AA1071"/>
      <c r="AB1071"/>
    </row>
    <row r="1072" spans="1:28" x14ac:dyDescent="0.55000000000000004">
      <c r="A1072" s="1">
        <f t="shared" si="235"/>
        <v>1072</v>
      </c>
      <c r="B1072" t="s">
        <v>36</v>
      </c>
      <c r="D1072" t="s">
        <v>189</v>
      </c>
      <c r="E1072" t="s">
        <v>729</v>
      </c>
      <c r="F1072" t="s">
        <v>447</v>
      </c>
      <c r="G1072" t="s">
        <v>751</v>
      </c>
      <c r="H1072" t="s">
        <v>579</v>
      </c>
      <c r="I1072" t="s">
        <v>549</v>
      </c>
      <c r="J1072" t="s">
        <v>752</v>
      </c>
      <c r="K1072" t="s">
        <v>753</v>
      </c>
      <c r="L1072" t="s">
        <v>754</v>
      </c>
      <c r="M1072" t="s">
        <v>28</v>
      </c>
      <c r="N1072" s="1">
        <f t="shared" si="236"/>
        <v>2</v>
      </c>
      <c r="O1072" s="1">
        <f t="shared" si="237"/>
        <v>1</v>
      </c>
      <c r="P1072" s="1">
        <f t="shared" si="238"/>
        <v>3</v>
      </c>
      <c r="Q1072" s="1">
        <f t="shared" si="239"/>
        <v>1</v>
      </c>
      <c r="R1072" s="1">
        <f t="shared" si="240"/>
        <v>1</v>
      </c>
      <c r="S1072" s="1">
        <f t="shared" si="241"/>
        <v>1</v>
      </c>
      <c r="T1072" s="1">
        <f t="shared" si="242"/>
        <v>1</v>
      </c>
      <c r="U1072" s="26">
        <f t="shared" si="243"/>
        <v>1</v>
      </c>
      <c r="V1072" s="26">
        <f t="shared" si="244"/>
        <v>1</v>
      </c>
      <c r="W1072" s="1">
        <f t="shared" si="245"/>
        <v>1</v>
      </c>
      <c r="X1072" s="26">
        <f t="shared" si="246"/>
        <v>1</v>
      </c>
      <c r="Y1072" s="26">
        <f t="shared" si="247"/>
        <v>0</v>
      </c>
      <c r="Z1072" s="1">
        <f t="shared" si="248"/>
        <v>1</v>
      </c>
      <c r="AA1072"/>
      <c r="AB1072"/>
    </row>
    <row r="1073" spans="1:28" x14ac:dyDescent="0.55000000000000004">
      <c r="A1073" s="1">
        <f t="shared" si="235"/>
        <v>1073</v>
      </c>
      <c r="B1073" t="s">
        <v>30</v>
      </c>
      <c r="C1073" t="s">
        <v>116</v>
      </c>
      <c r="D1073" t="s">
        <v>174</v>
      </c>
      <c r="E1073" t="s">
        <v>1177</v>
      </c>
      <c r="F1073" t="s">
        <v>181</v>
      </c>
      <c r="G1073" t="s">
        <v>55</v>
      </c>
      <c r="H1073" t="s">
        <v>708</v>
      </c>
      <c r="I1073" t="s">
        <v>54</v>
      </c>
      <c r="J1073" t="s">
        <v>1178</v>
      </c>
      <c r="K1073" t="s">
        <v>75</v>
      </c>
      <c r="L1073" t="s">
        <v>779</v>
      </c>
      <c r="M1073" t="s">
        <v>28</v>
      </c>
      <c r="N1073" s="1">
        <f t="shared" si="236"/>
        <v>0</v>
      </c>
      <c r="O1073" s="1">
        <f t="shared" si="237"/>
        <v>0</v>
      </c>
      <c r="P1073" s="1">
        <f t="shared" si="238"/>
        <v>0</v>
      </c>
      <c r="Q1073" s="1">
        <f t="shared" si="239"/>
        <v>0</v>
      </c>
      <c r="R1073" s="1">
        <f t="shared" si="240"/>
        <v>1</v>
      </c>
      <c r="S1073" s="1">
        <f t="shared" si="241"/>
        <v>0</v>
      </c>
      <c r="T1073" s="1">
        <f t="shared" si="242"/>
        <v>1</v>
      </c>
      <c r="U1073" s="26">
        <f t="shared" si="243"/>
        <v>0</v>
      </c>
      <c r="V1073" s="26">
        <f t="shared" si="244"/>
        <v>0</v>
      </c>
      <c r="W1073" s="1">
        <f t="shared" si="245"/>
        <v>1</v>
      </c>
      <c r="X1073" s="26">
        <f t="shared" si="246"/>
        <v>0</v>
      </c>
      <c r="Y1073" s="26">
        <f t="shared" si="247"/>
        <v>0</v>
      </c>
      <c r="Z1073" s="1">
        <f t="shared" si="248"/>
        <v>0</v>
      </c>
      <c r="AA1073"/>
      <c r="AB1073"/>
    </row>
    <row r="1074" spans="1:28" x14ac:dyDescent="0.55000000000000004">
      <c r="A1074" s="1">
        <f t="shared" si="235"/>
        <v>1074</v>
      </c>
      <c r="B1074" t="s">
        <v>30</v>
      </c>
      <c r="C1074" t="s">
        <v>116</v>
      </c>
      <c r="D1074" t="s">
        <v>174</v>
      </c>
      <c r="E1074" t="s">
        <v>1177</v>
      </c>
      <c r="F1074" t="s">
        <v>182</v>
      </c>
      <c r="G1074" t="s">
        <v>64</v>
      </c>
      <c r="H1074" t="s">
        <v>579</v>
      </c>
      <c r="I1074" t="s">
        <v>51</v>
      </c>
      <c r="J1074" t="s">
        <v>1179</v>
      </c>
      <c r="K1074" t="s">
        <v>62</v>
      </c>
      <c r="L1074" t="s">
        <v>767</v>
      </c>
      <c r="M1074" t="s">
        <v>28</v>
      </c>
      <c r="N1074" s="1">
        <f t="shared" si="236"/>
        <v>2</v>
      </c>
      <c r="O1074" s="1">
        <f t="shared" si="237"/>
        <v>1</v>
      </c>
      <c r="P1074" s="1">
        <f t="shared" si="238"/>
        <v>3</v>
      </c>
      <c r="Q1074" s="1">
        <f t="shared" si="239"/>
        <v>1</v>
      </c>
      <c r="R1074" s="1">
        <f t="shared" si="240"/>
        <v>1</v>
      </c>
      <c r="S1074" s="1">
        <f t="shared" si="241"/>
        <v>1</v>
      </c>
      <c r="T1074" s="1">
        <f t="shared" si="242"/>
        <v>1</v>
      </c>
      <c r="U1074" s="26">
        <f t="shared" si="243"/>
        <v>1</v>
      </c>
      <c r="V1074" s="26">
        <f t="shared" si="244"/>
        <v>1</v>
      </c>
      <c r="W1074" s="1">
        <f t="shared" si="245"/>
        <v>1</v>
      </c>
      <c r="X1074" s="26">
        <f t="shared" si="246"/>
        <v>1</v>
      </c>
      <c r="Y1074" s="26">
        <f t="shared" si="247"/>
        <v>0</v>
      </c>
      <c r="Z1074" s="1">
        <f t="shared" si="248"/>
        <v>1</v>
      </c>
      <c r="AA1074"/>
      <c r="AB1074"/>
    </row>
    <row r="1075" spans="1:28" x14ac:dyDescent="0.55000000000000004">
      <c r="A1075" s="1">
        <f t="shared" si="235"/>
        <v>1075</v>
      </c>
      <c r="B1075" t="s">
        <v>33</v>
      </c>
      <c r="C1075" t="s">
        <v>124</v>
      </c>
      <c r="D1075" t="s">
        <v>174</v>
      </c>
      <c r="E1075" t="s">
        <v>1177</v>
      </c>
      <c r="F1075" t="s">
        <v>364</v>
      </c>
      <c r="G1075" t="s">
        <v>291</v>
      </c>
      <c r="H1075" t="s">
        <v>608</v>
      </c>
      <c r="I1075" t="s">
        <v>367</v>
      </c>
      <c r="J1075" t="s">
        <v>1224</v>
      </c>
      <c r="K1075" t="s">
        <v>293</v>
      </c>
      <c r="L1075" t="s">
        <v>826</v>
      </c>
      <c r="M1075" t="s">
        <v>28</v>
      </c>
      <c r="N1075" s="1">
        <f t="shared" si="236"/>
        <v>1</v>
      </c>
      <c r="O1075" s="1">
        <f t="shared" si="237"/>
        <v>1</v>
      </c>
      <c r="P1075" s="1">
        <f t="shared" si="238"/>
        <v>2</v>
      </c>
      <c r="Q1075" s="1">
        <f t="shared" si="239"/>
        <v>0</v>
      </c>
      <c r="R1075" s="1">
        <f t="shared" si="240"/>
        <v>1</v>
      </c>
      <c r="S1075" s="1">
        <f t="shared" si="241"/>
        <v>0</v>
      </c>
      <c r="T1075" s="1">
        <f t="shared" si="242"/>
        <v>1</v>
      </c>
      <c r="U1075" s="26">
        <f t="shared" si="243"/>
        <v>1</v>
      </c>
      <c r="V1075" s="26">
        <f t="shared" si="244"/>
        <v>0</v>
      </c>
      <c r="W1075" s="1">
        <f t="shared" si="245"/>
        <v>1</v>
      </c>
      <c r="X1075" s="26">
        <f t="shared" si="246"/>
        <v>1</v>
      </c>
      <c r="Y1075" s="26">
        <f t="shared" si="247"/>
        <v>0</v>
      </c>
      <c r="Z1075" s="1">
        <f t="shared" si="248"/>
        <v>1</v>
      </c>
      <c r="AA1075"/>
      <c r="AB1075"/>
    </row>
    <row r="1076" spans="1:28" x14ac:dyDescent="0.55000000000000004">
      <c r="A1076" s="1">
        <f t="shared" si="235"/>
        <v>1076</v>
      </c>
      <c r="B1076" t="s">
        <v>33</v>
      </c>
      <c r="C1076" t="s">
        <v>124</v>
      </c>
      <c r="D1076" t="s">
        <v>174</v>
      </c>
      <c r="E1076" t="s">
        <v>1177</v>
      </c>
      <c r="F1076" t="s">
        <v>277</v>
      </c>
      <c r="G1076" t="s">
        <v>278</v>
      </c>
      <c r="H1076" t="s">
        <v>678</v>
      </c>
      <c r="I1076" t="s">
        <v>285</v>
      </c>
      <c r="J1076" t="s">
        <v>1225</v>
      </c>
      <c r="K1076" t="s">
        <v>280</v>
      </c>
      <c r="L1076" t="s">
        <v>820</v>
      </c>
      <c r="M1076" t="s">
        <v>28</v>
      </c>
      <c r="N1076" s="1">
        <f t="shared" si="236"/>
        <v>5</v>
      </c>
      <c r="O1076" s="1">
        <f t="shared" si="237"/>
        <v>1</v>
      </c>
      <c r="P1076" s="1">
        <f t="shared" si="238"/>
        <v>6</v>
      </c>
      <c r="Q1076" s="1">
        <f t="shared" si="239"/>
        <v>1</v>
      </c>
      <c r="R1076" s="1">
        <f t="shared" si="240"/>
        <v>0</v>
      </c>
      <c r="S1076" s="1">
        <f t="shared" si="241"/>
        <v>0</v>
      </c>
      <c r="T1076" s="1">
        <f t="shared" si="242"/>
        <v>0</v>
      </c>
      <c r="U1076" s="26">
        <f t="shared" si="243"/>
        <v>0</v>
      </c>
      <c r="V1076" s="26">
        <f t="shared" si="244"/>
        <v>1</v>
      </c>
      <c r="W1076" s="1">
        <f t="shared" si="245"/>
        <v>1</v>
      </c>
      <c r="X1076" s="26">
        <f t="shared" si="246"/>
        <v>1</v>
      </c>
      <c r="Y1076" s="26">
        <f t="shared" si="247"/>
        <v>0</v>
      </c>
      <c r="Z1076" s="1">
        <f t="shared" si="248"/>
        <v>1</v>
      </c>
      <c r="AA1076"/>
      <c r="AB1076"/>
    </row>
    <row r="1077" spans="1:28" x14ac:dyDescent="0.55000000000000004">
      <c r="A1077" s="1">
        <f t="shared" si="235"/>
        <v>1077</v>
      </c>
      <c r="B1077" t="s">
        <v>33</v>
      </c>
      <c r="C1077" t="s">
        <v>124</v>
      </c>
      <c r="D1077" t="s">
        <v>174</v>
      </c>
      <c r="E1077" t="s">
        <v>1177</v>
      </c>
      <c r="F1077" t="s">
        <v>277</v>
      </c>
      <c r="G1077" t="s">
        <v>281</v>
      </c>
      <c r="H1077" t="s">
        <v>608</v>
      </c>
      <c r="I1077" t="s">
        <v>362</v>
      </c>
      <c r="J1077" t="s">
        <v>1226</v>
      </c>
      <c r="K1077" t="s">
        <v>283</v>
      </c>
      <c r="L1077" t="s">
        <v>812</v>
      </c>
      <c r="M1077" t="s">
        <v>28</v>
      </c>
      <c r="N1077" s="1">
        <f t="shared" si="236"/>
        <v>1</v>
      </c>
      <c r="O1077" s="1">
        <f t="shared" si="237"/>
        <v>1</v>
      </c>
      <c r="P1077" s="1">
        <f t="shared" si="238"/>
        <v>2</v>
      </c>
      <c r="Q1077" s="1">
        <f t="shared" si="239"/>
        <v>0</v>
      </c>
      <c r="R1077" s="1">
        <f t="shared" si="240"/>
        <v>1</v>
      </c>
      <c r="S1077" s="1">
        <f t="shared" si="241"/>
        <v>0</v>
      </c>
      <c r="T1077" s="1">
        <f t="shared" si="242"/>
        <v>1</v>
      </c>
      <c r="U1077" s="26">
        <f t="shared" si="243"/>
        <v>1</v>
      </c>
      <c r="V1077" s="26">
        <f t="shared" si="244"/>
        <v>0</v>
      </c>
      <c r="W1077" s="1">
        <f t="shared" si="245"/>
        <v>1</v>
      </c>
      <c r="X1077" s="26">
        <f t="shared" si="246"/>
        <v>1</v>
      </c>
      <c r="Y1077" s="26">
        <f t="shared" si="247"/>
        <v>0</v>
      </c>
      <c r="Z1077" s="1">
        <f t="shared" si="248"/>
        <v>1</v>
      </c>
      <c r="AA1077"/>
      <c r="AB1077"/>
    </row>
    <row r="1078" spans="1:28" x14ac:dyDescent="0.55000000000000004">
      <c r="A1078" s="1">
        <f t="shared" si="235"/>
        <v>1078</v>
      </c>
      <c r="B1078" t="s">
        <v>33</v>
      </c>
      <c r="C1078" t="s">
        <v>124</v>
      </c>
      <c r="D1078" t="s">
        <v>174</v>
      </c>
      <c r="E1078" t="s">
        <v>1177</v>
      </c>
      <c r="F1078" t="s">
        <v>290</v>
      </c>
      <c r="G1078" t="s">
        <v>365</v>
      </c>
      <c r="H1078" t="s">
        <v>664</v>
      </c>
      <c r="I1078" t="s">
        <v>288</v>
      </c>
      <c r="J1078" t="s">
        <v>1227</v>
      </c>
      <c r="K1078" t="s">
        <v>369</v>
      </c>
      <c r="L1078" t="s">
        <v>1228</v>
      </c>
      <c r="M1078" t="s">
        <v>28</v>
      </c>
      <c r="N1078" s="1">
        <f t="shared" si="236"/>
        <v>2</v>
      </c>
      <c r="O1078" s="1">
        <f t="shared" si="237"/>
        <v>2</v>
      </c>
      <c r="P1078" s="1">
        <f t="shared" si="238"/>
        <v>4</v>
      </c>
      <c r="Q1078" s="1">
        <f t="shared" si="239"/>
        <v>0</v>
      </c>
      <c r="R1078" s="1">
        <f t="shared" si="240"/>
        <v>1</v>
      </c>
      <c r="S1078" s="1">
        <f t="shared" si="241"/>
        <v>0</v>
      </c>
      <c r="T1078" s="1">
        <f t="shared" si="242"/>
        <v>1</v>
      </c>
      <c r="U1078" s="26">
        <f t="shared" si="243"/>
        <v>1</v>
      </c>
      <c r="V1078" s="26">
        <f t="shared" si="244"/>
        <v>1</v>
      </c>
      <c r="W1078" s="1">
        <f t="shared" si="245"/>
        <v>1</v>
      </c>
      <c r="X1078" s="26">
        <f t="shared" si="246"/>
        <v>1</v>
      </c>
      <c r="Y1078" s="26">
        <f t="shared" si="247"/>
        <v>1</v>
      </c>
      <c r="Z1078" s="1">
        <f t="shared" si="248"/>
        <v>1</v>
      </c>
      <c r="AA1078"/>
      <c r="AB1078"/>
    </row>
    <row r="1079" spans="1:28" x14ac:dyDescent="0.55000000000000004">
      <c r="A1079" s="1">
        <f t="shared" si="235"/>
        <v>1079</v>
      </c>
      <c r="B1079" t="s">
        <v>35</v>
      </c>
      <c r="C1079" t="s">
        <v>117</v>
      </c>
      <c r="D1079" t="s">
        <v>174</v>
      </c>
      <c r="E1079" t="s">
        <v>1177</v>
      </c>
      <c r="F1079" t="s">
        <v>412</v>
      </c>
      <c r="G1079" t="s">
        <v>204</v>
      </c>
      <c r="H1079" t="s">
        <v>575</v>
      </c>
      <c r="I1079" t="s">
        <v>211</v>
      </c>
      <c r="J1079" t="s">
        <v>1238</v>
      </c>
      <c r="K1079" t="s">
        <v>206</v>
      </c>
      <c r="L1079" t="s">
        <v>845</v>
      </c>
      <c r="M1079" t="s">
        <v>28</v>
      </c>
      <c r="N1079" s="1">
        <f t="shared" si="236"/>
        <v>1</v>
      </c>
      <c r="O1079" s="1">
        <f t="shared" si="237"/>
        <v>0</v>
      </c>
      <c r="P1079" s="1">
        <f t="shared" si="238"/>
        <v>1</v>
      </c>
      <c r="Q1079" s="1">
        <f t="shared" si="239"/>
        <v>1</v>
      </c>
      <c r="R1079" s="1">
        <f t="shared" si="240"/>
        <v>1</v>
      </c>
      <c r="S1079" s="1">
        <f t="shared" si="241"/>
        <v>1</v>
      </c>
      <c r="T1079" s="1">
        <f t="shared" si="242"/>
        <v>1</v>
      </c>
      <c r="U1079" s="26">
        <f t="shared" si="243"/>
        <v>1</v>
      </c>
      <c r="V1079" s="26">
        <f t="shared" si="244"/>
        <v>0</v>
      </c>
      <c r="W1079" s="1">
        <f t="shared" si="245"/>
        <v>1</v>
      </c>
      <c r="X1079" s="26">
        <f t="shared" si="246"/>
        <v>0</v>
      </c>
      <c r="Y1079" s="26">
        <f t="shared" si="247"/>
        <v>0</v>
      </c>
      <c r="Z1079" s="1">
        <f t="shared" si="248"/>
        <v>0</v>
      </c>
      <c r="AA1079"/>
      <c r="AB1079"/>
    </row>
    <row r="1080" spans="1:28" x14ac:dyDescent="0.55000000000000004">
      <c r="A1080" s="1">
        <f t="shared" si="235"/>
        <v>1080</v>
      </c>
      <c r="B1080" t="s">
        <v>33</v>
      </c>
      <c r="C1080" t="s">
        <v>124</v>
      </c>
      <c r="D1080" t="s">
        <v>133</v>
      </c>
      <c r="E1080" t="s">
        <v>567</v>
      </c>
      <c r="F1080" t="s">
        <v>277</v>
      </c>
      <c r="G1080" t="s">
        <v>360</v>
      </c>
      <c r="H1080" t="s">
        <v>568</v>
      </c>
      <c r="I1080" t="s">
        <v>299</v>
      </c>
      <c r="K1080" t="s">
        <v>371</v>
      </c>
      <c r="L1080" t="s">
        <v>569</v>
      </c>
      <c r="M1080" t="s">
        <v>28</v>
      </c>
      <c r="N1080" s="1">
        <f t="shared" si="236"/>
        <v>0</v>
      </c>
      <c r="O1080" s="1">
        <f t="shared" si="237"/>
        <v>2</v>
      </c>
      <c r="P1080" s="1">
        <f t="shared" si="238"/>
        <v>2</v>
      </c>
      <c r="Q1080" s="1">
        <f t="shared" si="239"/>
        <v>1</v>
      </c>
      <c r="R1080" s="1">
        <f t="shared" si="240"/>
        <v>1</v>
      </c>
      <c r="S1080" s="1">
        <f t="shared" si="241"/>
        <v>1</v>
      </c>
      <c r="T1080" s="1">
        <f t="shared" si="242"/>
        <v>1</v>
      </c>
      <c r="U1080" s="26">
        <f t="shared" si="243"/>
        <v>0</v>
      </c>
      <c r="V1080" s="26">
        <f t="shared" si="244"/>
        <v>0</v>
      </c>
      <c r="W1080" s="1">
        <f t="shared" si="245"/>
        <v>1</v>
      </c>
      <c r="X1080" s="26">
        <f t="shared" si="246"/>
        <v>1</v>
      </c>
      <c r="Y1080" s="26">
        <f t="shared" si="247"/>
        <v>1</v>
      </c>
      <c r="Z1080" s="1">
        <f t="shared" si="248"/>
        <v>1</v>
      </c>
      <c r="AA1080"/>
      <c r="AB1080"/>
    </row>
    <row r="1081" spans="1:28" x14ac:dyDescent="0.55000000000000004">
      <c r="A1081" s="1">
        <f t="shared" si="235"/>
        <v>1081</v>
      </c>
      <c r="B1081" t="s">
        <v>33</v>
      </c>
      <c r="C1081" t="s">
        <v>124</v>
      </c>
      <c r="D1081" t="s">
        <v>133</v>
      </c>
      <c r="E1081" t="s">
        <v>567</v>
      </c>
      <c r="F1081" t="s">
        <v>277</v>
      </c>
      <c r="G1081" t="s">
        <v>279</v>
      </c>
      <c r="H1081" t="s">
        <v>570</v>
      </c>
      <c r="I1081" t="s">
        <v>284</v>
      </c>
      <c r="K1081" t="s">
        <v>294</v>
      </c>
      <c r="L1081" t="s">
        <v>571</v>
      </c>
      <c r="M1081" t="s">
        <v>28</v>
      </c>
      <c r="N1081" s="1">
        <f t="shared" si="236"/>
        <v>3</v>
      </c>
      <c r="O1081" s="1">
        <f t="shared" si="237"/>
        <v>1</v>
      </c>
      <c r="P1081" s="1">
        <f t="shared" si="238"/>
        <v>4</v>
      </c>
      <c r="Q1081" s="1">
        <f t="shared" si="239"/>
        <v>1</v>
      </c>
      <c r="R1081" s="1">
        <f t="shared" si="240"/>
        <v>1</v>
      </c>
      <c r="S1081" s="1">
        <f t="shared" si="241"/>
        <v>1</v>
      </c>
      <c r="T1081" s="1">
        <f t="shared" si="242"/>
        <v>0</v>
      </c>
      <c r="U1081" s="26">
        <f t="shared" si="243"/>
        <v>1</v>
      </c>
      <c r="V1081" s="26">
        <f t="shared" si="244"/>
        <v>1</v>
      </c>
      <c r="W1081" s="1">
        <f t="shared" si="245"/>
        <v>1</v>
      </c>
      <c r="X1081" s="26">
        <f t="shared" si="246"/>
        <v>1</v>
      </c>
      <c r="Y1081" s="26">
        <f t="shared" si="247"/>
        <v>0</v>
      </c>
      <c r="Z1081" s="1">
        <f t="shared" si="248"/>
        <v>1</v>
      </c>
      <c r="AA1081"/>
      <c r="AB1081"/>
    </row>
    <row r="1082" spans="1:28" x14ac:dyDescent="0.55000000000000004">
      <c r="A1082" s="1">
        <f t="shared" si="235"/>
        <v>1082</v>
      </c>
      <c r="B1082" t="s">
        <v>35</v>
      </c>
      <c r="C1082" t="s">
        <v>117</v>
      </c>
      <c r="D1082" t="s">
        <v>133</v>
      </c>
      <c r="E1082" t="s">
        <v>567</v>
      </c>
      <c r="F1082" t="s">
        <v>375</v>
      </c>
      <c r="G1082" t="s">
        <v>208</v>
      </c>
      <c r="H1082" t="s">
        <v>579</v>
      </c>
      <c r="I1082" t="s">
        <v>303</v>
      </c>
      <c r="K1082" t="s">
        <v>381</v>
      </c>
      <c r="L1082" t="s">
        <v>580</v>
      </c>
      <c r="M1082" t="s">
        <v>28</v>
      </c>
      <c r="N1082" s="1">
        <f t="shared" si="236"/>
        <v>2</v>
      </c>
      <c r="O1082" s="1">
        <f t="shared" si="237"/>
        <v>1</v>
      </c>
      <c r="P1082" s="1">
        <f t="shared" si="238"/>
        <v>3</v>
      </c>
      <c r="Q1082" s="1">
        <f t="shared" si="239"/>
        <v>1</v>
      </c>
      <c r="R1082" s="1">
        <f t="shared" si="240"/>
        <v>1</v>
      </c>
      <c r="S1082" s="1">
        <f t="shared" si="241"/>
        <v>1</v>
      </c>
      <c r="T1082" s="1">
        <f t="shared" si="242"/>
        <v>1</v>
      </c>
      <c r="U1082" s="26">
        <f t="shared" si="243"/>
        <v>1</v>
      </c>
      <c r="V1082" s="26">
        <f t="shared" si="244"/>
        <v>1</v>
      </c>
      <c r="W1082" s="1">
        <f t="shared" si="245"/>
        <v>1</v>
      </c>
      <c r="X1082" s="26">
        <f t="shared" si="246"/>
        <v>1</v>
      </c>
      <c r="Y1082" s="26">
        <f t="shared" si="247"/>
        <v>0</v>
      </c>
      <c r="Z1082" s="1">
        <f t="shared" si="248"/>
        <v>1</v>
      </c>
      <c r="AA1082"/>
      <c r="AB1082"/>
    </row>
    <row r="1083" spans="1:28" x14ac:dyDescent="0.55000000000000004">
      <c r="A1083" s="1">
        <f t="shared" si="235"/>
        <v>1083</v>
      </c>
      <c r="B1083" t="s">
        <v>35</v>
      </c>
      <c r="C1083" t="s">
        <v>117</v>
      </c>
      <c r="D1083" t="s">
        <v>133</v>
      </c>
      <c r="E1083" t="s">
        <v>567</v>
      </c>
      <c r="F1083" t="s">
        <v>375</v>
      </c>
      <c r="G1083" t="s">
        <v>383</v>
      </c>
      <c r="H1083" t="s">
        <v>581</v>
      </c>
      <c r="I1083" t="s">
        <v>384</v>
      </c>
      <c r="K1083" t="s">
        <v>387</v>
      </c>
      <c r="L1083" t="s">
        <v>582</v>
      </c>
      <c r="M1083" t="s">
        <v>28</v>
      </c>
      <c r="N1083" s="1">
        <f t="shared" si="236"/>
        <v>1</v>
      </c>
      <c r="O1083" s="1">
        <f t="shared" si="237"/>
        <v>2</v>
      </c>
      <c r="P1083" s="1">
        <f t="shared" si="238"/>
        <v>3</v>
      </c>
      <c r="Q1083" s="1">
        <f t="shared" si="239"/>
        <v>1</v>
      </c>
      <c r="R1083" s="1">
        <f t="shared" si="240"/>
        <v>1</v>
      </c>
      <c r="S1083" s="1">
        <f t="shared" si="241"/>
        <v>1</v>
      </c>
      <c r="T1083" s="1">
        <f t="shared" si="242"/>
        <v>1</v>
      </c>
      <c r="U1083" s="26">
        <f t="shared" si="243"/>
        <v>1</v>
      </c>
      <c r="V1083" s="26">
        <f t="shared" si="244"/>
        <v>0</v>
      </c>
      <c r="W1083" s="1">
        <f t="shared" si="245"/>
        <v>1</v>
      </c>
      <c r="X1083" s="26">
        <f t="shared" si="246"/>
        <v>1</v>
      </c>
      <c r="Y1083" s="26">
        <f t="shared" si="247"/>
        <v>1</v>
      </c>
      <c r="Z1083" s="1">
        <f t="shared" si="248"/>
        <v>1</v>
      </c>
      <c r="AA1083"/>
      <c r="AB1083"/>
    </row>
    <row r="1084" spans="1:28" x14ac:dyDescent="0.55000000000000004">
      <c r="A1084" s="1">
        <f t="shared" si="235"/>
        <v>1084</v>
      </c>
      <c r="B1084" t="s">
        <v>40</v>
      </c>
      <c r="C1084" t="s">
        <v>119</v>
      </c>
      <c r="D1084" t="s">
        <v>133</v>
      </c>
      <c r="E1084" t="s">
        <v>567</v>
      </c>
      <c r="F1084" t="s">
        <v>394</v>
      </c>
      <c r="G1084" t="s">
        <v>256</v>
      </c>
      <c r="H1084" t="s">
        <v>579</v>
      </c>
      <c r="I1084" t="s">
        <v>263</v>
      </c>
      <c r="K1084" t="s">
        <v>416</v>
      </c>
      <c r="L1084" t="s">
        <v>594</v>
      </c>
      <c r="M1084" t="s">
        <v>28</v>
      </c>
      <c r="N1084" s="1">
        <f t="shared" si="236"/>
        <v>2</v>
      </c>
      <c r="O1084" s="1">
        <f t="shared" si="237"/>
        <v>1</v>
      </c>
      <c r="P1084" s="1">
        <f t="shared" si="238"/>
        <v>3</v>
      </c>
      <c r="Q1084" s="1">
        <f t="shared" si="239"/>
        <v>1</v>
      </c>
      <c r="R1084" s="1">
        <f t="shared" si="240"/>
        <v>1</v>
      </c>
      <c r="S1084" s="1">
        <f t="shared" si="241"/>
        <v>1</v>
      </c>
      <c r="T1084" s="1">
        <f t="shared" si="242"/>
        <v>1</v>
      </c>
      <c r="U1084" s="26">
        <f t="shared" si="243"/>
        <v>1</v>
      </c>
      <c r="V1084" s="26">
        <f t="shared" si="244"/>
        <v>1</v>
      </c>
      <c r="W1084" s="1">
        <f t="shared" si="245"/>
        <v>1</v>
      </c>
      <c r="X1084" s="26">
        <f t="shared" si="246"/>
        <v>1</v>
      </c>
      <c r="Y1084" s="26">
        <f t="shared" si="247"/>
        <v>0</v>
      </c>
      <c r="Z1084" s="1">
        <f t="shared" si="248"/>
        <v>1</v>
      </c>
      <c r="AA1084"/>
      <c r="AB1084"/>
    </row>
    <row r="1085" spans="1:28" x14ac:dyDescent="0.55000000000000004">
      <c r="A1085" s="1">
        <f t="shared" si="235"/>
        <v>1085</v>
      </c>
      <c r="B1085" t="s">
        <v>40</v>
      </c>
      <c r="C1085" t="s">
        <v>119</v>
      </c>
      <c r="D1085" t="s">
        <v>133</v>
      </c>
      <c r="E1085" t="s">
        <v>567</v>
      </c>
      <c r="F1085" t="s">
        <v>392</v>
      </c>
      <c r="G1085" t="s">
        <v>255</v>
      </c>
      <c r="H1085" t="s">
        <v>568</v>
      </c>
      <c r="I1085" t="s">
        <v>261</v>
      </c>
      <c r="K1085" t="s">
        <v>257</v>
      </c>
      <c r="L1085" t="s">
        <v>595</v>
      </c>
      <c r="M1085" t="s">
        <v>28</v>
      </c>
      <c r="N1085" s="1">
        <f t="shared" si="236"/>
        <v>0</v>
      </c>
      <c r="O1085" s="1">
        <f t="shared" si="237"/>
        <v>2</v>
      </c>
      <c r="P1085" s="1">
        <f t="shared" si="238"/>
        <v>2</v>
      </c>
      <c r="Q1085" s="1">
        <f t="shared" si="239"/>
        <v>1</v>
      </c>
      <c r="R1085" s="1">
        <f t="shared" si="240"/>
        <v>1</v>
      </c>
      <c r="S1085" s="1">
        <f t="shared" si="241"/>
        <v>1</v>
      </c>
      <c r="T1085" s="1">
        <f t="shared" si="242"/>
        <v>1</v>
      </c>
      <c r="U1085" s="26">
        <f t="shared" si="243"/>
        <v>0</v>
      </c>
      <c r="V1085" s="26">
        <f t="shared" si="244"/>
        <v>0</v>
      </c>
      <c r="W1085" s="1">
        <f t="shared" si="245"/>
        <v>1</v>
      </c>
      <c r="X1085" s="26">
        <f t="shared" si="246"/>
        <v>1</v>
      </c>
      <c r="Y1085" s="26">
        <f t="shared" si="247"/>
        <v>1</v>
      </c>
      <c r="Z1085" s="1">
        <f t="shared" si="248"/>
        <v>1</v>
      </c>
      <c r="AA1085"/>
      <c r="AB1085"/>
    </row>
    <row r="1086" spans="1:28" x14ac:dyDescent="0.55000000000000004">
      <c r="A1086" s="1">
        <f t="shared" si="235"/>
        <v>1086</v>
      </c>
      <c r="B1086" t="s">
        <v>40</v>
      </c>
      <c r="C1086" t="s">
        <v>119</v>
      </c>
      <c r="D1086" t="s">
        <v>133</v>
      </c>
      <c r="E1086" t="s">
        <v>567</v>
      </c>
      <c r="F1086" t="s">
        <v>392</v>
      </c>
      <c r="G1086" t="s">
        <v>266</v>
      </c>
      <c r="H1086" t="s">
        <v>568</v>
      </c>
      <c r="I1086" t="s">
        <v>258</v>
      </c>
      <c r="K1086" t="s">
        <v>267</v>
      </c>
      <c r="L1086" t="s">
        <v>596</v>
      </c>
      <c r="M1086" t="s">
        <v>28</v>
      </c>
      <c r="N1086" s="1">
        <f t="shared" si="236"/>
        <v>0</v>
      </c>
      <c r="O1086" s="1">
        <f t="shared" si="237"/>
        <v>2</v>
      </c>
      <c r="P1086" s="1">
        <f t="shared" si="238"/>
        <v>2</v>
      </c>
      <c r="Q1086" s="1">
        <f t="shared" si="239"/>
        <v>1</v>
      </c>
      <c r="R1086" s="1">
        <f t="shared" si="240"/>
        <v>1</v>
      </c>
      <c r="S1086" s="1">
        <f t="shared" si="241"/>
        <v>1</v>
      </c>
      <c r="T1086" s="1">
        <f t="shared" si="242"/>
        <v>1</v>
      </c>
      <c r="U1086" s="26">
        <f t="shared" si="243"/>
        <v>0</v>
      </c>
      <c r="V1086" s="26">
        <f t="shared" si="244"/>
        <v>0</v>
      </c>
      <c r="W1086" s="1">
        <f t="shared" si="245"/>
        <v>1</v>
      </c>
      <c r="X1086" s="26">
        <f t="shared" si="246"/>
        <v>1</v>
      </c>
      <c r="Y1086" s="26">
        <f t="shared" si="247"/>
        <v>1</v>
      </c>
      <c r="Z1086" s="1">
        <f t="shared" si="248"/>
        <v>1</v>
      </c>
      <c r="AA1086"/>
      <c r="AB1086"/>
    </row>
    <row r="1087" spans="1:28" x14ac:dyDescent="0.55000000000000004">
      <c r="A1087" s="1">
        <f t="shared" si="235"/>
        <v>1087</v>
      </c>
      <c r="B1087" t="s">
        <v>30</v>
      </c>
      <c r="C1087" t="s">
        <v>116</v>
      </c>
      <c r="D1087" t="s">
        <v>133</v>
      </c>
      <c r="E1087" t="s">
        <v>567</v>
      </c>
      <c r="F1087" t="s">
        <v>346</v>
      </c>
      <c r="G1087" t="s">
        <v>63</v>
      </c>
      <c r="H1087" t="s">
        <v>573</v>
      </c>
      <c r="I1087" t="s">
        <v>61</v>
      </c>
      <c r="J1087" t="s">
        <v>1739</v>
      </c>
      <c r="K1087" t="s">
        <v>65</v>
      </c>
      <c r="L1087" t="s">
        <v>794</v>
      </c>
      <c r="M1087" t="s">
        <v>28</v>
      </c>
      <c r="N1087" s="1">
        <f t="shared" si="236"/>
        <v>2</v>
      </c>
      <c r="O1087" s="1">
        <f t="shared" si="237"/>
        <v>0</v>
      </c>
      <c r="P1087" s="1">
        <f t="shared" si="238"/>
        <v>2</v>
      </c>
      <c r="Q1087" s="1">
        <f t="shared" si="239"/>
        <v>1</v>
      </c>
      <c r="R1087" s="1">
        <f t="shared" si="240"/>
        <v>1</v>
      </c>
      <c r="S1087" s="1">
        <f t="shared" si="241"/>
        <v>1</v>
      </c>
      <c r="T1087" s="1">
        <f t="shared" si="242"/>
        <v>1</v>
      </c>
      <c r="U1087" s="26">
        <f t="shared" si="243"/>
        <v>1</v>
      </c>
      <c r="V1087" s="26">
        <f t="shared" si="244"/>
        <v>1</v>
      </c>
      <c r="W1087" s="1">
        <f t="shared" si="245"/>
        <v>1</v>
      </c>
      <c r="X1087" s="26">
        <f t="shared" si="246"/>
        <v>0</v>
      </c>
      <c r="Y1087" s="26">
        <f t="shared" si="247"/>
        <v>0</v>
      </c>
      <c r="Z1087" s="1">
        <f t="shared" si="248"/>
        <v>1</v>
      </c>
      <c r="AA1087"/>
      <c r="AB1087"/>
    </row>
    <row r="1088" spans="1:28" x14ac:dyDescent="0.55000000000000004">
      <c r="A1088" s="1">
        <f t="shared" si="235"/>
        <v>1088</v>
      </c>
      <c r="B1088" t="s">
        <v>33</v>
      </c>
      <c r="C1088" t="s">
        <v>124</v>
      </c>
      <c r="D1088" t="s">
        <v>133</v>
      </c>
      <c r="E1088" t="s">
        <v>567</v>
      </c>
      <c r="F1088" t="s">
        <v>364</v>
      </c>
      <c r="G1088" t="s">
        <v>292</v>
      </c>
      <c r="H1088" t="s">
        <v>608</v>
      </c>
      <c r="I1088" t="s">
        <v>296</v>
      </c>
      <c r="J1088" t="s">
        <v>1803</v>
      </c>
      <c r="K1088" t="s">
        <v>374</v>
      </c>
      <c r="L1088" t="s">
        <v>1051</v>
      </c>
      <c r="M1088" t="s">
        <v>28</v>
      </c>
      <c r="N1088" s="1">
        <f t="shared" si="236"/>
        <v>1</v>
      </c>
      <c r="O1088" s="1">
        <f t="shared" si="237"/>
        <v>1</v>
      </c>
      <c r="P1088" s="1">
        <f t="shared" si="238"/>
        <v>2</v>
      </c>
      <c r="Q1088" s="1">
        <f t="shared" si="239"/>
        <v>0</v>
      </c>
      <c r="R1088" s="1">
        <f t="shared" si="240"/>
        <v>1</v>
      </c>
      <c r="S1088" s="1">
        <f t="shared" si="241"/>
        <v>0</v>
      </c>
      <c r="T1088" s="1">
        <f t="shared" si="242"/>
        <v>1</v>
      </c>
      <c r="U1088" s="26">
        <f t="shared" si="243"/>
        <v>1</v>
      </c>
      <c r="V1088" s="26">
        <f t="shared" si="244"/>
        <v>0</v>
      </c>
      <c r="W1088" s="1">
        <f t="shared" si="245"/>
        <v>1</v>
      </c>
      <c r="X1088" s="26">
        <f t="shared" si="246"/>
        <v>1</v>
      </c>
      <c r="Y1088" s="26">
        <f t="shared" si="247"/>
        <v>0</v>
      </c>
      <c r="Z1088" s="1">
        <f t="shared" si="248"/>
        <v>1</v>
      </c>
      <c r="AA1088"/>
      <c r="AB1088"/>
    </row>
    <row r="1089" spans="1:28" x14ac:dyDescent="0.55000000000000004">
      <c r="A1089" s="1">
        <f t="shared" si="235"/>
        <v>1089</v>
      </c>
      <c r="B1089" t="s">
        <v>33</v>
      </c>
      <c r="C1089" t="s">
        <v>124</v>
      </c>
      <c r="D1089" t="s">
        <v>133</v>
      </c>
      <c r="E1089" t="s">
        <v>567</v>
      </c>
      <c r="F1089" t="s">
        <v>290</v>
      </c>
      <c r="G1089" t="s">
        <v>287</v>
      </c>
      <c r="H1089" t="s">
        <v>573</v>
      </c>
      <c r="I1089" t="s">
        <v>282</v>
      </c>
      <c r="J1089" t="s">
        <v>1804</v>
      </c>
      <c r="K1089" t="s">
        <v>289</v>
      </c>
      <c r="L1089" t="s">
        <v>1445</v>
      </c>
      <c r="M1089" t="s">
        <v>28</v>
      </c>
      <c r="N1089" s="1">
        <f t="shared" si="236"/>
        <v>2</v>
      </c>
      <c r="O1089" s="1">
        <f t="shared" si="237"/>
        <v>0</v>
      </c>
      <c r="P1089" s="1">
        <f t="shared" si="238"/>
        <v>2</v>
      </c>
      <c r="Q1089" s="1">
        <f t="shared" si="239"/>
        <v>1</v>
      </c>
      <c r="R1089" s="1">
        <f t="shared" si="240"/>
        <v>1</v>
      </c>
      <c r="S1089" s="1">
        <f t="shared" si="241"/>
        <v>1</v>
      </c>
      <c r="T1089" s="1">
        <f t="shared" si="242"/>
        <v>1</v>
      </c>
      <c r="U1089" s="26">
        <f t="shared" si="243"/>
        <v>1</v>
      </c>
      <c r="V1089" s="26">
        <f t="shared" si="244"/>
        <v>1</v>
      </c>
      <c r="W1089" s="1">
        <f t="shared" si="245"/>
        <v>1</v>
      </c>
      <c r="X1089" s="26">
        <f t="shared" si="246"/>
        <v>0</v>
      </c>
      <c r="Y1089" s="26">
        <f t="shared" si="247"/>
        <v>0</v>
      </c>
      <c r="Z1089" s="1">
        <f t="shared" si="248"/>
        <v>1</v>
      </c>
      <c r="AA1089"/>
      <c r="AB1089"/>
    </row>
    <row r="1090" spans="1:28" x14ac:dyDescent="0.55000000000000004">
      <c r="A1090" s="1">
        <f t="shared" si="235"/>
        <v>1090</v>
      </c>
      <c r="B1090" t="s">
        <v>35</v>
      </c>
      <c r="C1090" t="s">
        <v>117</v>
      </c>
      <c r="D1090" t="s">
        <v>133</v>
      </c>
      <c r="E1090" t="s">
        <v>567</v>
      </c>
      <c r="F1090" t="s">
        <v>380</v>
      </c>
      <c r="G1090" t="s">
        <v>205</v>
      </c>
      <c r="H1090" t="s">
        <v>640</v>
      </c>
      <c r="I1090" t="s">
        <v>386</v>
      </c>
      <c r="J1090" t="s">
        <v>1829</v>
      </c>
      <c r="K1090" t="s">
        <v>417</v>
      </c>
      <c r="L1090" t="s">
        <v>1477</v>
      </c>
      <c r="M1090" t="s">
        <v>28</v>
      </c>
      <c r="N1090" s="1">
        <f t="shared" si="236"/>
        <v>1</v>
      </c>
      <c r="O1090" s="1">
        <f t="shared" si="237"/>
        <v>4</v>
      </c>
      <c r="P1090" s="1">
        <f t="shared" si="238"/>
        <v>5</v>
      </c>
      <c r="Q1090" s="1">
        <f t="shared" si="239"/>
        <v>1</v>
      </c>
      <c r="R1090" s="1">
        <f t="shared" si="240"/>
        <v>0</v>
      </c>
      <c r="S1090" s="1">
        <f t="shared" si="241"/>
        <v>0</v>
      </c>
      <c r="T1090" s="1">
        <f t="shared" si="242"/>
        <v>1</v>
      </c>
      <c r="U1090" s="26">
        <f t="shared" si="243"/>
        <v>1</v>
      </c>
      <c r="V1090" s="26">
        <f t="shared" si="244"/>
        <v>0</v>
      </c>
      <c r="W1090" s="1">
        <f t="shared" si="245"/>
        <v>0</v>
      </c>
      <c r="X1090" s="26">
        <f t="shared" si="246"/>
        <v>0</v>
      </c>
      <c r="Y1090" s="26">
        <f t="shared" si="247"/>
        <v>1</v>
      </c>
      <c r="Z1090" s="1">
        <f t="shared" si="248"/>
        <v>1</v>
      </c>
      <c r="AA1090"/>
      <c r="AB1090"/>
    </row>
    <row r="1091" spans="1:28" x14ac:dyDescent="0.55000000000000004">
      <c r="A1091" s="1">
        <f t="shared" ref="A1091:A1154" si="249">A1090+1</f>
        <v>1091</v>
      </c>
      <c r="B1091" t="s">
        <v>35</v>
      </c>
      <c r="C1091" t="s">
        <v>117</v>
      </c>
      <c r="D1091" t="s">
        <v>133</v>
      </c>
      <c r="E1091" t="s">
        <v>567</v>
      </c>
      <c r="F1091" t="s">
        <v>376</v>
      </c>
      <c r="G1091" t="s">
        <v>207</v>
      </c>
      <c r="H1091" t="s">
        <v>579</v>
      </c>
      <c r="I1091" t="s">
        <v>304</v>
      </c>
      <c r="J1091" t="s">
        <v>1830</v>
      </c>
      <c r="K1091" t="s">
        <v>209</v>
      </c>
      <c r="L1091" t="s">
        <v>835</v>
      </c>
      <c r="M1091" t="s">
        <v>28</v>
      </c>
      <c r="N1091" s="1">
        <f t="shared" ref="N1091:N1154" si="250">VALUE(LEFT(H1091,1))</f>
        <v>2</v>
      </c>
      <c r="O1091" s="1">
        <f t="shared" ref="O1091:O1154" si="251">VALUE(RIGHT(H1091,1))</f>
        <v>1</v>
      </c>
      <c r="P1091" s="1">
        <f t="shared" ref="P1091:P1154" si="252">SUM(N1091,O1091)</f>
        <v>3</v>
      </c>
      <c r="Q1091" s="1">
        <f t="shared" ref="Q1091:Q1154" si="253">IF(N1091&lt;&gt;O1091, 1, 0)</f>
        <v>1</v>
      </c>
      <c r="R1091" s="1">
        <f t="shared" ref="R1091:R1154" si="254">IF(P1091&lt;=4,1,0)</f>
        <v>1</v>
      </c>
      <c r="S1091" s="1">
        <f t="shared" ref="S1091:S1154" si="255">IF(AND(Q1091=1,R1091=1),1,0)</f>
        <v>1</v>
      </c>
      <c r="T1091" s="1">
        <f t="shared" ref="T1091:T1154" si="256">IF(N1091&lt;=2,1,0)</f>
        <v>1</v>
      </c>
      <c r="U1091" s="26">
        <f t="shared" ref="U1091:U1154" si="257">IF(AND(N1091&gt;=1,N1091&lt;=3),1,0)</f>
        <v>1</v>
      </c>
      <c r="V1091" s="26">
        <f t="shared" ref="V1091:V1154" si="258">IF(AND(N1091&gt;=2,N1091&lt;=5),1,0)</f>
        <v>1</v>
      </c>
      <c r="W1091" s="1">
        <f t="shared" ref="W1091:W1154" si="259">IF(O1091&lt;=2,1,0)</f>
        <v>1</v>
      </c>
      <c r="X1091" s="26">
        <f t="shared" ref="X1091:X1154" si="260">IF(AND(O1091&gt;=1,O1091&lt;=3),1,0)</f>
        <v>1</v>
      </c>
      <c r="Y1091" s="26">
        <f t="shared" ref="Y1091:Y1154" si="261">IF(AND(O1091&gt;=2,O1091&lt;=5),1,0)</f>
        <v>0</v>
      </c>
      <c r="Z1091" s="1">
        <f t="shared" ref="Z1091:Z1154" si="262">IF(P1091&gt;=2,1,0)</f>
        <v>1</v>
      </c>
      <c r="AA1091"/>
      <c r="AB1091"/>
    </row>
    <row r="1092" spans="1:28" x14ac:dyDescent="0.55000000000000004">
      <c r="A1092" s="1">
        <f t="shared" si="249"/>
        <v>1092</v>
      </c>
      <c r="B1092" t="s">
        <v>35</v>
      </c>
      <c r="C1092" t="s">
        <v>117</v>
      </c>
      <c r="D1092" t="s">
        <v>133</v>
      </c>
      <c r="E1092" t="s">
        <v>567</v>
      </c>
      <c r="F1092" t="s">
        <v>376</v>
      </c>
      <c r="G1092" t="s">
        <v>307</v>
      </c>
      <c r="H1092" t="s">
        <v>739</v>
      </c>
      <c r="I1092" t="s">
        <v>210</v>
      </c>
      <c r="J1092" t="s">
        <v>1831</v>
      </c>
      <c r="K1092" t="s">
        <v>379</v>
      </c>
      <c r="L1092" t="s">
        <v>833</v>
      </c>
      <c r="M1092" t="s">
        <v>28</v>
      </c>
      <c r="N1092" s="1">
        <f t="shared" si="250"/>
        <v>0</v>
      </c>
      <c r="O1092" s="1">
        <f t="shared" si="251"/>
        <v>3</v>
      </c>
      <c r="P1092" s="1">
        <f t="shared" si="252"/>
        <v>3</v>
      </c>
      <c r="Q1092" s="1">
        <f t="shared" si="253"/>
        <v>1</v>
      </c>
      <c r="R1092" s="1">
        <f t="shared" si="254"/>
        <v>1</v>
      </c>
      <c r="S1092" s="1">
        <f t="shared" si="255"/>
        <v>1</v>
      </c>
      <c r="T1092" s="1">
        <f t="shared" si="256"/>
        <v>1</v>
      </c>
      <c r="U1092" s="26">
        <f t="shared" si="257"/>
        <v>0</v>
      </c>
      <c r="V1092" s="26">
        <f t="shared" si="258"/>
        <v>0</v>
      </c>
      <c r="W1092" s="1">
        <f t="shared" si="259"/>
        <v>0</v>
      </c>
      <c r="X1092" s="26">
        <f t="shared" si="260"/>
        <v>1</v>
      </c>
      <c r="Y1092" s="26">
        <f t="shared" si="261"/>
        <v>1</v>
      </c>
      <c r="Z1092" s="1">
        <f t="shared" si="262"/>
        <v>1</v>
      </c>
      <c r="AA1092"/>
      <c r="AB1092"/>
    </row>
    <row r="1093" spans="1:28" x14ac:dyDescent="0.55000000000000004">
      <c r="A1093" s="1">
        <f t="shared" si="249"/>
        <v>1093</v>
      </c>
      <c r="B1093" t="s">
        <v>35</v>
      </c>
      <c r="C1093" t="s">
        <v>117</v>
      </c>
      <c r="D1093" t="s">
        <v>133</v>
      </c>
      <c r="E1093" t="s">
        <v>567</v>
      </c>
      <c r="F1093" t="s">
        <v>376</v>
      </c>
      <c r="G1093" t="s">
        <v>377</v>
      </c>
      <c r="H1093" t="s">
        <v>708</v>
      </c>
      <c r="I1093" t="s">
        <v>213</v>
      </c>
      <c r="J1093" t="s">
        <v>1832</v>
      </c>
      <c r="K1093" t="s">
        <v>378</v>
      </c>
      <c r="L1093" t="s">
        <v>1071</v>
      </c>
      <c r="M1093" t="s">
        <v>28</v>
      </c>
      <c r="N1093" s="1">
        <f t="shared" si="250"/>
        <v>0</v>
      </c>
      <c r="O1093" s="1">
        <f t="shared" si="251"/>
        <v>0</v>
      </c>
      <c r="P1093" s="1">
        <f t="shared" si="252"/>
        <v>0</v>
      </c>
      <c r="Q1093" s="1">
        <f t="shared" si="253"/>
        <v>0</v>
      </c>
      <c r="R1093" s="1">
        <f t="shared" si="254"/>
        <v>1</v>
      </c>
      <c r="S1093" s="1">
        <f t="shared" si="255"/>
        <v>0</v>
      </c>
      <c r="T1093" s="1">
        <f t="shared" si="256"/>
        <v>1</v>
      </c>
      <c r="U1093" s="26">
        <f t="shared" si="257"/>
        <v>0</v>
      </c>
      <c r="V1093" s="26">
        <f t="shared" si="258"/>
        <v>0</v>
      </c>
      <c r="W1093" s="1">
        <f t="shared" si="259"/>
        <v>1</v>
      </c>
      <c r="X1093" s="26">
        <f t="shared" si="260"/>
        <v>0</v>
      </c>
      <c r="Y1093" s="26">
        <f t="shared" si="261"/>
        <v>0</v>
      </c>
      <c r="Z1093" s="1">
        <f t="shared" si="262"/>
        <v>0</v>
      </c>
      <c r="AA1093"/>
      <c r="AB1093"/>
    </row>
    <row r="1094" spans="1:28" x14ac:dyDescent="0.55000000000000004">
      <c r="A1094" s="1">
        <f t="shared" si="249"/>
        <v>1094</v>
      </c>
      <c r="B1094" t="s">
        <v>39</v>
      </c>
      <c r="C1094" t="s">
        <v>122</v>
      </c>
      <c r="D1094" t="s">
        <v>133</v>
      </c>
      <c r="E1094" t="s">
        <v>567</v>
      </c>
      <c r="F1094" t="s">
        <v>218</v>
      </c>
      <c r="G1094" t="s">
        <v>219</v>
      </c>
      <c r="H1094" t="s">
        <v>579</v>
      </c>
      <c r="I1094" t="s">
        <v>229</v>
      </c>
      <c r="J1094" t="s">
        <v>1882</v>
      </c>
      <c r="K1094" t="s">
        <v>221</v>
      </c>
      <c r="L1094" t="s">
        <v>993</v>
      </c>
      <c r="M1094" t="s">
        <v>28</v>
      </c>
      <c r="N1094" s="1">
        <f t="shared" si="250"/>
        <v>2</v>
      </c>
      <c r="O1094" s="1">
        <f t="shared" si="251"/>
        <v>1</v>
      </c>
      <c r="P1094" s="1">
        <f t="shared" si="252"/>
        <v>3</v>
      </c>
      <c r="Q1094" s="1">
        <f t="shared" si="253"/>
        <v>1</v>
      </c>
      <c r="R1094" s="1">
        <f t="shared" si="254"/>
        <v>1</v>
      </c>
      <c r="S1094" s="1">
        <f t="shared" si="255"/>
        <v>1</v>
      </c>
      <c r="T1094" s="1">
        <f t="shared" si="256"/>
        <v>1</v>
      </c>
      <c r="U1094" s="26">
        <f t="shared" si="257"/>
        <v>1</v>
      </c>
      <c r="V1094" s="26">
        <f t="shared" si="258"/>
        <v>1</v>
      </c>
      <c r="W1094" s="1">
        <f t="shared" si="259"/>
        <v>1</v>
      </c>
      <c r="X1094" s="26">
        <f t="shared" si="260"/>
        <v>1</v>
      </c>
      <c r="Y1094" s="26">
        <f t="shared" si="261"/>
        <v>0</v>
      </c>
      <c r="Z1094" s="1">
        <f t="shared" si="262"/>
        <v>1</v>
      </c>
      <c r="AA1094"/>
      <c r="AB1094"/>
    </row>
    <row r="1095" spans="1:28" x14ac:dyDescent="0.55000000000000004">
      <c r="A1095" s="1">
        <f t="shared" si="249"/>
        <v>1095</v>
      </c>
      <c r="B1095" t="s">
        <v>39</v>
      </c>
      <c r="C1095" t="s">
        <v>122</v>
      </c>
      <c r="D1095" t="s">
        <v>133</v>
      </c>
      <c r="E1095" t="s">
        <v>567</v>
      </c>
      <c r="F1095" t="s">
        <v>218</v>
      </c>
      <c r="G1095" t="s">
        <v>223</v>
      </c>
      <c r="H1095" t="s">
        <v>575</v>
      </c>
      <c r="I1095" t="s">
        <v>225</v>
      </c>
      <c r="J1095" t="s">
        <v>1883</v>
      </c>
      <c r="K1095" t="s">
        <v>244</v>
      </c>
      <c r="L1095" t="s">
        <v>1012</v>
      </c>
      <c r="M1095" t="s">
        <v>28</v>
      </c>
      <c r="N1095" s="1">
        <f t="shared" si="250"/>
        <v>1</v>
      </c>
      <c r="O1095" s="1">
        <f t="shared" si="251"/>
        <v>0</v>
      </c>
      <c r="P1095" s="1">
        <f t="shared" si="252"/>
        <v>1</v>
      </c>
      <c r="Q1095" s="1">
        <f t="shared" si="253"/>
        <v>1</v>
      </c>
      <c r="R1095" s="1">
        <f t="shared" si="254"/>
        <v>1</v>
      </c>
      <c r="S1095" s="1">
        <f t="shared" si="255"/>
        <v>1</v>
      </c>
      <c r="T1095" s="1">
        <f t="shared" si="256"/>
        <v>1</v>
      </c>
      <c r="U1095" s="26">
        <f t="shared" si="257"/>
        <v>1</v>
      </c>
      <c r="V1095" s="26">
        <f t="shared" si="258"/>
        <v>0</v>
      </c>
      <c r="W1095" s="1">
        <f t="shared" si="259"/>
        <v>1</v>
      </c>
      <c r="X1095" s="26">
        <f t="shared" si="260"/>
        <v>0</v>
      </c>
      <c r="Y1095" s="26">
        <f t="shared" si="261"/>
        <v>0</v>
      </c>
      <c r="Z1095" s="1">
        <f t="shared" si="262"/>
        <v>0</v>
      </c>
      <c r="AA1095"/>
      <c r="AB1095"/>
    </row>
    <row r="1096" spans="1:28" x14ac:dyDescent="0.55000000000000004">
      <c r="A1096" s="1">
        <f t="shared" si="249"/>
        <v>1096</v>
      </c>
      <c r="B1096" t="s">
        <v>39</v>
      </c>
      <c r="C1096" t="s">
        <v>122</v>
      </c>
      <c r="D1096" t="s">
        <v>133</v>
      </c>
      <c r="E1096" t="s">
        <v>567</v>
      </c>
      <c r="F1096" t="s">
        <v>218</v>
      </c>
      <c r="G1096" t="s">
        <v>226</v>
      </c>
      <c r="H1096" t="s">
        <v>664</v>
      </c>
      <c r="I1096" t="s">
        <v>222</v>
      </c>
      <c r="J1096" t="s">
        <v>1884</v>
      </c>
      <c r="K1096" t="s">
        <v>241</v>
      </c>
      <c r="L1096" t="s">
        <v>1154</v>
      </c>
      <c r="M1096" t="s">
        <v>28</v>
      </c>
      <c r="N1096" s="1">
        <f t="shared" si="250"/>
        <v>2</v>
      </c>
      <c r="O1096" s="1">
        <f t="shared" si="251"/>
        <v>2</v>
      </c>
      <c r="P1096" s="1">
        <f t="shared" si="252"/>
        <v>4</v>
      </c>
      <c r="Q1096" s="1">
        <f t="shared" si="253"/>
        <v>0</v>
      </c>
      <c r="R1096" s="1">
        <f t="shared" si="254"/>
        <v>1</v>
      </c>
      <c r="S1096" s="1">
        <f t="shared" si="255"/>
        <v>0</v>
      </c>
      <c r="T1096" s="1">
        <f t="shared" si="256"/>
        <v>1</v>
      </c>
      <c r="U1096" s="26">
        <f t="shared" si="257"/>
        <v>1</v>
      </c>
      <c r="V1096" s="26">
        <f t="shared" si="258"/>
        <v>1</v>
      </c>
      <c r="W1096" s="1">
        <f t="shared" si="259"/>
        <v>1</v>
      </c>
      <c r="X1096" s="26">
        <f t="shared" si="260"/>
        <v>1</v>
      </c>
      <c r="Y1096" s="26">
        <f t="shared" si="261"/>
        <v>1</v>
      </c>
      <c r="Z1096" s="1">
        <f t="shared" si="262"/>
        <v>1</v>
      </c>
      <c r="AA1096"/>
      <c r="AB1096"/>
    </row>
    <row r="1097" spans="1:28" x14ac:dyDescent="0.55000000000000004">
      <c r="A1097" s="1">
        <f t="shared" si="249"/>
        <v>1097</v>
      </c>
      <c r="B1097" t="s">
        <v>39</v>
      </c>
      <c r="C1097" t="s">
        <v>122</v>
      </c>
      <c r="D1097" t="s">
        <v>133</v>
      </c>
      <c r="E1097" t="s">
        <v>567</v>
      </c>
      <c r="F1097" t="s">
        <v>218</v>
      </c>
      <c r="G1097" t="s">
        <v>220</v>
      </c>
      <c r="H1097" t="s">
        <v>573</v>
      </c>
      <c r="I1097" t="s">
        <v>232</v>
      </c>
      <c r="J1097" t="s">
        <v>1885</v>
      </c>
      <c r="K1097" t="s">
        <v>240</v>
      </c>
      <c r="L1097" t="s">
        <v>1540</v>
      </c>
      <c r="M1097" t="s">
        <v>28</v>
      </c>
      <c r="N1097" s="1">
        <f t="shared" si="250"/>
        <v>2</v>
      </c>
      <c r="O1097" s="1">
        <f t="shared" si="251"/>
        <v>0</v>
      </c>
      <c r="P1097" s="1">
        <f t="shared" si="252"/>
        <v>2</v>
      </c>
      <c r="Q1097" s="1">
        <f t="shared" si="253"/>
        <v>1</v>
      </c>
      <c r="R1097" s="1">
        <f t="shared" si="254"/>
        <v>1</v>
      </c>
      <c r="S1097" s="1">
        <f t="shared" si="255"/>
        <v>1</v>
      </c>
      <c r="T1097" s="1">
        <f t="shared" si="256"/>
        <v>1</v>
      </c>
      <c r="U1097" s="26">
        <f t="shared" si="257"/>
        <v>1</v>
      </c>
      <c r="V1097" s="26">
        <f t="shared" si="258"/>
        <v>1</v>
      </c>
      <c r="W1097" s="1">
        <f t="shared" si="259"/>
        <v>1</v>
      </c>
      <c r="X1097" s="26">
        <f t="shared" si="260"/>
        <v>0</v>
      </c>
      <c r="Y1097" s="26">
        <f t="shared" si="261"/>
        <v>0</v>
      </c>
      <c r="Z1097" s="1">
        <f t="shared" si="262"/>
        <v>1</v>
      </c>
      <c r="AA1097"/>
      <c r="AB1097"/>
    </row>
    <row r="1098" spans="1:28" x14ac:dyDescent="0.55000000000000004">
      <c r="A1098" s="1">
        <f t="shared" si="249"/>
        <v>1098</v>
      </c>
      <c r="B1098" t="s">
        <v>30</v>
      </c>
      <c r="C1098" t="s">
        <v>116</v>
      </c>
      <c r="D1098" t="s">
        <v>42</v>
      </c>
      <c r="E1098" t="s">
        <v>397</v>
      </c>
      <c r="F1098" t="s">
        <v>398</v>
      </c>
      <c r="G1098" t="s">
        <v>57</v>
      </c>
      <c r="I1098" t="s">
        <v>67</v>
      </c>
      <c r="K1098" t="s">
        <v>59</v>
      </c>
      <c r="M1098" t="s">
        <v>47</v>
      </c>
      <c r="N1098" s="1" t="e">
        <f t="shared" si="250"/>
        <v>#VALUE!</v>
      </c>
      <c r="O1098" s="1" t="e">
        <f t="shared" si="251"/>
        <v>#VALUE!</v>
      </c>
      <c r="P1098" s="1" t="e">
        <f t="shared" si="252"/>
        <v>#VALUE!</v>
      </c>
      <c r="Q1098" s="1" t="e">
        <f t="shared" si="253"/>
        <v>#VALUE!</v>
      </c>
      <c r="R1098" s="1" t="e">
        <f t="shared" si="254"/>
        <v>#VALUE!</v>
      </c>
      <c r="S1098" s="1" t="e">
        <f t="shared" si="255"/>
        <v>#VALUE!</v>
      </c>
      <c r="T1098" s="1" t="e">
        <f t="shared" si="256"/>
        <v>#VALUE!</v>
      </c>
      <c r="U1098" s="26" t="e">
        <f t="shared" si="257"/>
        <v>#VALUE!</v>
      </c>
      <c r="V1098" s="26" t="e">
        <f t="shared" si="258"/>
        <v>#VALUE!</v>
      </c>
      <c r="W1098" s="1" t="e">
        <f t="shared" si="259"/>
        <v>#VALUE!</v>
      </c>
      <c r="X1098" s="26" t="e">
        <f t="shared" si="260"/>
        <v>#VALUE!</v>
      </c>
      <c r="Y1098" s="26" t="e">
        <f t="shared" si="261"/>
        <v>#VALUE!</v>
      </c>
      <c r="Z1098" s="1" t="e">
        <f t="shared" si="262"/>
        <v>#VALUE!</v>
      </c>
      <c r="AA1098"/>
      <c r="AB1098"/>
    </row>
    <row r="1099" spans="1:28" x14ac:dyDescent="0.55000000000000004">
      <c r="A1099" s="1">
        <f t="shared" si="249"/>
        <v>1099</v>
      </c>
      <c r="B1099" t="s">
        <v>30</v>
      </c>
      <c r="C1099" t="s">
        <v>116</v>
      </c>
      <c r="D1099" t="s">
        <v>42</v>
      </c>
      <c r="E1099" t="s">
        <v>397</v>
      </c>
      <c r="F1099" t="s">
        <v>398</v>
      </c>
      <c r="G1099" t="s">
        <v>49</v>
      </c>
      <c r="I1099" t="s">
        <v>48</v>
      </c>
      <c r="K1099" t="s">
        <v>72</v>
      </c>
      <c r="M1099" t="s">
        <v>47</v>
      </c>
      <c r="N1099" s="1" t="e">
        <f t="shared" si="250"/>
        <v>#VALUE!</v>
      </c>
      <c r="O1099" s="1" t="e">
        <f t="shared" si="251"/>
        <v>#VALUE!</v>
      </c>
      <c r="P1099" s="1" t="e">
        <f t="shared" si="252"/>
        <v>#VALUE!</v>
      </c>
      <c r="Q1099" s="1" t="e">
        <f t="shared" si="253"/>
        <v>#VALUE!</v>
      </c>
      <c r="R1099" s="1" t="e">
        <f t="shared" si="254"/>
        <v>#VALUE!</v>
      </c>
      <c r="S1099" s="1" t="e">
        <f t="shared" si="255"/>
        <v>#VALUE!</v>
      </c>
      <c r="T1099" s="1" t="e">
        <f t="shared" si="256"/>
        <v>#VALUE!</v>
      </c>
      <c r="U1099" s="26" t="e">
        <f t="shared" si="257"/>
        <v>#VALUE!</v>
      </c>
      <c r="V1099" s="26" t="e">
        <f t="shared" si="258"/>
        <v>#VALUE!</v>
      </c>
      <c r="W1099" s="1" t="e">
        <f t="shared" si="259"/>
        <v>#VALUE!</v>
      </c>
      <c r="X1099" s="26" t="e">
        <f t="shared" si="260"/>
        <v>#VALUE!</v>
      </c>
      <c r="Y1099" s="26" t="e">
        <f t="shared" si="261"/>
        <v>#VALUE!</v>
      </c>
      <c r="Z1099" s="1" t="e">
        <f t="shared" si="262"/>
        <v>#VALUE!</v>
      </c>
      <c r="AA1099"/>
      <c r="AB1099"/>
    </row>
    <row r="1100" spans="1:28" x14ac:dyDescent="0.55000000000000004">
      <c r="A1100" s="1">
        <f t="shared" si="249"/>
        <v>1100</v>
      </c>
      <c r="B1100" t="s">
        <v>30</v>
      </c>
      <c r="C1100" t="s">
        <v>116</v>
      </c>
      <c r="D1100" t="s">
        <v>42</v>
      </c>
      <c r="E1100" t="s">
        <v>397</v>
      </c>
      <c r="F1100" t="s">
        <v>398</v>
      </c>
      <c r="G1100" t="s">
        <v>58</v>
      </c>
      <c r="I1100" t="s">
        <v>44</v>
      </c>
      <c r="K1100" t="s">
        <v>71</v>
      </c>
      <c r="M1100" t="s">
        <v>47</v>
      </c>
      <c r="N1100" s="1" t="e">
        <f t="shared" si="250"/>
        <v>#VALUE!</v>
      </c>
      <c r="O1100" s="1" t="e">
        <f t="shared" si="251"/>
        <v>#VALUE!</v>
      </c>
      <c r="P1100" s="1" t="e">
        <f t="shared" si="252"/>
        <v>#VALUE!</v>
      </c>
      <c r="Q1100" s="1" t="e">
        <f t="shared" si="253"/>
        <v>#VALUE!</v>
      </c>
      <c r="R1100" s="1" t="e">
        <f t="shared" si="254"/>
        <v>#VALUE!</v>
      </c>
      <c r="S1100" s="1" t="e">
        <f t="shared" si="255"/>
        <v>#VALUE!</v>
      </c>
      <c r="T1100" s="1" t="e">
        <f t="shared" si="256"/>
        <v>#VALUE!</v>
      </c>
      <c r="U1100" s="26" t="e">
        <f t="shared" si="257"/>
        <v>#VALUE!</v>
      </c>
      <c r="V1100" s="26" t="e">
        <f t="shared" si="258"/>
        <v>#VALUE!</v>
      </c>
      <c r="W1100" s="1" t="e">
        <f t="shared" si="259"/>
        <v>#VALUE!</v>
      </c>
      <c r="X1100" s="26" t="e">
        <f t="shared" si="260"/>
        <v>#VALUE!</v>
      </c>
      <c r="Y1100" s="26" t="e">
        <f t="shared" si="261"/>
        <v>#VALUE!</v>
      </c>
      <c r="Z1100" s="1" t="e">
        <f t="shared" si="262"/>
        <v>#VALUE!</v>
      </c>
      <c r="AA1100"/>
      <c r="AB1100"/>
    </row>
    <row r="1101" spans="1:28" x14ac:dyDescent="0.55000000000000004">
      <c r="A1101" s="1">
        <f t="shared" si="249"/>
        <v>1101</v>
      </c>
      <c r="B1101" t="s">
        <v>39</v>
      </c>
      <c r="C1101" t="s">
        <v>122</v>
      </c>
      <c r="D1101" t="s">
        <v>42</v>
      </c>
      <c r="E1101" t="s">
        <v>397</v>
      </c>
      <c r="F1101" t="s">
        <v>218</v>
      </c>
      <c r="G1101" t="s">
        <v>235</v>
      </c>
      <c r="I1101" t="s">
        <v>231</v>
      </c>
      <c r="K1101" t="s">
        <v>242</v>
      </c>
      <c r="M1101" t="s">
        <v>47</v>
      </c>
      <c r="N1101" s="1" t="e">
        <f t="shared" si="250"/>
        <v>#VALUE!</v>
      </c>
      <c r="O1101" s="1" t="e">
        <f t="shared" si="251"/>
        <v>#VALUE!</v>
      </c>
      <c r="P1101" s="1" t="e">
        <f t="shared" si="252"/>
        <v>#VALUE!</v>
      </c>
      <c r="Q1101" s="1" t="e">
        <f t="shared" si="253"/>
        <v>#VALUE!</v>
      </c>
      <c r="R1101" s="1" t="e">
        <f t="shared" si="254"/>
        <v>#VALUE!</v>
      </c>
      <c r="S1101" s="1" t="e">
        <f t="shared" si="255"/>
        <v>#VALUE!</v>
      </c>
      <c r="T1101" s="1" t="e">
        <f t="shared" si="256"/>
        <v>#VALUE!</v>
      </c>
      <c r="U1101" s="26" t="e">
        <f t="shared" si="257"/>
        <v>#VALUE!</v>
      </c>
      <c r="V1101" s="26" t="e">
        <f t="shared" si="258"/>
        <v>#VALUE!</v>
      </c>
      <c r="W1101" s="1" t="e">
        <f t="shared" si="259"/>
        <v>#VALUE!</v>
      </c>
      <c r="X1101" s="26" t="e">
        <f t="shared" si="260"/>
        <v>#VALUE!</v>
      </c>
      <c r="Y1101" s="26" t="e">
        <f t="shared" si="261"/>
        <v>#VALUE!</v>
      </c>
      <c r="Z1101" s="1" t="e">
        <f t="shared" si="262"/>
        <v>#VALUE!</v>
      </c>
      <c r="AA1101"/>
      <c r="AB1101"/>
    </row>
    <row r="1102" spans="1:28" x14ac:dyDescent="0.55000000000000004">
      <c r="A1102" s="1">
        <f t="shared" si="249"/>
        <v>1102</v>
      </c>
      <c r="B1102" t="s">
        <v>39</v>
      </c>
      <c r="C1102" t="s">
        <v>122</v>
      </c>
      <c r="D1102" t="s">
        <v>42</v>
      </c>
      <c r="E1102" t="s">
        <v>397</v>
      </c>
      <c r="F1102" t="s">
        <v>218</v>
      </c>
      <c r="G1102" t="s">
        <v>234</v>
      </c>
      <c r="I1102" t="s">
        <v>228</v>
      </c>
      <c r="K1102" t="s">
        <v>236</v>
      </c>
      <c r="M1102" t="s">
        <v>47</v>
      </c>
      <c r="N1102" s="1" t="e">
        <f t="shared" si="250"/>
        <v>#VALUE!</v>
      </c>
      <c r="O1102" s="1" t="e">
        <f t="shared" si="251"/>
        <v>#VALUE!</v>
      </c>
      <c r="P1102" s="1" t="e">
        <f t="shared" si="252"/>
        <v>#VALUE!</v>
      </c>
      <c r="Q1102" s="1" t="e">
        <f t="shared" si="253"/>
        <v>#VALUE!</v>
      </c>
      <c r="R1102" s="1" t="e">
        <f t="shared" si="254"/>
        <v>#VALUE!</v>
      </c>
      <c r="S1102" s="1" t="e">
        <f t="shared" si="255"/>
        <v>#VALUE!</v>
      </c>
      <c r="T1102" s="1" t="e">
        <f t="shared" si="256"/>
        <v>#VALUE!</v>
      </c>
      <c r="U1102" s="26" t="e">
        <f t="shared" si="257"/>
        <v>#VALUE!</v>
      </c>
      <c r="V1102" s="26" t="e">
        <f t="shared" si="258"/>
        <v>#VALUE!</v>
      </c>
      <c r="W1102" s="1" t="e">
        <f t="shared" si="259"/>
        <v>#VALUE!</v>
      </c>
      <c r="X1102" s="26" t="e">
        <f t="shared" si="260"/>
        <v>#VALUE!</v>
      </c>
      <c r="Y1102" s="26" t="e">
        <f t="shared" si="261"/>
        <v>#VALUE!</v>
      </c>
      <c r="Z1102" s="1" t="e">
        <f t="shared" si="262"/>
        <v>#VALUE!</v>
      </c>
      <c r="AA1102"/>
      <c r="AB1102"/>
    </row>
    <row r="1103" spans="1:28" x14ac:dyDescent="0.55000000000000004">
      <c r="A1103" s="1">
        <f t="shared" si="249"/>
        <v>1103</v>
      </c>
      <c r="B1103" t="s">
        <v>40</v>
      </c>
      <c r="C1103" t="s">
        <v>119</v>
      </c>
      <c r="D1103" t="s">
        <v>42</v>
      </c>
      <c r="E1103" t="s">
        <v>397</v>
      </c>
      <c r="F1103" t="s">
        <v>356</v>
      </c>
      <c r="G1103" t="s">
        <v>265</v>
      </c>
      <c r="I1103" t="s">
        <v>260</v>
      </c>
      <c r="K1103" t="s">
        <v>344</v>
      </c>
      <c r="M1103" t="s">
        <v>47</v>
      </c>
      <c r="N1103" s="1" t="e">
        <f t="shared" si="250"/>
        <v>#VALUE!</v>
      </c>
      <c r="O1103" s="1" t="e">
        <f t="shared" si="251"/>
        <v>#VALUE!</v>
      </c>
      <c r="P1103" s="1" t="e">
        <f t="shared" si="252"/>
        <v>#VALUE!</v>
      </c>
      <c r="Q1103" s="1" t="e">
        <f t="shared" si="253"/>
        <v>#VALUE!</v>
      </c>
      <c r="R1103" s="1" t="e">
        <f t="shared" si="254"/>
        <v>#VALUE!</v>
      </c>
      <c r="S1103" s="1" t="e">
        <f t="shared" si="255"/>
        <v>#VALUE!</v>
      </c>
      <c r="T1103" s="1" t="e">
        <f t="shared" si="256"/>
        <v>#VALUE!</v>
      </c>
      <c r="U1103" s="26" t="e">
        <f t="shared" si="257"/>
        <v>#VALUE!</v>
      </c>
      <c r="V1103" s="26" t="e">
        <f t="shared" si="258"/>
        <v>#VALUE!</v>
      </c>
      <c r="W1103" s="1" t="e">
        <f t="shared" si="259"/>
        <v>#VALUE!</v>
      </c>
      <c r="X1103" s="26" t="e">
        <f t="shared" si="260"/>
        <v>#VALUE!</v>
      </c>
      <c r="Y1103" s="26" t="e">
        <f t="shared" si="261"/>
        <v>#VALUE!</v>
      </c>
      <c r="Z1103" s="1" t="e">
        <f t="shared" si="262"/>
        <v>#VALUE!</v>
      </c>
      <c r="AA1103"/>
      <c r="AB1103"/>
    </row>
    <row r="1104" spans="1:28" x14ac:dyDescent="0.55000000000000004">
      <c r="A1104" s="1">
        <f t="shared" si="249"/>
        <v>1104</v>
      </c>
      <c r="B1104" t="s">
        <v>30</v>
      </c>
      <c r="C1104" t="s">
        <v>116</v>
      </c>
      <c r="D1104" t="s">
        <v>179</v>
      </c>
      <c r="E1104" t="s">
        <v>180</v>
      </c>
      <c r="F1104" t="s">
        <v>181</v>
      </c>
      <c r="G1104" t="s">
        <v>45</v>
      </c>
      <c r="I1104" t="s">
        <v>66</v>
      </c>
      <c r="K1104" t="s">
        <v>74</v>
      </c>
      <c r="M1104" t="s">
        <v>47</v>
      </c>
      <c r="N1104" s="1" t="e">
        <f t="shared" si="250"/>
        <v>#VALUE!</v>
      </c>
      <c r="O1104" s="1" t="e">
        <f t="shared" si="251"/>
        <v>#VALUE!</v>
      </c>
      <c r="P1104" s="1" t="e">
        <f t="shared" si="252"/>
        <v>#VALUE!</v>
      </c>
      <c r="Q1104" s="1" t="e">
        <f t="shared" si="253"/>
        <v>#VALUE!</v>
      </c>
      <c r="R1104" s="1" t="e">
        <f t="shared" si="254"/>
        <v>#VALUE!</v>
      </c>
      <c r="S1104" s="1" t="e">
        <f t="shared" si="255"/>
        <v>#VALUE!</v>
      </c>
      <c r="T1104" s="1" t="e">
        <f t="shared" si="256"/>
        <v>#VALUE!</v>
      </c>
      <c r="U1104" s="26" t="e">
        <f t="shared" si="257"/>
        <v>#VALUE!</v>
      </c>
      <c r="V1104" s="26" t="e">
        <f t="shared" si="258"/>
        <v>#VALUE!</v>
      </c>
      <c r="W1104" s="1" t="e">
        <f t="shared" si="259"/>
        <v>#VALUE!</v>
      </c>
      <c r="X1104" s="26" t="e">
        <f t="shared" si="260"/>
        <v>#VALUE!</v>
      </c>
      <c r="Y1104" s="26" t="e">
        <f t="shared" si="261"/>
        <v>#VALUE!</v>
      </c>
      <c r="Z1104" s="1" t="e">
        <f t="shared" si="262"/>
        <v>#VALUE!</v>
      </c>
      <c r="AA1104"/>
      <c r="AB1104"/>
    </row>
    <row r="1105" spans="1:28" x14ac:dyDescent="0.55000000000000004">
      <c r="A1105" s="1">
        <f t="shared" si="249"/>
        <v>1105</v>
      </c>
      <c r="B1105" t="s">
        <v>30</v>
      </c>
      <c r="C1105" t="s">
        <v>116</v>
      </c>
      <c r="D1105" t="s">
        <v>179</v>
      </c>
      <c r="E1105" t="s">
        <v>180</v>
      </c>
      <c r="F1105" t="s">
        <v>182</v>
      </c>
      <c r="G1105" t="s">
        <v>60</v>
      </c>
      <c r="I1105" t="s">
        <v>52</v>
      </c>
      <c r="K1105" t="s">
        <v>62</v>
      </c>
      <c r="M1105" t="s">
        <v>47</v>
      </c>
      <c r="N1105" s="1" t="e">
        <f t="shared" si="250"/>
        <v>#VALUE!</v>
      </c>
      <c r="O1105" s="1" t="e">
        <f t="shared" si="251"/>
        <v>#VALUE!</v>
      </c>
      <c r="P1105" s="1" t="e">
        <f t="shared" si="252"/>
        <v>#VALUE!</v>
      </c>
      <c r="Q1105" s="1" t="e">
        <f t="shared" si="253"/>
        <v>#VALUE!</v>
      </c>
      <c r="R1105" s="1" t="e">
        <f t="shared" si="254"/>
        <v>#VALUE!</v>
      </c>
      <c r="S1105" s="1" t="e">
        <f t="shared" si="255"/>
        <v>#VALUE!</v>
      </c>
      <c r="T1105" s="1" t="e">
        <f t="shared" si="256"/>
        <v>#VALUE!</v>
      </c>
      <c r="U1105" s="26" t="e">
        <f t="shared" si="257"/>
        <v>#VALUE!</v>
      </c>
      <c r="V1105" s="26" t="e">
        <f t="shared" si="258"/>
        <v>#VALUE!</v>
      </c>
      <c r="W1105" s="1" t="e">
        <f t="shared" si="259"/>
        <v>#VALUE!</v>
      </c>
      <c r="X1105" s="26" t="e">
        <f t="shared" si="260"/>
        <v>#VALUE!</v>
      </c>
      <c r="Y1105" s="26" t="e">
        <f t="shared" si="261"/>
        <v>#VALUE!</v>
      </c>
      <c r="Z1105" s="1" t="e">
        <f t="shared" si="262"/>
        <v>#VALUE!</v>
      </c>
      <c r="AA1105"/>
      <c r="AB1105"/>
    </row>
    <row r="1106" spans="1:28" x14ac:dyDescent="0.55000000000000004">
      <c r="A1106" s="1">
        <f t="shared" si="249"/>
        <v>1106</v>
      </c>
      <c r="B1106" t="s">
        <v>40</v>
      </c>
      <c r="C1106" t="s">
        <v>119</v>
      </c>
      <c r="D1106" t="s">
        <v>179</v>
      </c>
      <c r="E1106" t="s">
        <v>180</v>
      </c>
      <c r="F1106" t="s">
        <v>247</v>
      </c>
      <c r="G1106" t="s">
        <v>248</v>
      </c>
      <c r="I1106" t="s">
        <v>249</v>
      </c>
      <c r="K1106" t="s">
        <v>250</v>
      </c>
      <c r="M1106" t="s">
        <v>47</v>
      </c>
      <c r="N1106" s="1" t="e">
        <f t="shared" si="250"/>
        <v>#VALUE!</v>
      </c>
      <c r="O1106" s="1" t="e">
        <f t="shared" si="251"/>
        <v>#VALUE!</v>
      </c>
      <c r="P1106" s="1" t="e">
        <f t="shared" si="252"/>
        <v>#VALUE!</v>
      </c>
      <c r="Q1106" s="1" t="e">
        <f t="shared" si="253"/>
        <v>#VALUE!</v>
      </c>
      <c r="R1106" s="1" t="e">
        <f t="shared" si="254"/>
        <v>#VALUE!</v>
      </c>
      <c r="S1106" s="1" t="e">
        <f t="shared" si="255"/>
        <v>#VALUE!</v>
      </c>
      <c r="T1106" s="1" t="e">
        <f t="shared" si="256"/>
        <v>#VALUE!</v>
      </c>
      <c r="U1106" s="26" t="e">
        <f t="shared" si="257"/>
        <v>#VALUE!</v>
      </c>
      <c r="V1106" s="26" t="e">
        <f t="shared" si="258"/>
        <v>#VALUE!</v>
      </c>
      <c r="W1106" s="1" t="e">
        <f t="shared" si="259"/>
        <v>#VALUE!</v>
      </c>
      <c r="X1106" s="26" t="e">
        <f t="shared" si="260"/>
        <v>#VALUE!</v>
      </c>
      <c r="Y1106" s="26" t="e">
        <f t="shared" si="261"/>
        <v>#VALUE!</v>
      </c>
      <c r="Z1106" s="1" t="e">
        <f t="shared" si="262"/>
        <v>#VALUE!</v>
      </c>
      <c r="AA1106"/>
      <c r="AB1106"/>
    </row>
    <row r="1107" spans="1:28" x14ac:dyDescent="0.55000000000000004">
      <c r="A1107" s="1">
        <f t="shared" si="249"/>
        <v>1107</v>
      </c>
      <c r="B1107" t="s">
        <v>40</v>
      </c>
      <c r="C1107" t="s">
        <v>119</v>
      </c>
      <c r="D1107" t="s">
        <v>179</v>
      </c>
      <c r="E1107" t="s">
        <v>180</v>
      </c>
      <c r="F1107" t="s">
        <v>251</v>
      </c>
      <c r="G1107" t="s">
        <v>252</v>
      </c>
      <c r="I1107" t="s">
        <v>253</v>
      </c>
      <c r="K1107" t="s">
        <v>254</v>
      </c>
      <c r="M1107" t="s">
        <v>47</v>
      </c>
      <c r="N1107" s="1" t="e">
        <f t="shared" si="250"/>
        <v>#VALUE!</v>
      </c>
      <c r="O1107" s="1" t="e">
        <f t="shared" si="251"/>
        <v>#VALUE!</v>
      </c>
      <c r="P1107" s="1" t="e">
        <f t="shared" si="252"/>
        <v>#VALUE!</v>
      </c>
      <c r="Q1107" s="1" t="e">
        <f t="shared" si="253"/>
        <v>#VALUE!</v>
      </c>
      <c r="R1107" s="1" t="e">
        <f t="shared" si="254"/>
        <v>#VALUE!</v>
      </c>
      <c r="S1107" s="1" t="e">
        <f t="shared" si="255"/>
        <v>#VALUE!</v>
      </c>
      <c r="T1107" s="1" t="e">
        <f t="shared" si="256"/>
        <v>#VALUE!</v>
      </c>
      <c r="U1107" s="26" t="e">
        <f t="shared" si="257"/>
        <v>#VALUE!</v>
      </c>
      <c r="V1107" s="26" t="e">
        <f t="shared" si="258"/>
        <v>#VALUE!</v>
      </c>
      <c r="W1107" s="1" t="e">
        <f t="shared" si="259"/>
        <v>#VALUE!</v>
      </c>
      <c r="X1107" s="26" t="e">
        <f t="shared" si="260"/>
        <v>#VALUE!</v>
      </c>
      <c r="Y1107" s="26" t="e">
        <f t="shared" si="261"/>
        <v>#VALUE!</v>
      </c>
      <c r="Z1107" s="1" t="e">
        <f t="shared" si="262"/>
        <v>#VALUE!</v>
      </c>
      <c r="AA1107"/>
      <c r="AB1107"/>
    </row>
    <row r="1108" spans="1:28" x14ac:dyDescent="0.55000000000000004">
      <c r="A1108" s="1">
        <f t="shared" si="249"/>
        <v>1108</v>
      </c>
      <c r="B1108" t="s">
        <v>32</v>
      </c>
      <c r="D1108" t="s">
        <v>216</v>
      </c>
      <c r="E1108" t="s">
        <v>217</v>
      </c>
      <c r="F1108" t="s">
        <v>375</v>
      </c>
      <c r="G1108" t="s">
        <v>420</v>
      </c>
      <c r="I1108" t="s">
        <v>421</v>
      </c>
      <c r="K1108" t="s">
        <v>75</v>
      </c>
      <c r="M1108" t="s">
        <v>47</v>
      </c>
      <c r="N1108" s="1" t="e">
        <f t="shared" si="250"/>
        <v>#VALUE!</v>
      </c>
      <c r="O1108" s="1" t="e">
        <f t="shared" si="251"/>
        <v>#VALUE!</v>
      </c>
      <c r="P1108" s="1" t="e">
        <f t="shared" si="252"/>
        <v>#VALUE!</v>
      </c>
      <c r="Q1108" s="1" t="e">
        <f t="shared" si="253"/>
        <v>#VALUE!</v>
      </c>
      <c r="R1108" s="1" t="e">
        <f t="shared" si="254"/>
        <v>#VALUE!</v>
      </c>
      <c r="S1108" s="1" t="e">
        <f t="shared" si="255"/>
        <v>#VALUE!</v>
      </c>
      <c r="T1108" s="1" t="e">
        <f t="shared" si="256"/>
        <v>#VALUE!</v>
      </c>
      <c r="U1108" s="26" t="e">
        <f t="shared" si="257"/>
        <v>#VALUE!</v>
      </c>
      <c r="V1108" s="26" t="e">
        <f t="shared" si="258"/>
        <v>#VALUE!</v>
      </c>
      <c r="W1108" s="1" t="e">
        <f t="shared" si="259"/>
        <v>#VALUE!</v>
      </c>
      <c r="X1108" s="26" t="e">
        <f t="shared" si="260"/>
        <v>#VALUE!</v>
      </c>
      <c r="Y1108" s="26" t="e">
        <f t="shared" si="261"/>
        <v>#VALUE!</v>
      </c>
      <c r="Z1108" s="1" t="e">
        <f t="shared" si="262"/>
        <v>#VALUE!</v>
      </c>
      <c r="AA1108"/>
      <c r="AB1108"/>
    </row>
    <row r="1109" spans="1:28" x14ac:dyDescent="0.55000000000000004">
      <c r="A1109" s="1">
        <f t="shared" si="249"/>
        <v>1109</v>
      </c>
      <c r="B1109" t="s">
        <v>32</v>
      </c>
      <c r="D1109" t="s">
        <v>216</v>
      </c>
      <c r="E1109" t="s">
        <v>217</v>
      </c>
      <c r="F1109" t="s">
        <v>422</v>
      </c>
      <c r="G1109" t="s">
        <v>423</v>
      </c>
      <c r="I1109" t="s">
        <v>424</v>
      </c>
      <c r="K1109" t="s">
        <v>425</v>
      </c>
      <c r="M1109" t="s">
        <v>47</v>
      </c>
      <c r="N1109" s="1" t="e">
        <f t="shared" si="250"/>
        <v>#VALUE!</v>
      </c>
      <c r="O1109" s="1" t="e">
        <f t="shared" si="251"/>
        <v>#VALUE!</v>
      </c>
      <c r="P1109" s="1" t="e">
        <f t="shared" si="252"/>
        <v>#VALUE!</v>
      </c>
      <c r="Q1109" s="1" t="e">
        <f t="shared" si="253"/>
        <v>#VALUE!</v>
      </c>
      <c r="R1109" s="1" t="e">
        <f t="shared" si="254"/>
        <v>#VALUE!</v>
      </c>
      <c r="S1109" s="1" t="e">
        <f t="shared" si="255"/>
        <v>#VALUE!</v>
      </c>
      <c r="T1109" s="1" t="e">
        <f t="shared" si="256"/>
        <v>#VALUE!</v>
      </c>
      <c r="U1109" s="26" t="e">
        <f t="shared" si="257"/>
        <v>#VALUE!</v>
      </c>
      <c r="V1109" s="26" t="e">
        <f t="shared" si="258"/>
        <v>#VALUE!</v>
      </c>
      <c r="W1109" s="1" t="e">
        <f t="shared" si="259"/>
        <v>#VALUE!</v>
      </c>
      <c r="X1109" s="26" t="e">
        <f t="shared" si="260"/>
        <v>#VALUE!</v>
      </c>
      <c r="Y1109" s="26" t="e">
        <f t="shared" si="261"/>
        <v>#VALUE!</v>
      </c>
      <c r="Z1109" s="1" t="e">
        <f t="shared" si="262"/>
        <v>#VALUE!</v>
      </c>
      <c r="AA1109"/>
      <c r="AB1109"/>
    </row>
    <row r="1110" spans="1:28" x14ac:dyDescent="0.55000000000000004">
      <c r="A1110" s="1">
        <f t="shared" si="249"/>
        <v>1110</v>
      </c>
      <c r="B1110" t="s">
        <v>32</v>
      </c>
      <c r="D1110" t="s">
        <v>216</v>
      </c>
      <c r="E1110" t="s">
        <v>217</v>
      </c>
      <c r="F1110" t="s">
        <v>181</v>
      </c>
      <c r="G1110" t="s">
        <v>426</v>
      </c>
      <c r="I1110" t="s">
        <v>427</v>
      </c>
      <c r="K1110" t="s">
        <v>103</v>
      </c>
      <c r="M1110" t="s">
        <v>47</v>
      </c>
      <c r="N1110" s="1" t="e">
        <f t="shared" si="250"/>
        <v>#VALUE!</v>
      </c>
      <c r="O1110" s="1" t="e">
        <f t="shared" si="251"/>
        <v>#VALUE!</v>
      </c>
      <c r="P1110" s="1" t="e">
        <f t="shared" si="252"/>
        <v>#VALUE!</v>
      </c>
      <c r="Q1110" s="1" t="e">
        <f t="shared" si="253"/>
        <v>#VALUE!</v>
      </c>
      <c r="R1110" s="1" t="e">
        <f t="shared" si="254"/>
        <v>#VALUE!</v>
      </c>
      <c r="S1110" s="1" t="e">
        <f t="shared" si="255"/>
        <v>#VALUE!</v>
      </c>
      <c r="T1110" s="1" t="e">
        <f t="shared" si="256"/>
        <v>#VALUE!</v>
      </c>
      <c r="U1110" s="26" t="e">
        <f t="shared" si="257"/>
        <v>#VALUE!</v>
      </c>
      <c r="V1110" s="26" t="e">
        <f t="shared" si="258"/>
        <v>#VALUE!</v>
      </c>
      <c r="W1110" s="1" t="e">
        <f t="shared" si="259"/>
        <v>#VALUE!</v>
      </c>
      <c r="X1110" s="26" t="e">
        <f t="shared" si="260"/>
        <v>#VALUE!</v>
      </c>
      <c r="Y1110" s="26" t="e">
        <f t="shared" si="261"/>
        <v>#VALUE!</v>
      </c>
      <c r="Z1110" s="1" t="e">
        <f t="shared" si="262"/>
        <v>#VALUE!</v>
      </c>
      <c r="AA1110"/>
      <c r="AB1110"/>
    </row>
    <row r="1111" spans="1:28" x14ac:dyDescent="0.55000000000000004">
      <c r="A1111" s="1">
        <f t="shared" si="249"/>
        <v>1111</v>
      </c>
      <c r="B1111" t="s">
        <v>32</v>
      </c>
      <c r="D1111" t="s">
        <v>216</v>
      </c>
      <c r="E1111" t="s">
        <v>217</v>
      </c>
      <c r="F1111" t="s">
        <v>315</v>
      </c>
      <c r="G1111" t="s">
        <v>428</v>
      </c>
      <c r="I1111" t="s">
        <v>429</v>
      </c>
      <c r="K1111" t="s">
        <v>430</v>
      </c>
      <c r="M1111" t="s">
        <v>47</v>
      </c>
      <c r="N1111" s="1" t="e">
        <f t="shared" si="250"/>
        <v>#VALUE!</v>
      </c>
      <c r="O1111" s="1" t="e">
        <f t="shared" si="251"/>
        <v>#VALUE!</v>
      </c>
      <c r="P1111" s="1" t="e">
        <f t="shared" si="252"/>
        <v>#VALUE!</v>
      </c>
      <c r="Q1111" s="1" t="e">
        <f t="shared" si="253"/>
        <v>#VALUE!</v>
      </c>
      <c r="R1111" s="1" t="e">
        <f t="shared" si="254"/>
        <v>#VALUE!</v>
      </c>
      <c r="S1111" s="1" t="e">
        <f t="shared" si="255"/>
        <v>#VALUE!</v>
      </c>
      <c r="T1111" s="1" t="e">
        <f t="shared" si="256"/>
        <v>#VALUE!</v>
      </c>
      <c r="U1111" s="26" t="e">
        <f t="shared" si="257"/>
        <v>#VALUE!</v>
      </c>
      <c r="V1111" s="26" t="e">
        <f t="shared" si="258"/>
        <v>#VALUE!</v>
      </c>
      <c r="W1111" s="1" t="e">
        <f t="shared" si="259"/>
        <v>#VALUE!</v>
      </c>
      <c r="X1111" s="26" t="e">
        <f t="shared" si="260"/>
        <v>#VALUE!</v>
      </c>
      <c r="Y1111" s="26" t="e">
        <f t="shared" si="261"/>
        <v>#VALUE!</v>
      </c>
      <c r="Z1111" s="1" t="e">
        <f t="shared" si="262"/>
        <v>#VALUE!</v>
      </c>
      <c r="AA1111"/>
      <c r="AB1111"/>
    </row>
    <row r="1112" spans="1:28" x14ac:dyDescent="0.55000000000000004">
      <c r="A1112" s="1">
        <f t="shared" si="249"/>
        <v>1112</v>
      </c>
      <c r="B1112" t="s">
        <v>32</v>
      </c>
      <c r="D1112" t="s">
        <v>216</v>
      </c>
      <c r="E1112" t="s">
        <v>217</v>
      </c>
      <c r="F1112" t="s">
        <v>431</v>
      </c>
      <c r="G1112" t="s">
        <v>432</v>
      </c>
      <c r="I1112" t="s">
        <v>433</v>
      </c>
      <c r="K1112" t="s">
        <v>434</v>
      </c>
      <c r="M1112" t="s">
        <v>47</v>
      </c>
      <c r="N1112" s="1" t="e">
        <f t="shared" si="250"/>
        <v>#VALUE!</v>
      </c>
      <c r="O1112" s="1" t="e">
        <f t="shared" si="251"/>
        <v>#VALUE!</v>
      </c>
      <c r="P1112" s="1" t="e">
        <f t="shared" si="252"/>
        <v>#VALUE!</v>
      </c>
      <c r="Q1112" s="1" t="e">
        <f t="shared" si="253"/>
        <v>#VALUE!</v>
      </c>
      <c r="R1112" s="1" t="e">
        <f t="shared" si="254"/>
        <v>#VALUE!</v>
      </c>
      <c r="S1112" s="1" t="e">
        <f t="shared" si="255"/>
        <v>#VALUE!</v>
      </c>
      <c r="T1112" s="1" t="e">
        <f t="shared" si="256"/>
        <v>#VALUE!</v>
      </c>
      <c r="U1112" s="26" t="e">
        <f t="shared" si="257"/>
        <v>#VALUE!</v>
      </c>
      <c r="V1112" s="26" t="e">
        <f t="shared" si="258"/>
        <v>#VALUE!</v>
      </c>
      <c r="W1112" s="1" t="e">
        <f t="shared" si="259"/>
        <v>#VALUE!</v>
      </c>
      <c r="X1112" s="26" t="e">
        <f t="shared" si="260"/>
        <v>#VALUE!</v>
      </c>
      <c r="Y1112" s="26" t="e">
        <f t="shared" si="261"/>
        <v>#VALUE!</v>
      </c>
      <c r="Z1112" s="1" t="e">
        <f t="shared" si="262"/>
        <v>#VALUE!</v>
      </c>
      <c r="AA1112"/>
      <c r="AB1112"/>
    </row>
    <row r="1113" spans="1:28" x14ac:dyDescent="0.55000000000000004">
      <c r="A1113" s="1">
        <f t="shared" si="249"/>
        <v>1113</v>
      </c>
      <c r="B1113" t="s">
        <v>32</v>
      </c>
      <c r="D1113" t="s">
        <v>216</v>
      </c>
      <c r="E1113" t="s">
        <v>217</v>
      </c>
      <c r="F1113" t="s">
        <v>431</v>
      </c>
      <c r="G1113" t="s">
        <v>435</v>
      </c>
      <c r="I1113" t="s">
        <v>436</v>
      </c>
      <c r="K1113" t="s">
        <v>437</v>
      </c>
      <c r="M1113" t="s">
        <v>47</v>
      </c>
      <c r="N1113" s="1" t="e">
        <f t="shared" si="250"/>
        <v>#VALUE!</v>
      </c>
      <c r="O1113" s="1" t="e">
        <f t="shared" si="251"/>
        <v>#VALUE!</v>
      </c>
      <c r="P1113" s="1" t="e">
        <f t="shared" si="252"/>
        <v>#VALUE!</v>
      </c>
      <c r="Q1113" s="1" t="e">
        <f t="shared" si="253"/>
        <v>#VALUE!</v>
      </c>
      <c r="R1113" s="1" t="e">
        <f t="shared" si="254"/>
        <v>#VALUE!</v>
      </c>
      <c r="S1113" s="1" t="e">
        <f t="shared" si="255"/>
        <v>#VALUE!</v>
      </c>
      <c r="T1113" s="1" t="e">
        <f t="shared" si="256"/>
        <v>#VALUE!</v>
      </c>
      <c r="U1113" s="26" t="e">
        <f t="shared" si="257"/>
        <v>#VALUE!</v>
      </c>
      <c r="V1113" s="26" t="e">
        <f t="shared" si="258"/>
        <v>#VALUE!</v>
      </c>
      <c r="W1113" s="1" t="e">
        <f t="shared" si="259"/>
        <v>#VALUE!</v>
      </c>
      <c r="X1113" s="26" t="e">
        <f t="shared" si="260"/>
        <v>#VALUE!</v>
      </c>
      <c r="Y1113" s="26" t="e">
        <f t="shared" si="261"/>
        <v>#VALUE!</v>
      </c>
      <c r="Z1113" s="1" t="e">
        <f t="shared" si="262"/>
        <v>#VALUE!</v>
      </c>
      <c r="AA1113"/>
      <c r="AB1113"/>
    </row>
    <row r="1114" spans="1:28" x14ac:dyDescent="0.55000000000000004">
      <c r="A1114" s="1">
        <f t="shared" si="249"/>
        <v>1114</v>
      </c>
      <c r="B1114" t="s">
        <v>32</v>
      </c>
      <c r="D1114" t="s">
        <v>216</v>
      </c>
      <c r="E1114" t="s">
        <v>217</v>
      </c>
      <c r="F1114" t="s">
        <v>431</v>
      </c>
      <c r="G1114" t="s">
        <v>438</v>
      </c>
      <c r="I1114" t="s">
        <v>439</v>
      </c>
      <c r="K1114" t="s">
        <v>440</v>
      </c>
      <c r="M1114" t="s">
        <v>47</v>
      </c>
      <c r="N1114" s="1" t="e">
        <f t="shared" si="250"/>
        <v>#VALUE!</v>
      </c>
      <c r="O1114" s="1" t="e">
        <f t="shared" si="251"/>
        <v>#VALUE!</v>
      </c>
      <c r="P1114" s="1" t="e">
        <f t="shared" si="252"/>
        <v>#VALUE!</v>
      </c>
      <c r="Q1114" s="1" t="e">
        <f t="shared" si="253"/>
        <v>#VALUE!</v>
      </c>
      <c r="R1114" s="1" t="e">
        <f t="shared" si="254"/>
        <v>#VALUE!</v>
      </c>
      <c r="S1114" s="1" t="e">
        <f t="shared" si="255"/>
        <v>#VALUE!</v>
      </c>
      <c r="T1114" s="1" t="e">
        <f t="shared" si="256"/>
        <v>#VALUE!</v>
      </c>
      <c r="U1114" s="26" t="e">
        <f t="shared" si="257"/>
        <v>#VALUE!</v>
      </c>
      <c r="V1114" s="26" t="e">
        <f t="shared" si="258"/>
        <v>#VALUE!</v>
      </c>
      <c r="W1114" s="1" t="e">
        <f t="shared" si="259"/>
        <v>#VALUE!</v>
      </c>
      <c r="X1114" s="26" t="e">
        <f t="shared" si="260"/>
        <v>#VALUE!</v>
      </c>
      <c r="Y1114" s="26" t="e">
        <f t="shared" si="261"/>
        <v>#VALUE!</v>
      </c>
      <c r="Z1114" s="1" t="e">
        <f t="shared" si="262"/>
        <v>#VALUE!</v>
      </c>
      <c r="AA1114"/>
      <c r="AB1114"/>
    </row>
    <row r="1115" spans="1:28" x14ac:dyDescent="0.55000000000000004">
      <c r="A1115" s="1">
        <f t="shared" si="249"/>
        <v>1115</v>
      </c>
      <c r="B1115" t="s">
        <v>32</v>
      </c>
      <c r="D1115" t="s">
        <v>216</v>
      </c>
      <c r="E1115" t="s">
        <v>217</v>
      </c>
      <c r="F1115" t="s">
        <v>311</v>
      </c>
      <c r="G1115" t="s">
        <v>441</v>
      </c>
      <c r="I1115" t="s">
        <v>442</v>
      </c>
      <c r="K1115" t="s">
        <v>443</v>
      </c>
      <c r="M1115" t="s">
        <v>47</v>
      </c>
      <c r="N1115" s="1" t="e">
        <f t="shared" si="250"/>
        <v>#VALUE!</v>
      </c>
      <c r="O1115" s="1" t="e">
        <f t="shared" si="251"/>
        <v>#VALUE!</v>
      </c>
      <c r="P1115" s="1" t="e">
        <f t="shared" si="252"/>
        <v>#VALUE!</v>
      </c>
      <c r="Q1115" s="1" t="e">
        <f t="shared" si="253"/>
        <v>#VALUE!</v>
      </c>
      <c r="R1115" s="1" t="e">
        <f t="shared" si="254"/>
        <v>#VALUE!</v>
      </c>
      <c r="S1115" s="1" t="e">
        <f t="shared" si="255"/>
        <v>#VALUE!</v>
      </c>
      <c r="T1115" s="1" t="e">
        <f t="shared" si="256"/>
        <v>#VALUE!</v>
      </c>
      <c r="U1115" s="26" t="e">
        <f t="shared" si="257"/>
        <v>#VALUE!</v>
      </c>
      <c r="V1115" s="26" t="e">
        <f t="shared" si="258"/>
        <v>#VALUE!</v>
      </c>
      <c r="W1115" s="1" t="e">
        <f t="shared" si="259"/>
        <v>#VALUE!</v>
      </c>
      <c r="X1115" s="26" t="e">
        <f t="shared" si="260"/>
        <v>#VALUE!</v>
      </c>
      <c r="Y1115" s="26" t="e">
        <f t="shared" si="261"/>
        <v>#VALUE!</v>
      </c>
      <c r="Z1115" s="1" t="e">
        <f t="shared" si="262"/>
        <v>#VALUE!</v>
      </c>
      <c r="AA1115"/>
      <c r="AB1115"/>
    </row>
    <row r="1116" spans="1:28" x14ac:dyDescent="0.55000000000000004">
      <c r="A1116" s="1">
        <f t="shared" si="249"/>
        <v>1116</v>
      </c>
      <c r="B1116" t="s">
        <v>32</v>
      </c>
      <c r="D1116" t="s">
        <v>216</v>
      </c>
      <c r="E1116" t="s">
        <v>217</v>
      </c>
      <c r="F1116" t="s">
        <v>202</v>
      </c>
      <c r="G1116" t="s">
        <v>444</v>
      </c>
      <c r="I1116" t="s">
        <v>445</v>
      </c>
      <c r="K1116" t="s">
        <v>446</v>
      </c>
      <c r="M1116" t="s">
        <v>47</v>
      </c>
      <c r="N1116" s="1" t="e">
        <f t="shared" si="250"/>
        <v>#VALUE!</v>
      </c>
      <c r="O1116" s="1" t="e">
        <f t="shared" si="251"/>
        <v>#VALUE!</v>
      </c>
      <c r="P1116" s="1" t="e">
        <f t="shared" si="252"/>
        <v>#VALUE!</v>
      </c>
      <c r="Q1116" s="1" t="e">
        <f t="shared" si="253"/>
        <v>#VALUE!</v>
      </c>
      <c r="R1116" s="1" t="e">
        <f t="shared" si="254"/>
        <v>#VALUE!</v>
      </c>
      <c r="S1116" s="1" t="e">
        <f t="shared" si="255"/>
        <v>#VALUE!</v>
      </c>
      <c r="T1116" s="1" t="e">
        <f t="shared" si="256"/>
        <v>#VALUE!</v>
      </c>
      <c r="U1116" s="26" t="e">
        <f t="shared" si="257"/>
        <v>#VALUE!</v>
      </c>
      <c r="V1116" s="26" t="e">
        <f t="shared" si="258"/>
        <v>#VALUE!</v>
      </c>
      <c r="W1116" s="1" t="e">
        <f t="shared" si="259"/>
        <v>#VALUE!</v>
      </c>
      <c r="X1116" s="26" t="e">
        <f t="shared" si="260"/>
        <v>#VALUE!</v>
      </c>
      <c r="Y1116" s="26" t="e">
        <f t="shared" si="261"/>
        <v>#VALUE!</v>
      </c>
      <c r="Z1116" s="1" t="e">
        <f t="shared" si="262"/>
        <v>#VALUE!</v>
      </c>
      <c r="AA1116"/>
      <c r="AB1116"/>
    </row>
    <row r="1117" spans="1:28" x14ac:dyDescent="0.55000000000000004">
      <c r="A1117" s="1">
        <f t="shared" si="249"/>
        <v>1117</v>
      </c>
      <c r="B1117" t="s">
        <v>32</v>
      </c>
      <c r="D1117" t="s">
        <v>216</v>
      </c>
      <c r="E1117" t="s">
        <v>217</v>
      </c>
      <c r="F1117" t="s">
        <v>447</v>
      </c>
      <c r="G1117" t="s">
        <v>448</v>
      </c>
      <c r="I1117" t="s">
        <v>449</v>
      </c>
      <c r="K1117" t="s">
        <v>143</v>
      </c>
      <c r="M1117" t="s">
        <v>47</v>
      </c>
      <c r="N1117" s="1" t="e">
        <f t="shared" si="250"/>
        <v>#VALUE!</v>
      </c>
      <c r="O1117" s="1" t="e">
        <f t="shared" si="251"/>
        <v>#VALUE!</v>
      </c>
      <c r="P1117" s="1" t="e">
        <f t="shared" si="252"/>
        <v>#VALUE!</v>
      </c>
      <c r="Q1117" s="1" t="e">
        <f t="shared" si="253"/>
        <v>#VALUE!</v>
      </c>
      <c r="R1117" s="1" t="e">
        <f t="shared" si="254"/>
        <v>#VALUE!</v>
      </c>
      <c r="S1117" s="1" t="e">
        <f t="shared" si="255"/>
        <v>#VALUE!</v>
      </c>
      <c r="T1117" s="1" t="e">
        <f t="shared" si="256"/>
        <v>#VALUE!</v>
      </c>
      <c r="U1117" s="26" t="e">
        <f t="shared" si="257"/>
        <v>#VALUE!</v>
      </c>
      <c r="V1117" s="26" t="e">
        <f t="shared" si="258"/>
        <v>#VALUE!</v>
      </c>
      <c r="W1117" s="1" t="e">
        <f t="shared" si="259"/>
        <v>#VALUE!</v>
      </c>
      <c r="X1117" s="26" t="e">
        <f t="shared" si="260"/>
        <v>#VALUE!</v>
      </c>
      <c r="Y1117" s="26" t="e">
        <f t="shared" si="261"/>
        <v>#VALUE!</v>
      </c>
      <c r="Z1117" s="1" t="e">
        <f t="shared" si="262"/>
        <v>#VALUE!</v>
      </c>
      <c r="AA1117"/>
      <c r="AB1117"/>
    </row>
    <row r="1118" spans="1:28" x14ac:dyDescent="0.55000000000000004">
      <c r="A1118" s="1">
        <f t="shared" si="249"/>
        <v>1118</v>
      </c>
      <c r="B1118" t="s">
        <v>32</v>
      </c>
      <c r="D1118" t="s">
        <v>216</v>
      </c>
      <c r="E1118" t="s">
        <v>217</v>
      </c>
      <c r="F1118" t="s">
        <v>450</v>
      </c>
      <c r="G1118" t="s">
        <v>451</v>
      </c>
      <c r="I1118" t="s">
        <v>452</v>
      </c>
      <c r="K1118" t="s">
        <v>453</v>
      </c>
      <c r="M1118" t="s">
        <v>47</v>
      </c>
      <c r="N1118" s="1" t="e">
        <f t="shared" si="250"/>
        <v>#VALUE!</v>
      </c>
      <c r="O1118" s="1" t="e">
        <f t="shared" si="251"/>
        <v>#VALUE!</v>
      </c>
      <c r="P1118" s="1" t="e">
        <f t="shared" si="252"/>
        <v>#VALUE!</v>
      </c>
      <c r="Q1118" s="1" t="e">
        <f t="shared" si="253"/>
        <v>#VALUE!</v>
      </c>
      <c r="R1118" s="1" t="e">
        <f t="shared" si="254"/>
        <v>#VALUE!</v>
      </c>
      <c r="S1118" s="1" t="e">
        <f t="shared" si="255"/>
        <v>#VALUE!</v>
      </c>
      <c r="T1118" s="1" t="e">
        <f t="shared" si="256"/>
        <v>#VALUE!</v>
      </c>
      <c r="U1118" s="26" t="e">
        <f t="shared" si="257"/>
        <v>#VALUE!</v>
      </c>
      <c r="V1118" s="26" t="e">
        <f t="shared" si="258"/>
        <v>#VALUE!</v>
      </c>
      <c r="W1118" s="1" t="e">
        <f t="shared" si="259"/>
        <v>#VALUE!</v>
      </c>
      <c r="X1118" s="26" t="e">
        <f t="shared" si="260"/>
        <v>#VALUE!</v>
      </c>
      <c r="Y1118" s="26" t="e">
        <f t="shared" si="261"/>
        <v>#VALUE!</v>
      </c>
      <c r="Z1118" s="1" t="e">
        <f t="shared" si="262"/>
        <v>#VALUE!</v>
      </c>
      <c r="AA1118"/>
      <c r="AB1118"/>
    </row>
    <row r="1119" spans="1:28" x14ac:dyDescent="0.55000000000000004">
      <c r="A1119" s="1">
        <f t="shared" si="249"/>
        <v>1119</v>
      </c>
      <c r="B1119" t="s">
        <v>39</v>
      </c>
      <c r="C1119" t="s">
        <v>124</v>
      </c>
      <c r="D1119" t="s">
        <v>216</v>
      </c>
      <c r="E1119" t="s">
        <v>217</v>
      </c>
      <c r="F1119" t="s">
        <v>218</v>
      </c>
      <c r="G1119" t="s">
        <v>219</v>
      </c>
      <c r="I1119" t="s">
        <v>220</v>
      </c>
      <c r="K1119" t="s">
        <v>221</v>
      </c>
      <c r="M1119" t="s">
        <v>47</v>
      </c>
      <c r="N1119" s="1" t="e">
        <f t="shared" si="250"/>
        <v>#VALUE!</v>
      </c>
      <c r="O1119" s="1" t="e">
        <f t="shared" si="251"/>
        <v>#VALUE!</v>
      </c>
      <c r="P1119" s="1" t="e">
        <f t="shared" si="252"/>
        <v>#VALUE!</v>
      </c>
      <c r="Q1119" s="1" t="e">
        <f t="shared" si="253"/>
        <v>#VALUE!</v>
      </c>
      <c r="R1119" s="1" t="e">
        <f t="shared" si="254"/>
        <v>#VALUE!</v>
      </c>
      <c r="S1119" s="1" t="e">
        <f t="shared" si="255"/>
        <v>#VALUE!</v>
      </c>
      <c r="T1119" s="1" t="e">
        <f t="shared" si="256"/>
        <v>#VALUE!</v>
      </c>
      <c r="U1119" s="26" t="e">
        <f t="shared" si="257"/>
        <v>#VALUE!</v>
      </c>
      <c r="V1119" s="26" t="e">
        <f t="shared" si="258"/>
        <v>#VALUE!</v>
      </c>
      <c r="W1119" s="1" t="e">
        <f t="shared" si="259"/>
        <v>#VALUE!</v>
      </c>
      <c r="X1119" s="26" t="e">
        <f t="shared" si="260"/>
        <v>#VALUE!</v>
      </c>
      <c r="Y1119" s="26" t="e">
        <f t="shared" si="261"/>
        <v>#VALUE!</v>
      </c>
      <c r="Z1119" s="1" t="e">
        <f t="shared" si="262"/>
        <v>#VALUE!</v>
      </c>
      <c r="AA1119"/>
      <c r="AB1119"/>
    </row>
    <row r="1120" spans="1:28" x14ac:dyDescent="0.55000000000000004">
      <c r="A1120" s="1">
        <f t="shared" si="249"/>
        <v>1120</v>
      </c>
      <c r="B1120" t="s">
        <v>39</v>
      </c>
      <c r="C1120" t="s">
        <v>124</v>
      </c>
      <c r="D1120" t="s">
        <v>216</v>
      </c>
      <c r="E1120" t="s">
        <v>217</v>
      </c>
      <c r="F1120" t="s">
        <v>218</v>
      </c>
      <c r="G1120" t="s">
        <v>222</v>
      </c>
      <c r="I1120" t="s">
        <v>223</v>
      </c>
      <c r="K1120" t="s">
        <v>224</v>
      </c>
      <c r="M1120" t="s">
        <v>47</v>
      </c>
      <c r="N1120" s="1" t="e">
        <f t="shared" si="250"/>
        <v>#VALUE!</v>
      </c>
      <c r="O1120" s="1" t="e">
        <f t="shared" si="251"/>
        <v>#VALUE!</v>
      </c>
      <c r="P1120" s="1" t="e">
        <f t="shared" si="252"/>
        <v>#VALUE!</v>
      </c>
      <c r="Q1120" s="1" t="e">
        <f t="shared" si="253"/>
        <v>#VALUE!</v>
      </c>
      <c r="R1120" s="1" t="e">
        <f t="shared" si="254"/>
        <v>#VALUE!</v>
      </c>
      <c r="S1120" s="1" t="e">
        <f t="shared" si="255"/>
        <v>#VALUE!</v>
      </c>
      <c r="T1120" s="1" t="e">
        <f t="shared" si="256"/>
        <v>#VALUE!</v>
      </c>
      <c r="U1120" s="26" t="e">
        <f t="shared" si="257"/>
        <v>#VALUE!</v>
      </c>
      <c r="V1120" s="26" t="e">
        <f t="shared" si="258"/>
        <v>#VALUE!</v>
      </c>
      <c r="W1120" s="1" t="e">
        <f t="shared" si="259"/>
        <v>#VALUE!</v>
      </c>
      <c r="X1120" s="26" t="e">
        <f t="shared" si="260"/>
        <v>#VALUE!</v>
      </c>
      <c r="Y1120" s="26" t="e">
        <f t="shared" si="261"/>
        <v>#VALUE!</v>
      </c>
      <c r="Z1120" s="1" t="e">
        <f t="shared" si="262"/>
        <v>#VALUE!</v>
      </c>
      <c r="AA1120"/>
      <c r="AB1120"/>
    </row>
    <row r="1121" spans="1:28" x14ac:dyDescent="0.55000000000000004">
      <c r="A1121" s="1">
        <f t="shared" si="249"/>
        <v>1121</v>
      </c>
      <c r="B1121" t="s">
        <v>39</v>
      </c>
      <c r="C1121" t="s">
        <v>124</v>
      </c>
      <c r="D1121" t="s">
        <v>216</v>
      </c>
      <c r="E1121" t="s">
        <v>217</v>
      </c>
      <c r="F1121" t="s">
        <v>218</v>
      </c>
      <c r="G1121" t="s">
        <v>225</v>
      </c>
      <c r="I1121" t="s">
        <v>226</v>
      </c>
      <c r="K1121" t="s">
        <v>227</v>
      </c>
      <c r="M1121" t="s">
        <v>47</v>
      </c>
      <c r="N1121" s="1" t="e">
        <f t="shared" si="250"/>
        <v>#VALUE!</v>
      </c>
      <c r="O1121" s="1" t="e">
        <f t="shared" si="251"/>
        <v>#VALUE!</v>
      </c>
      <c r="P1121" s="1" t="e">
        <f t="shared" si="252"/>
        <v>#VALUE!</v>
      </c>
      <c r="Q1121" s="1" t="e">
        <f t="shared" si="253"/>
        <v>#VALUE!</v>
      </c>
      <c r="R1121" s="1" t="e">
        <f t="shared" si="254"/>
        <v>#VALUE!</v>
      </c>
      <c r="S1121" s="1" t="e">
        <f t="shared" si="255"/>
        <v>#VALUE!</v>
      </c>
      <c r="T1121" s="1" t="e">
        <f t="shared" si="256"/>
        <v>#VALUE!</v>
      </c>
      <c r="U1121" s="26" t="e">
        <f t="shared" si="257"/>
        <v>#VALUE!</v>
      </c>
      <c r="V1121" s="26" t="e">
        <f t="shared" si="258"/>
        <v>#VALUE!</v>
      </c>
      <c r="W1121" s="1" t="e">
        <f t="shared" si="259"/>
        <v>#VALUE!</v>
      </c>
      <c r="X1121" s="26" t="e">
        <f t="shared" si="260"/>
        <v>#VALUE!</v>
      </c>
      <c r="Y1121" s="26" t="e">
        <f t="shared" si="261"/>
        <v>#VALUE!</v>
      </c>
      <c r="Z1121" s="1" t="e">
        <f t="shared" si="262"/>
        <v>#VALUE!</v>
      </c>
      <c r="AA1121"/>
      <c r="AB1121"/>
    </row>
    <row r="1122" spans="1:28" x14ac:dyDescent="0.55000000000000004">
      <c r="A1122" s="1">
        <f t="shared" si="249"/>
        <v>1122</v>
      </c>
      <c r="B1122" t="s">
        <v>32</v>
      </c>
      <c r="D1122" t="s">
        <v>177</v>
      </c>
      <c r="E1122" t="s">
        <v>203</v>
      </c>
      <c r="F1122" t="s">
        <v>182</v>
      </c>
      <c r="G1122" t="s">
        <v>454</v>
      </c>
      <c r="I1122" t="s">
        <v>455</v>
      </c>
      <c r="K1122" t="s">
        <v>456</v>
      </c>
      <c r="M1122" t="s">
        <v>47</v>
      </c>
      <c r="N1122" s="1" t="e">
        <f t="shared" si="250"/>
        <v>#VALUE!</v>
      </c>
      <c r="O1122" s="1" t="e">
        <f t="shared" si="251"/>
        <v>#VALUE!</v>
      </c>
      <c r="P1122" s="1" t="e">
        <f t="shared" si="252"/>
        <v>#VALUE!</v>
      </c>
      <c r="Q1122" s="1" t="e">
        <f t="shared" si="253"/>
        <v>#VALUE!</v>
      </c>
      <c r="R1122" s="1" t="e">
        <f t="shared" si="254"/>
        <v>#VALUE!</v>
      </c>
      <c r="S1122" s="1" t="e">
        <f t="shared" si="255"/>
        <v>#VALUE!</v>
      </c>
      <c r="T1122" s="1" t="e">
        <f t="shared" si="256"/>
        <v>#VALUE!</v>
      </c>
      <c r="U1122" s="26" t="e">
        <f t="shared" si="257"/>
        <v>#VALUE!</v>
      </c>
      <c r="V1122" s="26" t="e">
        <f t="shared" si="258"/>
        <v>#VALUE!</v>
      </c>
      <c r="W1122" s="1" t="e">
        <f t="shared" si="259"/>
        <v>#VALUE!</v>
      </c>
      <c r="X1122" s="26" t="e">
        <f t="shared" si="260"/>
        <v>#VALUE!</v>
      </c>
      <c r="Y1122" s="26" t="e">
        <f t="shared" si="261"/>
        <v>#VALUE!</v>
      </c>
      <c r="Z1122" s="1" t="e">
        <f t="shared" si="262"/>
        <v>#VALUE!</v>
      </c>
      <c r="AA1122"/>
      <c r="AB1122"/>
    </row>
    <row r="1123" spans="1:28" x14ac:dyDescent="0.55000000000000004">
      <c r="A1123" s="1">
        <f t="shared" si="249"/>
        <v>1123</v>
      </c>
      <c r="B1123" t="s">
        <v>32</v>
      </c>
      <c r="D1123" t="s">
        <v>177</v>
      </c>
      <c r="E1123" t="s">
        <v>203</v>
      </c>
      <c r="F1123" t="s">
        <v>457</v>
      </c>
      <c r="G1123" t="s">
        <v>458</v>
      </c>
      <c r="I1123" t="s">
        <v>459</v>
      </c>
      <c r="K1123" t="s">
        <v>460</v>
      </c>
      <c r="M1123" t="s">
        <v>47</v>
      </c>
      <c r="N1123" s="1" t="e">
        <f t="shared" si="250"/>
        <v>#VALUE!</v>
      </c>
      <c r="O1123" s="1" t="e">
        <f t="shared" si="251"/>
        <v>#VALUE!</v>
      </c>
      <c r="P1123" s="1" t="e">
        <f t="shared" si="252"/>
        <v>#VALUE!</v>
      </c>
      <c r="Q1123" s="1" t="e">
        <f t="shared" si="253"/>
        <v>#VALUE!</v>
      </c>
      <c r="R1123" s="1" t="e">
        <f t="shared" si="254"/>
        <v>#VALUE!</v>
      </c>
      <c r="S1123" s="1" t="e">
        <f t="shared" si="255"/>
        <v>#VALUE!</v>
      </c>
      <c r="T1123" s="1" t="e">
        <f t="shared" si="256"/>
        <v>#VALUE!</v>
      </c>
      <c r="U1123" s="26" t="e">
        <f t="shared" si="257"/>
        <v>#VALUE!</v>
      </c>
      <c r="V1123" s="26" t="e">
        <f t="shared" si="258"/>
        <v>#VALUE!</v>
      </c>
      <c r="W1123" s="1" t="e">
        <f t="shared" si="259"/>
        <v>#VALUE!</v>
      </c>
      <c r="X1123" s="26" t="e">
        <f t="shared" si="260"/>
        <v>#VALUE!</v>
      </c>
      <c r="Y1123" s="26" t="e">
        <f t="shared" si="261"/>
        <v>#VALUE!</v>
      </c>
      <c r="Z1123" s="1" t="e">
        <f t="shared" si="262"/>
        <v>#VALUE!</v>
      </c>
      <c r="AA1123"/>
      <c r="AB1123"/>
    </row>
    <row r="1124" spans="1:28" x14ac:dyDescent="0.55000000000000004">
      <c r="A1124" s="1">
        <f t="shared" si="249"/>
        <v>1124</v>
      </c>
      <c r="B1124" t="s">
        <v>32</v>
      </c>
      <c r="D1124" t="s">
        <v>177</v>
      </c>
      <c r="E1124" t="s">
        <v>203</v>
      </c>
      <c r="F1124" t="s">
        <v>302</v>
      </c>
      <c r="G1124" t="s">
        <v>461</v>
      </c>
      <c r="I1124" t="s">
        <v>462</v>
      </c>
      <c r="K1124" t="s">
        <v>463</v>
      </c>
      <c r="M1124" t="s">
        <v>47</v>
      </c>
      <c r="N1124" s="1" t="e">
        <f t="shared" si="250"/>
        <v>#VALUE!</v>
      </c>
      <c r="O1124" s="1" t="e">
        <f t="shared" si="251"/>
        <v>#VALUE!</v>
      </c>
      <c r="P1124" s="1" t="e">
        <f t="shared" si="252"/>
        <v>#VALUE!</v>
      </c>
      <c r="Q1124" s="1" t="e">
        <f t="shared" si="253"/>
        <v>#VALUE!</v>
      </c>
      <c r="R1124" s="1" t="e">
        <f t="shared" si="254"/>
        <v>#VALUE!</v>
      </c>
      <c r="S1124" s="1" t="e">
        <f t="shared" si="255"/>
        <v>#VALUE!</v>
      </c>
      <c r="T1124" s="1" t="e">
        <f t="shared" si="256"/>
        <v>#VALUE!</v>
      </c>
      <c r="U1124" s="26" t="e">
        <f t="shared" si="257"/>
        <v>#VALUE!</v>
      </c>
      <c r="V1124" s="26" t="e">
        <f t="shared" si="258"/>
        <v>#VALUE!</v>
      </c>
      <c r="W1124" s="1" t="e">
        <f t="shared" si="259"/>
        <v>#VALUE!</v>
      </c>
      <c r="X1124" s="26" t="e">
        <f t="shared" si="260"/>
        <v>#VALUE!</v>
      </c>
      <c r="Y1124" s="26" t="e">
        <f t="shared" si="261"/>
        <v>#VALUE!</v>
      </c>
      <c r="Z1124" s="1" t="e">
        <f t="shared" si="262"/>
        <v>#VALUE!</v>
      </c>
      <c r="AA1124"/>
      <c r="AB1124"/>
    </row>
    <row r="1125" spans="1:28" x14ac:dyDescent="0.55000000000000004">
      <c r="A1125" s="1">
        <f t="shared" si="249"/>
        <v>1125</v>
      </c>
      <c r="B1125" t="s">
        <v>35</v>
      </c>
      <c r="C1125" t="s">
        <v>197</v>
      </c>
      <c r="D1125" t="s">
        <v>177</v>
      </c>
      <c r="E1125" t="s">
        <v>203</v>
      </c>
      <c r="F1125" t="s">
        <v>181</v>
      </c>
      <c r="G1125" t="s">
        <v>204</v>
      </c>
      <c r="I1125" t="s">
        <v>205</v>
      </c>
      <c r="K1125" t="s">
        <v>206</v>
      </c>
      <c r="M1125" t="s">
        <v>47</v>
      </c>
      <c r="N1125" s="1" t="e">
        <f t="shared" si="250"/>
        <v>#VALUE!</v>
      </c>
      <c r="O1125" s="1" t="e">
        <f t="shared" si="251"/>
        <v>#VALUE!</v>
      </c>
      <c r="P1125" s="1" t="e">
        <f t="shared" si="252"/>
        <v>#VALUE!</v>
      </c>
      <c r="Q1125" s="1" t="e">
        <f t="shared" si="253"/>
        <v>#VALUE!</v>
      </c>
      <c r="R1125" s="1" t="e">
        <f t="shared" si="254"/>
        <v>#VALUE!</v>
      </c>
      <c r="S1125" s="1" t="e">
        <f t="shared" si="255"/>
        <v>#VALUE!</v>
      </c>
      <c r="T1125" s="1" t="e">
        <f t="shared" si="256"/>
        <v>#VALUE!</v>
      </c>
      <c r="U1125" s="26" t="e">
        <f t="shared" si="257"/>
        <v>#VALUE!</v>
      </c>
      <c r="V1125" s="26" t="e">
        <f t="shared" si="258"/>
        <v>#VALUE!</v>
      </c>
      <c r="W1125" s="1" t="e">
        <f t="shared" si="259"/>
        <v>#VALUE!</v>
      </c>
      <c r="X1125" s="26" t="e">
        <f t="shared" si="260"/>
        <v>#VALUE!</v>
      </c>
      <c r="Y1125" s="26" t="e">
        <f t="shared" si="261"/>
        <v>#VALUE!</v>
      </c>
      <c r="Z1125" s="1" t="e">
        <f t="shared" si="262"/>
        <v>#VALUE!</v>
      </c>
      <c r="AA1125"/>
      <c r="AB1125"/>
    </row>
    <row r="1126" spans="1:28" x14ac:dyDescent="0.55000000000000004">
      <c r="A1126" s="1">
        <f t="shared" si="249"/>
        <v>1126</v>
      </c>
      <c r="B1126" t="s">
        <v>35</v>
      </c>
      <c r="C1126" t="s">
        <v>114</v>
      </c>
      <c r="D1126" t="s">
        <v>177</v>
      </c>
      <c r="E1126" t="s">
        <v>203</v>
      </c>
      <c r="F1126" t="s">
        <v>181</v>
      </c>
      <c r="G1126" t="s">
        <v>207</v>
      </c>
      <c r="I1126" t="s">
        <v>208</v>
      </c>
      <c r="K1126" t="s">
        <v>209</v>
      </c>
      <c r="M1126" t="s">
        <v>47</v>
      </c>
      <c r="N1126" s="1" t="e">
        <f t="shared" si="250"/>
        <v>#VALUE!</v>
      </c>
      <c r="O1126" s="1" t="e">
        <f t="shared" si="251"/>
        <v>#VALUE!</v>
      </c>
      <c r="P1126" s="1" t="e">
        <f t="shared" si="252"/>
        <v>#VALUE!</v>
      </c>
      <c r="Q1126" s="1" t="e">
        <f t="shared" si="253"/>
        <v>#VALUE!</v>
      </c>
      <c r="R1126" s="1" t="e">
        <f t="shared" si="254"/>
        <v>#VALUE!</v>
      </c>
      <c r="S1126" s="1" t="e">
        <f t="shared" si="255"/>
        <v>#VALUE!</v>
      </c>
      <c r="T1126" s="1" t="e">
        <f t="shared" si="256"/>
        <v>#VALUE!</v>
      </c>
      <c r="U1126" s="26" t="e">
        <f t="shared" si="257"/>
        <v>#VALUE!</v>
      </c>
      <c r="V1126" s="26" t="e">
        <f t="shared" si="258"/>
        <v>#VALUE!</v>
      </c>
      <c r="W1126" s="1" t="e">
        <f t="shared" si="259"/>
        <v>#VALUE!</v>
      </c>
      <c r="X1126" s="26" t="e">
        <f t="shared" si="260"/>
        <v>#VALUE!</v>
      </c>
      <c r="Y1126" s="26" t="e">
        <f t="shared" si="261"/>
        <v>#VALUE!</v>
      </c>
      <c r="Z1126" s="1" t="e">
        <f t="shared" si="262"/>
        <v>#VALUE!</v>
      </c>
      <c r="AA1126"/>
      <c r="AB1126"/>
    </row>
    <row r="1127" spans="1:28" x14ac:dyDescent="0.55000000000000004">
      <c r="A1127" s="1">
        <f t="shared" si="249"/>
        <v>1127</v>
      </c>
      <c r="B1127" t="s">
        <v>39</v>
      </c>
      <c r="C1127" t="s">
        <v>124</v>
      </c>
      <c r="D1127" t="s">
        <v>177</v>
      </c>
      <c r="E1127" t="s">
        <v>203</v>
      </c>
      <c r="F1127" t="s">
        <v>218</v>
      </c>
      <c r="G1127" t="s">
        <v>228</v>
      </c>
      <c r="I1127" t="s">
        <v>229</v>
      </c>
      <c r="K1127" t="s">
        <v>230</v>
      </c>
      <c r="M1127" t="s">
        <v>47</v>
      </c>
      <c r="N1127" s="1" t="e">
        <f t="shared" si="250"/>
        <v>#VALUE!</v>
      </c>
      <c r="O1127" s="1" t="e">
        <f t="shared" si="251"/>
        <v>#VALUE!</v>
      </c>
      <c r="P1127" s="1" t="e">
        <f t="shared" si="252"/>
        <v>#VALUE!</v>
      </c>
      <c r="Q1127" s="1" t="e">
        <f t="shared" si="253"/>
        <v>#VALUE!</v>
      </c>
      <c r="R1127" s="1" t="e">
        <f t="shared" si="254"/>
        <v>#VALUE!</v>
      </c>
      <c r="S1127" s="1" t="e">
        <f t="shared" si="255"/>
        <v>#VALUE!</v>
      </c>
      <c r="T1127" s="1" t="e">
        <f t="shared" si="256"/>
        <v>#VALUE!</v>
      </c>
      <c r="U1127" s="26" t="e">
        <f t="shared" si="257"/>
        <v>#VALUE!</v>
      </c>
      <c r="V1127" s="26" t="e">
        <f t="shared" si="258"/>
        <v>#VALUE!</v>
      </c>
      <c r="W1127" s="1" t="e">
        <f t="shared" si="259"/>
        <v>#VALUE!</v>
      </c>
      <c r="X1127" s="26" t="e">
        <f t="shared" si="260"/>
        <v>#VALUE!</v>
      </c>
      <c r="Y1127" s="26" t="e">
        <f t="shared" si="261"/>
        <v>#VALUE!</v>
      </c>
      <c r="Z1127" s="1" t="e">
        <f t="shared" si="262"/>
        <v>#VALUE!</v>
      </c>
      <c r="AA1127"/>
      <c r="AB1127"/>
    </row>
    <row r="1128" spans="1:28" x14ac:dyDescent="0.55000000000000004">
      <c r="A1128" s="1">
        <f t="shared" si="249"/>
        <v>1128</v>
      </c>
      <c r="B1128" t="s">
        <v>39</v>
      </c>
      <c r="C1128" t="s">
        <v>124</v>
      </c>
      <c r="D1128" t="s">
        <v>177</v>
      </c>
      <c r="E1128" t="s">
        <v>203</v>
      </c>
      <c r="F1128" t="s">
        <v>218</v>
      </c>
      <c r="G1128" t="s">
        <v>231</v>
      </c>
      <c r="I1128" t="s">
        <v>232</v>
      </c>
      <c r="K1128" t="s">
        <v>233</v>
      </c>
      <c r="M1128" t="s">
        <v>47</v>
      </c>
      <c r="N1128" s="1" t="e">
        <f t="shared" si="250"/>
        <v>#VALUE!</v>
      </c>
      <c r="O1128" s="1" t="e">
        <f t="shared" si="251"/>
        <v>#VALUE!</v>
      </c>
      <c r="P1128" s="1" t="e">
        <f t="shared" si="252"/>
        <v>#VALUE!</v>
      </c>
      <c r="Q1128" s="1" t="e">
        <f t="shared" si="253"/>
        <v>#VALUE!</v>
      </c>
      <c r="R1128" s="1" t="e">
        <f t="shared" si="254"/>
        <v>#VALUE!</v>
      </c>
      <c r="S1128" s="1" t="e">
        <f t="shared" si="255"/>
        <v>#VALUE!</v>
      </c>
      <c r="T1128" s="1" t="e">
        <f t="shared" si="256"/>
        <v>#VALUE!</v>
      </c>
      <c r="U1128" s="26" t="e">
        <f t="shared" si="257"/>
        <v>#VALUE!</v>
      </c>
      <c r="V1128" s="26" t="e">
        <f t="shared" si="258"/>
        <v>#VALUE!</v>
      </c>
      <c r="W1128" s="1" t="e">
        <f t="shared" si="259"/>
        <v>#VALUE!</v>
      </c>
      <c r="X1128" s="26" t="e">
        <f t="shared" si="260"/>
        <v>#VALUE!</v>
      </c>
      <c r="Y1128" s="26" t="e">
        <f t="shared" si="261"/>
        <v>#VALUE!</v>
      </c>
      <c r="Z1128" s="1" t="e">
        <f t="shared" si="262"/>
        <v>#VALUE!</v>
      </c>
      <c r="AA1128"/>
      <c r="AB1128"/>
    </row>
    <row r="1129" spans="1:28" x14ac:dyDescent="0.55000000000000004">
      <c r="A1129" s="1">
        <f t="shared" si="249"/>
        <v>1129</v>
      </c>
      <c r="B1129" t="s">
        <v>39</v>
      </c>
      <c r="C1129" t="s">
        <v>124</v>
      </c>
      <c r="D1129" t="s">
        <v>177</v>
      </c>
      <c r="E1129" t="s">
        <v>203</v>
      </c>
      <c r="F1129" t="s">
        <v>218</v>
      </c>
      <c r="G1129" t="s">
        <v>234</v>
      </c>
      <c r="I1129" t="s">
        <v>235</v>
      </c>
      <c r="K1129" t="s">
        <v>236</v>
      </c>
      <c r="M1129" t="s">
        <v>47</v>
      </c>
      <c r="N1129" s="1" t="e">
        <f t="shared" si="250"/>
        <v>#VALUE!</v>
      </c>
      <c r="O1129" s="1" t="e">
        <f t="shared" si="251"/>
        <v>#VALUE!</v>
      </c>
      <c r="P1129" s="1" t="e">
        <f t="shared" si="252"/>
        <v>#VALUE!</v>
      </c>
      <c r="Q1129" s="1" t="e">
        <f t="shared" si="253"/>
        <v>#VALUE!</v>
      </c>
      <c r="R1129" s="1" t="e">
        <f t="shared" si="254"/>
        <v>#VALUE!</v>
      </c>
      <c r="S1129" s="1" t="e">
        <f t="shared" si="255"/>
        <v>#VALUE!</v>
      </c>
      <c r="T1129" s="1" t="e">
        <f t="shared" si="256"/>
        <v>#VALUE!</v>
      </c>
      <c r="U1129" s="26" t="e">
        <f t="shared" si="257"/>
        <v>#VALUE!</v>
      </c>
      <c r="V1129" s="26" t="e">
        <f t="shared" si="258"/>
        <v>#VALUE!</v>
      </c>
      <c r="W1129" s="1" t="e">
        <f t="shared" si="259"/>
        <v>#VALUE!</v>
      </c>
      <c r="X1129" s="26" t="e">
        <f t="shared" si="260"/>
        <v>#VALUE!</v>
      </c>
      <c r="Y1129" s="26" t="e">
        <f t="shared" si="261"/>
        <v>#VALUE!</v>
      </c>
      <c r="Z1129" s="1" t="e">
        <f t="shared" si="262"/>
        <v>#VALUE!</v>
      </c>
      <c r="AA1129"/>
      <c r="AB1129"/>
    </row>
    <row r="1130" spans="1:28" x14ac:dyDescent="0.55000000000000004">
      <c r="A1130" s="1">
        <f t="shared" si="249"/>
        <v>1130</v>
      </c>
      <c r="B1130" t="s">
        <v>36</v>
      </c>
      <c r="D1130" t="s">
        <v>189</v>
      </c>
      <c r="E1130" t="s">
        <v>510</v>
      </c>
      <c r="F1130" t="s">
        <v>181</v>
      </c>
      <c r="G1130" t="s">
        <v>511</v>
      </c>
      <c r="I1130" t="s">
        <v>512</v>
      </c>
      <c r="K1130" t="s">
        <v>418</v>
      </c>
      <c r="M1130" t="s">
        <v>47</v>
      </c>
      <c r="N1130" s="1" t="e">
        <f t="shared" si="250"/>
        <v>#VALUE!</v>
      </c>
      <c r="O1130" s="1" t="e">
        <f t="shared" si="251"/>
        <v>#VALUE!</v>
      </c>
      <c r="P1130" s="1" t="e">
        <f t="shared" si="252"/>
        <v>#VALUE!</v>
      </c>
      <c r="Q1130" s="1" t="e">
        <f t="shared" si="253"/>
        <v>#VALUE!</v>
      </c>
      <c r="R1130" s="1" t="e">
        <f t="shared" si="254"/>
        <v>#VALUE!</v>
      </c>
      <c r="S1130" s="1" t="e">
        <f t="shared" si="255"/>
        <v>#VALUE!</v>
      </c>
      <c r="T1130" s="1" t="e">
        <f t="shared" si="256"/>
        <v>#VALUE!</v>
      </c>
      <c r="U1130" s="26" t="e">
        <f t="shared" si="257"/>
        <v>#VALUE!</v>
      </c>
      <c r="V1130" s="26" t="e">
        <f t="shared" si="258"/>
        <v>#VALUE!</v>
      </c>
      <c r="W1130" s="1" t="e">
        <f t="shared" si="259"/>
        <v>#VALUE!</v>
      </c>
      <c r="X1130" s="26" t="e">
        <f t="shared" si="260"/>
        <v>#VALUE!</v>
      </c>
      <c r="Y1130" s="26" t="e">
        <f t="shared" si="261"/>
        <v>#VALUE!</v>
      </c>
      <c r="Z1130" s="1" t="e">
        <f t="shared" si="262"/>
        <v>#VALUE!</v>
      </c>
      <c r="AA1130"/>
      <c r="AB1130"/>
    </row>
    <row r="1131" spans="1:28" x14ac:dyDescent="0.55000000000000004">
      <c r="A1131" s="1">
        <f t="shared" si="249"/>
        <v>1131</v>
      </c>
      <c r="B1131" t="s">
        <v>36</v>
      </c>
      <c r="D1131" t="s">
        <v>189</v>
      </c>
      <c r="E1131" t="s">
        <v>510</v>
      </c>
      <c r="F1131" t="s">
        <v>181</v>
      </c>
      <c r="G1131" t="s">
        <v>513</v>
      </c>
      <c r="I1131" t="s">
        <v>514</v>
      </c>
      <c r="K1131" t="s">
        <v>515</v>
      </c>
      <c r="M1131" t="s">
        <v>47</v>
      </c>
      <c r="N1131" s="1" t="e">
        <f t="shared" si="250"/>
        <v>#VALUE!</v>
      </c>
      <c r="O1131" s="1" t="e">
        <f t="shared" si="251"/>
        <v>#VALUE!</v>
      </c>
      <c r="P1131" s="1" t="e">
        <f t="shared" si="252"/>
        <v>#VALUE!</v>
      </c>
      <c r="Q1131" s="1" t="e">
        <f t="shared" si="253"/>
        <v>#VALUE!</v>
      </c>
      <c r="R1131" s="1" t="e">
        <f t="shared" si="254"/>
        <v>#VALUE!</v>
      </c>
      <c r="S1131" s="1" t="e">
        <f t="shared" si="255"/>
        <v>#VALUE!</v>
      </c>
      <c r="T1131" s="1" t="e">
        <f t="shared" si="256"/>
        <v>#VALUE!</v>
      </c>
      <c r="U1131" s="26" t="e">
        <f t="shared" si="257"/>
        <v>#VALUE!</v>
      </c>
      <c r="V1131" s="26" t="e">
        <f t="shared" si="258"/>
        <v>#VALUE!</v>
      </c>
      <c r="W1131" s="1" t="e">
        <f t="shared" si="259"/>
        <v>#VALUE!</v>
      </c>
      <c r="X1131" s="26" t="e">
        <f t="shared" si="260"/>
        <v>#VALUE!</v>
      </c>
      <c r="Y1131" s="26" t="e">
        <f t="shared" si="261"/>
        <v>#VALUE!</v>
      </c>
      <c r="Z1131" s="1" t="e">
        <f t="shared" si="262"/>
        <v>#VALUE!</v>
      </c>
      <c r="AA1131"/>
      <c r="AB1131"/>
    </row>
    <row r="1132" spans="1:28" x14ac:dyDescent="0.55000000000000004">
      <c r="A1132" s="1">
        <f t="shared" si="249"/>
        <v>1132</v>
      </c>
      <c r="B1132" t="s">
        <v>36</v>
      </c>
      <c r="D1132" t="s">
        <v>189</v>
      </c>
      <c r="E1132" t="s">
        <v>510</v>
      </c>
      <c r="F1132" t="s">
        <v>181</v>
      </c>
      <c r="G1132" t="s">
        <v>516</v>
      </c>
      <c r="I1132" t="s">
        <v>517</v>
      </c>
      <c r="K1132" t="s">
        <v>71</v>
      </c>
      <c r="M1132" t="s">
        <v>47</v>
      </c>
      <c r="N1132" s="1" t="e">
        <f t="shared" si="250"/>
        <v>#VALUE!</v>
      </c>
      <c r="O1132" s="1" t="e">
        <f t="shared" si="251"/>
        <v>#VALUE!</v>
      </c>
      <c r="P1132" s="1" t="e">
        <f t="shared" si="252"/>
        <v>#VALUE!</v>
      </c>
      <c r="Q1132" s="1" t="e">
        <f t="shared" si="253"/>
        <v>#VALUE!</v>
      </c>
      <c r="R1132" s="1" t="e">
        <f t="shared" si="254"/>
        <v>#VALUE!</v>
      </c>
      <c r="S1132" s="1" t="e">
        <f t="shared" si="255"/>
        <v>#VALUE!</v>
      </c>
      <c r="T1132" s="1" t="e">
        <f t="shared" si="256"/>
        <v>#VALUE!</v>
      </c>
      <c r="U1132" s="26" t="e">
        <f t="shared" si="257"/>
        <v>#VALUE!</v>
      </c>
      <c r="V1132" s="26" t="e">
        <f t="shared" si="258"/>
        <v>#VALUE!</v>
      </c>
      <c r="W1132" s="1" t="e">
        <f t="shared" si="259"/>
        <v>#VALUE!</v>
      </c>
      <c r="X1132" s="26" t="e">
        <f t="shared" si="260"/>
        <v>#VALUE!</v>
      </c>
      <c r="Y1132" s="26" t="e">
        <f t="shared" si="261"/>
        <v>#VALUE!</v>
      </c>
      <c r="Z1132" s="1" t="e">
        <f t="shared" si="262"/>
        <v>#VALUE!</v>
      </c>
      <c r="AA1132"/>
      <c r="AB1132"/>
    </row>
    <row r="1133" spans="1:28" x14ac:dyDescent="0.55000000000000004">
      <c r="A1133" s="1">
        <f t="shared" si="249"/>
        <v>1133</v>
      </c>
      <c r="B1133" t="s">
        <v>36</v>
      </c>
      <c r="D1133" t="s">
        <v>189</v>
      </c>
      <c r="E1133" t="s">
        <v>510</v>
      </c>
      <c r="F1133" t="s">
        <v>431</v>
      </c>
      <c r="G1133" t="s">
        <v>518</v>
      </c>
      <c r="I1133" t="s">
        <v>519</v>
      </c>
      <c r="K1133" t="s">
        <v>520</v>
      </c>
      <c r="M1133" t="s">
        <v>47</v>
      </c>
      <c r="N1133" s="1" t="e">
        <f t="shared" si="250"/>
        <v>#VALUE!</v>
      </c>
      <c r="O1133" s="1" t="e">
        <f t="shared" si="251"/>
        <v>#VALUE!</v>
      </c>
      <c r="P1133" s="1" t="e">
        <f t="shared" si="252"/>
        <v>#VALUE!</v>
      </c>
      <c r="Q1133" s="1" t="e">
        <f t="shared" si="253"/>
        <v>#VALUE!</v>
      </c>
      <c r="R1133" s="1" t="e">
        <f t="shared" si="254"/>
        <v>#VALUE!</v>
      </c>
      <c r="S1133" s="1" t="e">
        <f t="shared" si="255"/>
        <v>#VALUE!</v>
      </c>
      <c r="T1133" s="1" t="e">
        <f t="shared" si="256"/>
        <v>#VALUE!</v>
      </c>
      <c r="U1133" s="26" t="e">
        <f t="shared" si="257"/>
        <v>#VALUE!</v>
      </c>
      <c r="V1133" s="26" t="e">
        <f t="shared" si="258"/>
        <v>#VALUE!</v>
      </c>
      <c r="W1133" s="1" t="e">
        <f t="shared" si="259"/>
        <v>#VALUE!</v>
      </c>
      <c r="X1133" s="26" t="e">
        <f t="shared" si="260"/>
        <v>#VALUE!</v>
      </c>
      <c r="Y1133" s="26" t="e">
        <f t="shared" si="261"/>
        <v>#VALUE!</v>
      </c>
      <c r="Z1133" s="1" t="e">
        <f t="shared" si="262"/>
        <v>#VALUE!</v>
      </c>
      <c r="AA1133"/>
      <c r="AB1133"/>
    </row>
    <row r="1134" spans="1:28" x14ac:dyDescent="0.55000000000000004">
      <c r="A1134" s="1">
        <f t="shared" si="249"/>
        <v>1134</v>
      </c>
      <c r="B1134" t="s">
        <v>36</v>
      </c>
      <c r="D1134" t="s">
        <v>189</v>
      </c>
      <c r="E1134" t="s">
        <v>510</v>
      </c>
      <c r="F1134" t="s">
        <v>202</v>
      </c>
      <c r="G1134" t="s">
        <v>521</v>
      </c>
      <c r="I1134" t="s">
        <v>522</v>
      </c>
      <c r="K1134" t="s">
        <v>523</v>
      </c>
      <c r="M1134" t="s">
        <v>47</v>
      </c>
      <c r="N1134" s="1" t="e">
        <f t="shared" si="250"/>
        <v>#VALUE!</v>
      </c>
      <c r="O1134" s="1" t="e">
        <f t="shared" si="251"/>
        <v>#VALUE!</v>
      </c>
      <c r="P1134" s="1" t="e">
        <f t="shared" si="252"/>
        <v>#VALUE!</v>
      </c>
      <c r="Q1134" s="1" t="e">
        <f t="shared" si="253"/>
        <v>#VALUE!</v>
      </c>
      <c r="R1134" s="1" t="e">
        <f t="shared" si="254"/>
        <v>#VALUE!</v>
      </c>
      <c r="S1134" s="1" t="e">
        <f t="shared" si="255"/>
        <v>#VALUE!</v>
      </c>
      <c r="T1134" s="1" t="e">
        <f t="shared" si="256"/>
        <v>#VALUE!</v>
      </c>
      <c r="U1134" s="26" t="e">
        <f t="shared" si="257"/>
        <v>#VALUE!</v>
      </c>
      <c r="V1134" s="26" t="e">
        <f t="shared" si="258"/>
        <v>#VALUE!</v>
      </c>
      <c r="W1134" s="1" t="e">
        <f t="shared" si="259"/>
        <v>#VALUE!</v>
      </c>
      <c r="X1134" s="26" t="e">
        <f t="shared" si="260"/>
        <v>#VALUE!</v>
      </c>
      <c r="Y1134" s="26" t="e">
        <f t="shared" si="261"/>
        <v>#VALUE!</v>
      </c>
      <c r="Z1134" s="1" t="e">
        <f t="shared" si="262"/>
        <v>#VALUE!</v>
      </c>
      <c r="AA1134"/>
      <c r="AB1134"/>
    </row>
    <row r="1135" spans="1:28" x14ac:dyDescent="0.55000000000000004">
      <c r="A1135" s="1">
        <f t="shared" si="249"/>
        <v>1135</v>
      </c>
      <c r="B1135" t="s">
        <v>36</v>
      </c>
      <c r="D1135" t="s">
        <v>189</v>
      </c>
      <c r="E1135" t="s">
        <v>510</v>
      </c>
      <c r="F1135" t="s">
        <v>202</v>
      </c>
      <c r="G1135" t="s">
        <v>524</v>
      </c>
      <c r="I1135" t="s">
        <v>525</v>
      </c>
      <c r="K1135" t="s">
        <v>526</v>
      </c>
      <c r="M1135" t="s">
        <v>47</v>
      </c>
      <c r="N1135" s="1" t="e">
        <f t="shared" si="250"/>
        <v>#VALUE!</v>
      </c>
      <c r="O1135" s="1" t="e">
        <f t="shared" si="251"/>
        <v>#VALUE!</v>
      </c>
      <c r="P1135" s="1" t="e">
        <f t="shared" si="252"/>
        <v>#VALUE!</v>
      </c>
      <c r="Q1135" s="1" t="e">
        <f t="shared" si="253"/>
        <v>#VALUE!</v>
      </c>
      <c r="R1135" s="1" t="e">
        <f t="shared" si="254"/>
        <v>#VALUE!</v>
      </c>
      <c r="S1135" s="1" t="e">
        <f t="shared" si="255"/>
        <v>#VALUE!</v>
      </c>
      <c r="T1135" s="1" t="e">
        <f t="shared" si="256"/>
        <v>#VALUE!</v>
      </c>
      <c r="U1135" s="26" t="e">
        <f t="shared" si="257"/>
        <v>#VALUE!</v>
      </c>
      <c r="V1135" s="26" t="e">
        <f t="shared" si="258"/>
        <v>#VALUE!</v>
      </c>
      <c r="W1135" s="1" t="e">
        <f t="shared" si="259"/>
        <v>#VALUE!</v>
      </c>
      <c r="X1135" s="26" t="e">
        <f t="shared" si="260"/>
        <v>#VALUE!</v>
      </c>
      <c r="Y1135" s="26" t="e">
        <f t="shared" si="261"/>
        <v>#VALUE!</v>
      </c>
      <c r="Z1135" s="1" t="e">
        <f t="shared" si="262"/>
        <v>#VALUE!</v>
      </c>
      <c r="AA1135"/>
      <c r="AB1135"/>
    </row>
    <row r="1136" spans="1:28" x14ac:dyDescent="0.55000000000000004">
      <c r="A1136" s="1">
        <f t="shared" si="249"/>
        <v>1136</v>
      </c>
      <c r="B1136" t="s">
        <v>36</v>
      </c>
      <c r="D1136" t="s">
        <v>189</v>
      </c>
      <c r="E1136" t="s">
        <v>510</v>
      </c>
      <c r="F1136" t="s">
        <v>182</v>
      </c>
      <c r="G1136" t="s">
        <v>527</v>
      </c>
      <c r="I1136" t="s">
        <v>528</v>
      </c>
      <c r="K1136" t="s">
        <v>529</v>
      </c>
      <c r="M1136" t="s">
        <v>47</v>
      </c>
      <c r="N1136" s="1" t="e">
        <f t="shared" si="250"/>
        <v>#VALUE!</v>
      </c>
      <c r="O1136" s="1" t="e">
        <f t="shared" si="251"/>
        <v>#VALUE!</v>
      </c>
      <c r="P1136" s="1" t="e">
        <f t="shared" si="252"/>
        <v>#VALUE!</v>
      </c>
      <c r="Q1136" s="1" t="e">
        <f t="shared" si="253"/>
        <v>#VALUE!</v>
      </c>
      <c r="R1136" s="1" t="e">
        <f t="shared" si="254"/>
        <v>#VALUE!</v>
      </c>
      <c r="S1136" s="1" t="e">
        <f t="shared" si="255"/>
        <v>#VALUE!</v>
      </c>
      <c r="T1136" s="1" t="e">
        <f t="shared" si="256"/>
        <v>#VALUE!</v>
      </c>
      <c r="U1136" s="26" t="e">
        <f t="shared" si="257"/>
        <v>#VALUE!</v>
      </c>
      <c r="V1136" s="26" t="e">
        <f t="shared" si="258"/>
        <v>#VALUE!</v>
      </c>
      <c r="W1136" s="1" t="e">
        <f t="shared" si="259"/>
        <v>#VALUE!</v>
      </c>
      <c r="X1136" s="26" t="e">
        <f t="shared" si="260"/>
        <v>#VALUE!</v>
      </c>
      <c r="Y1136" s="26" t="e">
        <f t="shared" si="261"/>
        <v>#VALUE!</v>
      </c>
      <c r="Z1136" s="1" t="e">
        <f t="shared" si="262"/>
        <v>#VALUE!</v>
      </c>
      <c r="AA1136"/>
      <c r="AB1136"/>
    </row>
    <row r="1137" spans="1:28" x14ac:dyDescent="0.55000000000000004">
      <c r="A1137" s="1">
        <f t="shared" si="249"/>
        <v>1137</v>
      </c>
      <c r="B1137" t="s">
        <v>36</v>
      </c>
      <c r="D1137" t="s">
        <v>189</v>
      </c>
      <c r="E1137" t="s">
        <v>510</v>
      </c>
      <c r="F1137" t="s">
        <v>302</v>
      </c>
      <c r="G1137" t="s">
        <v>530</v>
      </c>
      <c r="I1137" t="s">
        <v>531</v>
      </c>
      <c r="K1137" t="s">
        <v>532</v>
      </c>
      <c r="M1137" t="s">
        <v>47</v>
      </c>
      <c r="N1137" s="1" t="e">
        <f t="shared" si="250"/>
        <v>#VALUE!</v>
      </c>
      <c r="O1137" s="1" t="e">
        <f t="shared" si="251"/>
        <v>#VALUE!</v>
      </c>
      <c r="P1137" s="1" t="e">
        <f t="shared" si="252"/>
        <v>#VALUE!</v>
      </c>
      <c r="Q1137" s="1" t="e">
        <f t="shared" si="253"/>
        <v>#VALUE!</v>
      </c>
      <c r="R1137" s="1" t="e">
        <f t="shared" si="254"/>
        <v>#VALUE!</v>
      </c>
      <c r="S1137" s="1" t="e">
        <f t="shared" si="255"/>
        <v>#VALUE!</v>
      </c>
      <c r="T1137" s="1" t="e">
        <f t="shared" si="256"/>
        <v>#VALUE!</v>
      </c>
      <c r="U1137" s="26" t="e">
        <f t="shared" si="257"/>
        <v>#VALUE!</v>
      </c>
      <c r="V1137" s="26" t="e">
        <f t="shared" si="258"/>
        <v>#VALUE!</v>
      </c>
      <c r="W1137" s="1" t="e">
        <f t="shared" si="259"/>
        <v>#VALUE!</v>
      </c>
      <c r="X1137" s="26" t="e">
        <f t="shared" si="260"/>
        <v>#VALUE!</v>
      </c>
      <c r="Y1137" s="26" t="e">
        <f t="shared" si="261"/>
        <v>#VALUE!</v>
      </c>
      <c r="Z1137" s="1" t="e">
        <f t="shared" si="262"/>
        <v>#VALUE!</v>
      </c>
      <c r="AA1137"/>
      <c r="AB1137"/>
    </row>
    <row r="1138" spans="1:28" x14ac:dyDescent="0.55000000000000004">
      <c r="A1138" s="1">
        <f t="shared" si="249"/>
        <v>1138</v>
      </c>
      <c r="B1138" t="s">
        <v>36</v>
      </c>
      <c r="D1138" t="s">
        <v>189</v>
      </c>
      <c r="E1138" t="s">
        <v>510</v>
      </c>
      <c r="F1138" t="s">
        <v>450</v>
      </c>
      <c r="G1138" t="s">
        <v>533</v>
      </c>
      <c r="I1138" t="s">
        <v>534</v>
      </c>
      <c r="K1138" t="s">
        <v>535</v>
      </c>
      <c r="M1138" t="s">
        <v>47</v>
      </c>
      <c r="N1138" s="1" t="e">
        <f t="shared" si="250"/>
        <v>#VALUE!</v>
      </c>
      <c r="O1138" s="1" t="e">
        <f t="shared" si="251"/>
        <v>#VALUE!</v>
      </c>
      <c r="P1138" s="1" t="e">
        <f t="shared" si="252"/>
        <v>#VALUE!</v>
      </c>
      <c r="Q1138" s="1" t="e">
        <f t="shared" si="253"/>
        <v>#VALUE!</v>
      </c>
      <c r="R1138" s="1" t="e">
        <f t="shared" si="254"/>
        <v>#VALUE!</v>
      </c>
      <c r="S1138" s="1" t="e">
        <f t="shared" si="255"/>
        <v>#VALUE!</v>
      </c>
      <c r="T1138" s="1" t="e">
        <f t="shared" si="256"/>
        <v>#VALUE!</v>
      </c>
      <c r="U1138" s="26" t="e">
        <f t="shared" si="257"/>
        <v>#VALUE!</v>
      </c>
      <c r="V1138" s="26" t="e">
        <f t="shared" si="258"/>
        <v>#VALUE!</v>
      </c>
      <c r="W1138" s="1" t="e">
        <f t="shared" si="259"/>
        <v>#VALUE!</v>
      </c>
      <c r="X1138" s="26" t="e">
        <f t="shared" si="260"/>
        <v>#VALUE!</v>
      </c>
      <c r="Y1138" s="26" t="e">
        <f t="shared" si="261"/>
        <v>#VALUE!</v>
      </c>
      <c r="Z1138" s="1" t="e">
        <f t="shared" si="262"/>
        <v>#VALUE!</v>
      </c>
      <c r="AA1138"/>
      <c r="AB1138"/>
    </row>
    <row r="1139" spans="1:28" x14ac:dyDescent="0.55000000000000004">
      <c r="A1139" s="1">
        <f t="shared" si="249"/>
        <v>1139</v>
      </c>
      <c r="B1139" t="s">
        <v>30</v>
      </c>
      <c r="C1139" t="s">
        <v>117</v>
      </c>
      <c r="D1139" t="s">
        <v>174</v>
      </c>
      <c r="E1139" t="s">
        <v>268</v>
      </c>
      <c r="F1139" t="s">
        <v>181</v>
      </c>
      <c r="G1139" t="s">
        <v>54</v>
      </c>
      <c r="I1139" t="s">
        <v>60</v>
      </c>
      <c r="K1139" t="s">
        <v>56</v>
      </c>
      <c r="M1139" t="s">
        <v>47</v>
      </c>
      <c r="N1139" s="1" t="e">
        <f t="shared" si="250"/>
        <v>#VALUE!</v>
      </c>
      <c r="O1139" s="1" t="e">
        <f t="shared" si="251"/>
        <v>#VALUE!</v>
      </c>
      <c r="P1139" s="1" t="e">
        <f t="shared" si="252"/>
        <v>#VALUE!</v>
      </c>
      <c r="Q1139" s="1" t="e">
        <f t="shared" si="253"/>
        <v>#VALUE!</v>
      </c>
      <c r="R1139" s="1" t="e">
        <f t="shared" si="254"/>
        <v>#VALUE!</v>
      </c>
      <c r="S1139" s="1" t="e">
        <f t="shared" si="255"/>
        <v>#VALUE!</v>
      </c>
      <c r="T1139" s="1" t="e">
        <f t="shared" si="256"/>
        <v>#VALUE!</v>
      </c>
      <c r="U1139" s="26" t="e">
        <f t="shared" si="257"/>
        <v>#VALUE!</v>
      </c>
      <c r="V1139" s="26" t="e">
        <f t="shared" si="258"/>
        <v>#VALUE!</v>
      </c>
      <c r="W1139" s="1" t="e">
        <f t="shared" si="259"/>
        <v>#VALUE!</v>
      </c>
      <c r="X1139" s="26" t="e">
        <f t="shared" si="260"/>
        <v>#VALUE!</v>
      </c>
      <c r="Y1139" s="26" t="e">
        <f t="shared" si="261"/>
        <v>#VALUE!</v>
      </c>
      <c r="Z1139" s="1" t="e">
        <f t="shared" si="262"/>
        <v>#VALUE!</v>
      </c>
      <c r="AA1139"/>
      <c r="AB1139"/>
    </row>
    <row r="1140" spans="1:28" x14ac:dyDescent="0.55000000000000004">
      <c r="A1140" s="1">
        <f t="shared" si="249"/>
        <v>1140</v>
      </c>
      <c r="B1140" t="s">
        <v>34</v>
      </c>
      <c r="C1140" t="s">
        <v>196</v>
      </c>
      <c r="D1140" t="s">
        <v>174</v>
      </c>
      <c r="E1140" t="s">
        <v>268</v>
      </c>
      <c r="F1140" t="s">
        <v>181</v>
      </c>
      <c r="G1140" t="s">
        <v>99</v>
      </c>
      <c r="I1140" t="s">
        <v>102</v>
      </c>
      <c r="K1140" t="s">
        <v>107</v>
      </c>
      <c r="M1140" t="s">
        <v>47</v>
      </c>
      <c r="N1140" s="1" t="e">
        <f t="shared" si="250"/>
        <v>#VALUE!</v>
      </c>
      <c r="O1140" s="1" t="e">
        <f t="shared" si="251"/>
        <v>#VALUE!</v>
      </c>
      <c r="P1140" s="1" t="e">
        <f t="shared" si="252"/>
        <v>#VALUE!</v>
      </c>
      <c r="Q1140" s="1" t="e">
        <f t="shared" si="253"/>
        <v>#VALUE!</v>
      </c>
      <c r="R1140" s="1" t="e">
        <f t="shared" si="254"/>
        <v>#VALUE!</v>
      </c>
      <c r="S1140" s="1" t="e">
        <f t="shared" si="255"/>
        <v>#VALUE!</v>
      </c>
      <c r="T1140" s="1" t="e">
        <f t="shared" si="256"/>
        <v>#VALUE!</v>
      </c>
      <c r="U1140" s="26" t="e">
        <f t="shared" si="257"/>
        <v>#VALUE!</v>
      </c>
      <c r="V1140" s="26" t="e">
        <f t="shared" si="258"/>
        <v>#VALUE!</v>
      </c>
      <c r="W1140" s="1" t="e">
        <f t="shared" si="259"/>
        <v>#VALUE!</v>
      </c>
      <c r="X1140" s="26" t="e">
        <f t="shared" si="260"/>
        <v>#VALUE!</v>
      </c>
      <c r="Y1140" s="26" t="e">
        <f t="shared" si="261"/>
        <v>#VALUE!</v>
      </c>
      <c r="Z1140" s="1" t="e">
        <f t="shared" si="262"/>
        <v>#VALUE!</v>
      </c>
      <c r="AA1140"/>
      <c r="AB1140"/>
    </row>
    <row r="1141" spans="1:28" x14ac:dyDescent="0.55000000000000004">
      <c r="A1141" s="1">
        <f t="shared" si="249"/>
        <v>1141</v>
      </c>
      <c r="B1141" t="s">
        <v>37</v>
      </c>
      <c r="C1141" t="s">
        <v>69</v>
      </c>
      <c r="D1141" t="s">
        <v>174</v>
      </c>
      <c r="E1141" t="s">
        <v>268</v>
      </c>
      <c r="F1141" t="s">
        <v>311</v>
      </c>
      <c r="G1141" t="s">
        <v>312</v>
      </c>
      <c r="I1141" t="s">
        <v>313</v>
      </c>
      <c r="K1141" t="s">
        <v>314</v>
      </c>
      <c r="M1141" t="s">
        <v>47</v>
      </c>
      <c r="N1141" s="1" t="e">
        <f t="shared" si="250"/>
        <v>#VALUE!</v>
      </c>
      <c r="O1141" s="1" t="e">
        <f t="shared" si="251"/>
        <v>#VALUE!</v>
      </c>
      <c r="P1141" s="1" t="e">
        <f t="shared" si="252"/>
        <v>#VALUE!</v>
      </c>
      <c r="Q1141" s="1" t="e">
        <f t="shared" si="253"/>
        <v>#VALUE!</v>
      </c>
      <c r="R1141" s="1" t="e">
        <f t="shared" si="254"/>
        <v>#VALUE!</v>
      </c>
      <c r="S1141" s="1" t="e">
        <f t="shared" si="255"/>
        <v>#VALUE!</v>
      </c>
      <c r="T1141" s="1" t="e">
        <f t="shared" si="256"/>
        <v>#VALUE!</v>
      </c>
      <c r="U1141" s="26" t="e">
        <f t="shared" si="257"/>
        <v>#VALUE!</v>
      </c>
      <c r="V1141" s="26" t="e">
        <f t="shared" si="258"/>
        <v>#VALUE!</v>
      </c>
      <c r="W1141" s="1" t="e">
        <f t="shared" si="259"/>
        <v>#VALUE!</v>
      </c>
      <c r="X1141" s="26" t="e">
        <f t="shared" si="260"/>
        <v>#VALUE!</v>
      </c>
      <c r="Y1141" s="26" t="e">
        <f t="shared" si="261"/>
        <v>#VALUE!</v>
      </c>
      <c r="Z1141" s="1" t="e">
        <f t="shared" si="262"/>
        <v>#VALUE!</v>
      </c>
      <c r="AA1141"/>
      <c r="AB1141"/>
    </row>
    <row r="1142" spans="1:28" x14ac:dyDescent="0.55000000000000004">
      <c r="A1142" s="1">
        <f t="shared" si="249"/>
        <v>1142</v>
      </c>
      <c r="B1142" t="s">
        <v>40</v>
      </c>
      <c r="C1142" t="s">
        <v>120</v>
      </c>
      <c r="D1142" t="s">
        <v>174</v>
      </c>
      <c r="E1142" t="s">
        <v>268</v>
      </c>
      <c r="F1142" t="s">
        <v>251</v>
      </c>
      <c r="G1142" t="s">
        <v>265</v>
      </c>
      <c r="I1142" t="s">
        <v>255</v>
      </c>
      <c r="K1142" t="s">
        <v>344</v>
      </c>
      <c r="M1142" t="s">
        <v>47</v>
      </c>
      <c r="N1142" s="1" t="e">
        <f t="shared" si="250"/>
        <v>#VALUE!</v>
      </c>
      <c r="O1142" s="1" t="e">
        <f t="shared" si="251"/>
        <v>#VALUE!</v>
      </c>
      <c r="P1142" s="1" t="e">
        <f t="shared" si="252"/>
        <v>#VALUE!</v>
      </c>
      <c r="Q1142" s="1" t="e">
        <f t="shared" si="253"/>
        <v>#VALUE!</v>
      </c>
      <c r="R1142" s="1" t="e">
        <f t="shared" si="254"/>
        <v>#VALUE!</v>
      </c>
      <c r="S1142" s="1" t="e">
        <f t="shared" si="255"/>
        <v>#VALUE!</v>
      </c>
      <c r="T1142" s="1" t="e">
        <f t="shared" si="256"/>
        <v>#VALUE!</v>
      </c>
      <c r="U1142" s="26" t="e">
        <f t="shared" si="257"/>
        <v>#VALUE!</v>
      </c>
      <c r="V1142" s="26" t="e">
        <f t="shared" si="258"/>
        <v>#VALUE!</v>
      </c>
      <c r="W1142" s="1" t="e">
        <f t="shared" si="259"/>
        <v>#VALUE!</v>
      </c>
      <c r="X1142" s="26" t="e">
        <f t="shared" si="260"/>
        <v>#VALUE!</v>
      </c>
      <c r="Y1142" s="26" t="e">
        <f t="shared" si="261"/>
        <v>#VALUE!</v>
      </c>
      <c r="Z1142" s="1" t="e">
        <f t="shared" si="262"/>
        <v>#VALUE!</v>
      </c>
      <c r="AA1142"/>
      <c r="AB1142"/>
    </row>
    <row r="1143" spans="1:28" x14ac:dyDescent="0.55000000000000004">
      <c r="A1143" s="1">
        <f t="shared" si="249"/>
        <v>1143</v>
      </c>
      <c r="B1143" t="s">
        <v>30</v>
      </c>
      <c r="C1143" t="s">
        <v>117</v>
      </c>
      <c r="D1143" t="s">
        <v>133</v>
      </c>
      <c r="E1143" t="s">
        <v>345</v>
      </c>
      <c r="F1143" t="s">
        <v>346</v>
      </c>
      <c r="G1143" t="s">
        <v>44</v>
      </c>
      <c r="I1143" t="s">
        <v>52</v>
      </c>
      <c r="K1143" t="s">
        <v>46</v>
      </c>
      <c r="M1143" t="s">
        <v>47</v>
      </c>
      <c r="N1143" s="1" t="e">
        <f t="shared" si="250"/>
        <v>#VALUE!</v>
      </c>
      <c r="O1143" s="1" t="e">
        <f t="shared" si="251"/>
        <v>#VALUE!</v>
      </c>
      <c r="P1143" s="1" t="e">
        <f t="shared" si="252"/>
        <v>#VALUE!</v>
      </c>
      <c r="Q1143" s="1" t="e">
        <f t="shared" si="253"/>
        <v>#VALUE!</v>
      </c>
      <c r="R1143" s="1" t="e">
        <f t="shared" si="254"/>
        <v>#VALUE!</v>
      </c>
      <c r="S1143" s="1" t="e">
        <f t="shared" si="255"/>
        <v>#VALUE!</v>
      </c>
      <c r="T1143" s="1" t="e">
        <f t="shared" si="256"/>
        <v>#VALUE!</v>
      </c>
      <c r="U1143" s="26" t="e">
        <f t="shared" si="257"/>
        <v>#VALUE!</v>
      </c>
      <c r="V1143" s="26" t="e">
        <f t="shared" si="258"/>
        <v>#VALUE!</v>
      </c>
      <c r="W1143" s="1" t="e">
        <f t="shared" si="259"/>
        <v>#VALUE!</v>
      </c>
      <c r="X1143" s="26" t="e">
        <f t="shared" si="260"/>
        <v>#VALUE!</v>
      </c>
      <c r="Y1143" s="26" t="e">
        <f t="shared" si="261"/>
        <v>#VALUE!</v>
      </c>
      <c r="Z1143" s="1" t="e">
        <f t="shared" si="262"/>
        <v>#VALUE!</v>
      </c>
      <c r="AA1143"/>
      <c r="AB1143"/>
    </row>
    <row r="1144" spans="1:28" x14ac:dyDescent="0.55000000000000004">
      <c r="A1144" s="1">
        <f t="shared" si="249"/>
        <v>1144</v>
      </c>
      <c r="B1144" t="s">
        <v>30</v>
      </c>
      <c r="C1144" t="s">
        <v>117</v>
      </c>
      <c r="D1144" t="s">
        <v>133</v>
      </c>
      <c r="E1144" t="s">
        <v>345</v>
      </c>
      <c r="F1144" t="s">
        <v>347</v>
      </c>
      <c r="G1144" t="s">
        <v>45</v>
      </c>
      <c r="I1144" t="s">
        <v>55</v>
      </c>
      <c r="K1144" t="s">
        <v>74</v>
      </c>
      <c r="M1144" t="s">
        <v>47</v>
      </c>
      <c r="N1144" s="1" t="e">
        <f t="shared" si="250"/>
        <v>#VALUE!</v>
      </c>
      <c r="O1144" s="1" t="e">
        <f t="shared" si="251"/>
        <v>#VALUE!</v>
      </c>
      <c r="P1144" s="1" t="e">
        <f t="shared" si="252"/>
        <v>#VALUE!</v>
      </c>
      <c r="Q1144" s="1" t="e">
        <f t="shared" si="253"/>
        <v>#VALUE!</v>
      </c>
      <c r="R1144" s="1" t="e">
        <f t="shared" si="254"/>
        <v>#VALUE!</v>
      </c>
      <c r="S1144" s="1" t="e">
        <f t="shared" si="255"/>
        <v>#VALUE!</v>
      </c>
      <c r="T1144" s="1" t="e">
        <f t="shared" si="256"/>
        <v>#VALUE!</v>
      </c>
      <c r="U1144" s="26" t="e">
        <f t="shared" si="257"/>
        <v>#VALUE!</v>
      </c>
      <c r="V1144" s="26" t="e">
        <f t="shared" si="258"/>
        <v>#VALUE!</v>
      </c>
      <c r="W1144" s="1" t="e">
        <f t="shared" si="259"/>
        <v>#VALUE!</v>
      </c>
      <c r="X1144" s="26" t="e">
        <f t="shared" si="260"/>
        <v>#VALUE!</v>
      </c>
      <c r="Y1144" s="26" t="e">
        <f t="shared" si="261"/>
        <v>#VALUE!</v>
      </c>
      <c r="Z1144" s="1" t="e">
        <f t="shared" si="262"/>
        <v>#VALUE!</v>
      </c>
      <c r="AA1144"/>
      <c r="AB1144"/>
    </row>
    <row r="1145" spans="1:28" x14ac:dyDescent="0.55000000000000004">
      <c r="A1145" s="1">
        <f t="shared" si="249"/>
        <v>1145</v>
      </c>
      <c r="B1145" t="s">
        <v>33</v>
      </c>
      <c r="C1145" t="s">
        <v>126</v>
      </c>
      <c r="D1145" t="s">
        <v>133</v>
      </c>
      <c r="E1145" t="s">
        <v>345</v>
      </c>
      <c r="F1145" t="s">
        <v>358</v>
      </c>
      <c r="G1145" t="s">
        <v>285</v>
      </c>
      <c r="I1145" t="s">
        <v>299</v>
      </c>
      <c r="K1145" t="s">
        <v>359</v>
      </c>
      <c r="M1145" t="s">
        <v>47</v>
      </c>
      <c r="N1145" s="1" t="e">
        <f t="shared" si="250"/>
        <v>#VALUE!</v>
      </c>
      <c r="O1145" s="1" t="e">
        <f t="shared" si="251"/>
        <v>#VALUE!</v>
      </c>
      <c r="P1145" s="1" t="e">
        <f t="shared" si="252"/>
        <v>#VALUE!</v>
      </c>
      <c r="Q1145" s="1" t="e">
        <f t="shared" si="253"/>
        <v>#VALUE!</v>
      </c>
      <c r="R1145" s="1" t="e">
        <f t="shared" si="254"/>
        <v>#VALUE!</v>
      </c>
      <c r="S1145" s="1" t="e">
        <f t="shared" si="255"/>
        <v>#VALUE!</v>
      </c>
      <c r="T1145" s="1" t="e">
        <f t="shared" si="256"/>
        <v>#VALUE!</v>
      </c>
      <c r="U1145" s="26" t="e">
        <f t="shared" si="257"/>
        <v>#VALUE!</v>
      </c>
      <c r="V1145" s="26" t="e">
        <f t="shared" si="258"/>
        <v>#VALUE!</v>
      </c>
      <c r="W1145" s="1" t="e">
        <f t="shared" si="259"/>
        <v>#VALUE!</v>
      </c>
      <c r="X1145" s="26" t="e">
        <f t="shared" si="260"/>
        <v>#VALUE!</v>
      </c>
      <c r="Y1145" s="26" t="e">
        <f t="shared" si="261"/>
        <v>#VALUE!</v>
      </c>
      <c r="Z1145" s="1" t="e">
        <f t="shared" si="262"/>
        <v>#VALUE!</v>
      </c>
      <c r="AA1145"/>
      <c r="AB1145"/>
    </row>
    <row r="1146" spans="1:28" x14ac:dyDescent="0.55000000000000004">
      <c r="A1146" s="1">
        <f t="shared" si="249"/>
        <v>1146</v>
      </c>
      <c r="B1146" t="s">
        <v>33</v>
      </c>
      <c r="C1146" t="s">
        <v>126</v>
      </c>
      <c r="D1146" t="s">
        <v>133</v>
      </c>
      <c r="E1146" t="s">
        <v>345</v>
      </c>
      <c r="F1146" t="s">
        <v>277</v>
      </c>
      <c r="G1146" t="s">
        <v>288</v>
      </c>
      <c r="I1146" t="s">
        <v>360</v>
      </c>
      <c r="K1146" t="s">
        <v>361</v>
      </c>
      <c r="M1146" t="s">
        <v>47</v>
      </c>
      <c r="N1146" s="1" t="e">
        <f t="shared" si="250"/>
        <v>#VALUE!</v>
      </c>
      <c r="O1146" s="1" t="e">
        <f t="shared" si="251"/>
        <v>#VALUE!</v>
      </c>
      <c r="P1146" s="1" t="e">
        <f t="shared" si="252"/>
        <v>#VALUE!</v>
      </c>
      <c r="Q1146" s="1" t="e">
        <f t="shared" si="253"/>
        <v>#VALUE!</v>
      </c>
      <c r="R1146" s="1" t="e">
        <f t="shared" si="254"/>
        <v>#VALUE!</v>
      </c>
      <c r="S1146" s="1" t="e">
        <f t="shared" si="255"/>
        <v>#VALUE!</v>
      </c>
      <c r="T1146" s="1" t="e">
        <f t="shared" si="256"/>
        <v>#VALUE!</v>
      </c>
      <c r="U1146" s="26" t="e">
        <f t="shared" si="257"/>
        <v>#VALUE!</v>
      </c>
      <c r="V1146" s="26" t="e">
        <f t="shared" si="258"/>
        <v>#VALUE!</v>
      </c>
      <c r="W1146" s="1" t="e">
        <f t="shared" si="259"/>
        <v>#VALUE!</v>
      </c>
      <c r="X1146" s="26" t="e">
        <f t="shared" si="260"/>
        <v>#VALUE!</v>
      </c>
      <c r="Y1146" s="26" t="e">
        <f t="shared" si="261"/>
        <v>#VALUE!</v>
      </c>
      <c r="Z1146" s="1" t="e">
        <f t="shared" si="262"/>
        <v>#VALUE!</v>
      </c>
      <c r="AA1146"/>
      <c r="AB1146"/>
    </row>
    <row r="1147" spans="1:28" x14ac:dyDescent="0.55000000000000004">
      <c r="A1147" s="1">
        <f t="shared" si="249"/>
        <v>1147</v>
      </c>
      <c r="B1147" t="s">
        <v>33</v>
      </c>
      <c r="C1147" t="s">
        <v>126</v>
      </c>
      <c r="D1147" t="s">
        <v>133</v>
      </c>
      <c r="E1147" t="s">
        <v>345</v>
      </c>
      <c r="F1147" t="s">
        <v>277</v>
      </c>
      <c r="G1147" t="s">
        <v>362</v>
      </c>
      <c r="I1147" t="s">
        <v>291</v>
      </c>
      <c r="K1147" t="s">
        <v>363</v>
      </c>
      <c r="M1147" t="s">
        <v>47</v>
      </c>
      <c r="N1147" s="1" t="e">
        <f t="shared" si="250"/>
        <v>#VALUE!</v>
      </c>
      <c r="O1147" s="1" t="e">
        <f t="shared" si="251"/>
        <v>#VALUE!</v>
      </c>
      <c r="P1147" s="1" t="e">
        <f t="shared" si="252"/>
        <v>#VALUE!</v>
      </c>
      <c r="Q1147" s="1" t="e">
        <f t="shared" si="253"/>
        <v>#VALUE!</v>
      </c>
      <c r="R1147" s="1" t="e">
        <f t="shared" si="254"/>
        <v>#VALUE!</v>
      </c>
      <c r="S1147" s="1" t="e">
        <f t="shared" si="255"/>
        <v>#VALUE!</v>
      </c>
      <c r="T1147" s="1" t="e">
        <f t="shared" si="256"/>
        <v>#VALUE!</v>
      </c>
      <c r="U1147" s="26" t="e">
        <f t="shared" si="257"/>
        <v>#VALUE!</v>
      </c>
      <c r="V1147" s="26" t="e">
        <f t="shared" si="258"/>
        <v>#VALUE!</v>
      </c>
      <c r="W1147" s="1" t="e">
        <f t="shared" si="259"/>
        <v>#VALUE!</v>
      </c>
      <c r="X1147" s="26" t="e">
        <f t="shared" si="260"/>
        <v>#VALUE!</v>
      </c>
      <c r="Y1147" s="26" t="e">
        <f t="shared" si="261"/>
        <v>#VALUE!</v>
      </c>
      <c r="Z1147" s="1" t="e">
        <f t="shared" si="262"/>
        <v>#VALUE!</v>
      </c>
      <c r="AA1147"/>
      <c r="AB1147"/>
    </row>
    <row r="1148" spans="1:28" x14ac:dyDescent="0.55000000000000004">
      <c r="A1148" s="1">
        <f t="shared" si="249"/>
        <v>1148</v>
      </c>
      <c r="B1148" t="s">
        <v>33</v>
      </c>
      <c r="C1148" t="s">
        <v>126</v>
      </c>
      <c r="D1148" t="s">
        <v>133</v>
      </c>
      <c r="E1148" t="s">
        <v>345</v>
      </c>
      <c r="F1148" t="s">
        <v>290</v>
      </c>
      <c r="G1148" t="s">
        <v>287</v>
      </c>
      <c r="I1148" t="s">
        <v>292</v>
      </c>
      <c r="K1148" t="s">
        <v>289</v>
      </c>
      <c r="M1148" t="s">
        <v>47</v>
      </c>
      <c r="N1148" s="1" t="e">
        <f t="shared" si="250"/>
        <v>#VALUE!</v>
      </c>
      <c r="O1148" s="1" t="e">
        <f t="shared" si="251"/>
        <v>#VALUE!</v>
      </c>
      <c r="P1148" s="1" t="e">
        <f t="shared" si="252"/>
        <v>#VALUE!</v>
      </c>
      <c r="Q1148" s="1" t="e">
        <f t="shared" si="253"/>
        <v>#VALUE!</v>
      </c>
      <c r="R1148" s="1" t="e">
        <f t="shared" si="254"/>
        <v>#VALUE!</v>
      </c>
      <c r="S1148" s="1" t="e">
        <f t="shared" si="255"/>
        <v>#VALUE!</v>
      </c>
      <c r="T1148" s="1" t="e">
        <f t="shared" si="256"/>
        <v>#VALUE!</v>
      </c>
      <c r="U1148" s="26" t="e">
        <f t="shared" si="257"/>
        <v>#VALUE!</v>
      </c>
      <c r="V1148" s="26" t="e">
        <f t="shared" si="258"/>
        <v>#VALUE!</v>
      </c>
      <c r="W1148" s="1" t="e">
        <f t="shared" si="259"/>
        <v>#VALUE!</v>
      </c>
      <c r="X1148" s="26" t="e">
        <f t="shared" si="260"/>
        <v>#VALUE!</v>
      </c>
      <c r="Y1148" s="26" t="e">
        <f t="shared" si="261"/>
        <v>#VALUE!</v>
      </c>
      <c r="Z1148" s="1" t="e">
        <f t="shared" si="262"/>
        <v>#VALUE!</v>
      </c>
      <c r="AA1148"/>
      <c r="AB1148"/>
    </row>
    <row r="1149" spans="1:28" x14ac:dyDescent="0.55000000000000004">
      <c r="A1149" s="1">
        <f t="shared" si="249"/>
        <v>1149</v>
      </c>
      <c r="B1149" t="s">
        <v>34</v>
      </c>
      <c r="C1149" t="s">
        <v>196</v>
      </c>
      <c r="D1149" t="s">
        <v>133</v>
      </c>
      <c r="E1149" t="s">
        <v>345</v>
      </c>
      <c r="F1149" t="s">
        <v>375</v>
      </c>
      <c r="G1149" t="s">
        <v>93</v>
      </c>
      <c r="I1149" t="s">
        <v>90</v>
      </c>
      <c r="K1149" t="s">
        <v>113</v>
      </c>
      <c r="M1149" t="s">
        <v>47</v>
      </c>
      <c r="N1149" s="1" t="e">
        <f t="shared" si="250"/>
        <v>#VALUE!</v>
      </c>
      <c r="O1149" s="1" t="e">
        <f t="shared" si="251"/>
        <v>#VALUE!</v>
      </c>
      <c r="P1149" s="1" t="e">
        <f t="shared" si="252"/>
        <v>#VALUE!</v>
      </c>
      <c r="Q1149" s="1" t="e">
        <f t="shared" si="253"/>
        <v>#VALUE!</v>
      </c>
      <c r="R1149" s="1" t="e">
        <f t="shared" si="254"/>
        <v>#VALUE!</v>
      </c>
      <c r="S1149" s="1" t="e">
        <f t="shared" si="255"/>
        <v>#VALUE!</v>
      </c>
      <c r="T1149" s="1" t="e">
        <f t="shared" si="256"/>
        <v>#VALUE!</v>
      </c>
      <c r="U1149" s="26" t="e">
        <f t="shared" si="257"/>
        <v>#VALUE!</v>
      </c>
      <c r="V1149" s="26" t="e">
        <f t="shared" si="258"/>
        <v>#VALUE!</v>
      </c>
      <c r="W1149" s="1" t="e">
        <f t="shared" si="259"/>
        <v>#VALUE!</v>
      </c>
      <c r="X1149" s="26" t="e">
        <f t="shared" si="260"/>
        <v>#VALUE!</v>
      </c>
      <c r="Y1149" s="26" t="e">
        <f t="shared" si="261"/>
        <v>#VALUE!</v>
      </c>
      <c r="Z1149" s="1" t="e">
        <f t="shared" si="262"/>
        <v>#VALUE!</v>
      </c>
      <c r="AA1149"/>
      <c r="AB1149"/>
    </row>
    <row r="1150" spans="1:28" x14ac:dyDescent="0.55000000000000004">
      <c r="A1150" s="1">
        <f t="shared" si="249"/>
        <v>1150</v>
      </c>
      <c r="B1150" t="s">
        <v>35</v>
      </c>
      <c r="C1150" t="s">
        <v>118</v>
      </c>
      <c r="D1150" t="s">
        <v>133</v>
      </c>
      <c r="E1150" t="s">
        <v>345</v>
      </c>
      <c r="F1150" t="s">
        <v>376</v>
      </c>
      <c r="G1150" t="s">
        <v>377</v>
      </c>
      <c r="I1150" t="s">
        <v>307</v>
      </c>
      <c r="K1150" t="s">
        <v>378</v>
      </c>
      <c r="M1150" t="s">
        <v>47</v>
      </c>
      <c r="N1150" s="1" t="e">
        <f t="shared" si="250"/>
        <v>#VALUE!</v>
      </c>
      <c r="O1150" s="1" t="e">
        <f t="shared" si="251"/>
        <v>#VALUE!</v>
      </c>
      <c r="P1150" s="1" t="e">
        <f t="shared" si="252"/>
        <v>#VALUE!</v>
      </c>
      <c r="Q1150" s="1" t="e">
        <f t="shared" si="253"/>
        <v>#VALUE!</v>
      </c>
      <c r="R1150" s="1" t="e">
        <f t="shared" si="254"/>
        <v>#VALUE!</v>
      </c>
      <c r="S1150" s="1" t="e">
        <f t="shared" si="255"/>
        <v>#VALUE!</v>
      </c>
      <c r="T1150" s="1" t="e">
        <f t="shared" si="256"/>
        <v>#VALUE!</v>
      </c>
      <c r="U1150" s="26" t="e">
        <f t="shared" si="257"/>
        <v>#VALUE!</v>
      </c>
      <c r="V1150" s="26" t="e">
        <f t="shared" si="258"/>
        <v>#VALUE!</v>
      </c>
      <c r="W1150" s="1" t="e">
        <f t="shared" si="259"/>
        <v>#VALUE!</v>
      </c>
      <c r="X1150" s="26" t="e">
        <f t="shared" si="260"/>
        <v>#VALUE!</v>
      </c>
      <c r="Y1150" s="26" t="e">
        <f t="shared" si="261"/>
        <v>#VALUE!</v>
      </c>
      <c r="Z1150" s="1" t="e">
        <f t="shared" si="262"/>
        <v>#VALUE!</v>
      </c>
      <c r="AA1150"/>
      <c r="AB1150"/>
    </row>
    <row r="1151" spans="1:28" x14ac:dyDescent="0.55000000000000004">
      <c r="A1151" s="1">
        <f t="shared" si="249"/>
        <v>1151</v>
      </c>
      <c r="B1151" t="s">
        <v>37</v>
      </c>
      <c r="C1151" t="s">
        <v>69</v>
      </c>
      <c r="D1151" t="s">
        <v>133</v>
      </c>
      <c r="E1151" t="s">
        <v>345</v>
      </c>
      <c r="F1151" t="s">
        <v>388</v>
      </c>
      <c r="G1151" t="s">
        <v>326</v>
      </c>
      <c r="I1151" t="s">
        <v>321</v>
      </c>
      <c r="K1151" t="s">
        <v>389</v>
      </c>
      <c r="M1151" t="s">
        <v>47</v>
      </c>
      <c r="N1151" s="1" t="e">
        <f t="shared" si="250"/>
        <v>#VALUE!</v>
      </c>
      <c r="O1151" s="1" t="e">
        <f t="shared" si="251"/>
        <v>#VALUE!</v>
      </c>
      <c r="P1151" s="1" t="e">
        <f t="shared" si="252"/>
        <v>#VALUE!</v>
      </c>
      <c r="Q1151" s="1" t="e">
        <f t="shared" si="253"/>
        <v>#VALUE!</v>
      </c>
      <c r="R1151" s="1" t="e">
        <f t="shared" si="254"/>
        <v>#VALUE!</v>
      </c>
      <c r="S1151" s="1" t="e">
        <f t="shared" si="255"/>
        <v>#VALUE!</v>
      </c>
      <c r="T1151" s="1" t="e">
        <f t="shared" si="256"/>
        <v>#VALUE!</v>
      </c>
      <c r="U1151" s="26" t="e">
        <f t="shared" si="257"/>
        <v>#VALUE!</v>
      </c>
      <c r="V1151" s="26" t="e">
        <f t="shared" si="258"/>
        <v>#VALUE!</v>
      </c>
      <c r="W1151" s="1" t="e">
        <f t="shared" si="259"/>
        <v>#VALUE!</v>
      </c>
      <c r="X1151" s="26" t="e">
        <f t="shared" si="260"/>
        <v>#VALUE!</v>
      </c>
      <c r="Y1151" s="26" t="e">
        <f t="shared" si="261"/>
        <v>#VALUE!</v>
      </c>
      <c r="Z1151" s="1" t="e">
        <f t="shared" si="262"/>
        <v>#VALUE!</v>
      </c>
      <c r="AA1151"/>
      <c r="AB1151"/>
    </row>
    <row r="1152" spans="1:28" x14ac:dyDescent="0.55000000000000004">
      <c r="A1152" s="1">
        <f t="shared" si="249"/>
        <v>1152</v>
      </c>
      <c r="B1152" t="s">
        <v>37</v>
      </c>
      <c r="C1152" t="s">
        <v>69</v>
      </c>
      <c r="D1152" t="s">
        <v>133</v>
      </c>
      <c r="E1152" t="s">
        <v>345</v>
      </c>
      <c r="F1152" t="s">
        <v>315</v>
      </c>
      <c r="G1152" t="s">
        <v>316</v>
      </c>
      <c r="I1152" t="s">
        <v>318</v>
      </c>
      <c r="K1152" t="s">
        <v>341</v>
      </c>
      <c r="M1152" t="s">
        <v>47</v>
      </c>
      <c r="N1152" s="1" t="e">
        <f t="shared" si="250"/>
        <v>#VALUE!</v>
      </c>
      <c r="O1152" s="1" t="e">
        <f t="shared" si="251"/>
        <v>#VALUE!</v>
      </c>
      <c r="P1152" s="1" t="e">
        <f t="shared" si="252"/>
        <v>#VALUE!</v>
      </c>
      <c r="Q1152" s="1" t="e">
        <f t="shared" si="253"/>
        <v>#VALUE!</v>
      </c>
      <c r="R1152" s="1" t="e">
        <f t="shared" si="254"/>
        <v>#VALUE!</v>
      </c>
      <c r="S1152" s="1" t="e">
        <f t="shared" si="255"/>
        <v>#VALUE!</v>
      </c>
      <c r="T1152" s="1" t="e">
        <f t="shared" si="256"/>
        <v>#VALUE!</v>
      </c>
      <c r="U1152" s="26" t="e">
        <f t="shared" si="257"/>
        <v>#VALUE!</v>
      </c>
      <c r="V1152" s="26" t="e">
        <f t="shared" si="258"/>
        <v>#VALUE!</v>
      </c>
      <c r="W1152" s="1" t="e">
        <f t="shared" si="259"/>
        <v>#VALUE!</v>
      </c>
      <c r="X1152" s="26" t="e">
        <f t="shared" si="260"/>
        <v>#VALUE!</v>
      </c>
      <c r="Y1152" s="26" t="e">
        <f t="shared" si="261"/>
        <v>#VALUE!</v>
      </c>
      <c r="Z1152" s="1" t="e">
        <f t="shared" si="262"/>
        <v>#VALUE!</v>
      </c>
      <c r="AA1152"/>
      <c r="AB1152"/>
    </row>
    <row r="1153" spans="1:28" x14ac:dyDescent="0.55000000000000004">
      <c r="A1153" s="1">
        <f t="shared" si="249"/>
        <v>1153</v>
      </c>
      <c r="B1153" t="s">
        <v>39</v>
      </c>
      <c r="C1153" t="s">
        <v>126</v>
      </c>
      <c r="D1153" t="s">
        <v>133</v>
      </c>
      <c r="E1153" t="s">
        <v>345</v>
      </c>
      <c r="F1153" t="s">
        <v>218</v>
      </c>
      <c r="G1153" t="s">
        <v>232</v>
      </c>
      <c r="I1153" t="s">
        <v>226</v>
      </c>
      <c r="K1153" t="s">
        <v>238</v>
      </c>
      <c r="M1153" t="s">
        <v>47</v>
      </c>
      <c r="N1153" s="1" t="e">
        <f t="shared" si="250"/>
        <v>#VALUE!</v>
      </c>
      <c r="O1153" s="1" t="e">
        <f t="shared" si="251"/>
        <v>#VALUE!</v>
      </c>
      <c r="P1153" s="1" t="e">
        <f t="shared" si="252"/>
        <v>#VALUE!</v>
      </c>
      <c r="Q1153" s="1" t="e">
        <f t="shared" si="253"/>
        <v>#VALUE!</v>
      </c>
      <c r="R1153" s="1" t="e">
        <f t="shared" si="254"/>
        <v>#VALUE!</v>
      </c>
      <c r="S1153" s="1" t="e">
        <f t="shared" si="255"/>
        <v>#VALUE!</v>
      </c>
      <c r="T1153" s="1" t="e">
        <f t="shared" si="256"/>
        <v>#VALUE!</v>
      </c>
      <c r="U1153" s="26" t="e">
        <f t="shared" si="257"/>
        <v>#VALUE!</v>
      </c>
      <c r="V1153" s="26" t="e">
        <f t="shared" si="258"/>
        <v>#VALUE!</v>
      </c>
      <c r="W1153" s="1" t="e">
        <f t="shared" si="259"/>
        <v>#VALUE!</v>
      </c>
      <c r="X1153" s="26" t="e">
        <f t="shared" si="260"/>
        <v>#VALUE!</v>
      </c>
      <c r="Y1153" s="26" t="e">
        <f t="shared" si="261"/>
        <v>#VALUE!</v>
      </c>
      <c r="Z1153" s="1" t="e">
        <f t="shared" si="262"/>
        <v>#VALUE!</v>
      </c>
      <c r="AA1153"/>
      <c r="AB1153"/>
    </row>
    <row r="1154" spans="1:28" x14ac:dyDescent="0.55000000000000004">
      <c r="A1154" s="1">
        <f t="shared" si="249"/>
        <v>1154</v>
      </c>
      <c r="B1154" t="s">
        <v>39</v>
      </c>
      <c r="C1154" t="s">
        <v>126</v>
      </c>
      <c r="D1154" t="s">
        <v>133</v>
      </c>
      <c r="E1154" t="s">
        <v>345</v>
      </c>
      <c r="F1154" t="s">
        <v>218</v>
      </c>
      <c r="G1154" t="s">
        <v>229</v>
      </c>
      <c r="I1154" t="s">
        <v>225</v>
      </c>
      <c r="K1154" t="s">
        <v>246</v>
      </c>
      <c r="M1154" t="s">
        <v>47</v>
      </c>
      <c r="N1154" s="1" t="e">
        <f t="shared" si="250"/>
        <v>#VALUE!</v>
      </c>
      <c r="O1154" s="1" t="e">
        <f t="shared" si="251"/>
        <v>#VALUE!</v>
      </c>
      <c r="P1154" s="1" t="e">
        <f t="shared" si="252"/>
        <v>#VALUE!</v>
      </c>
      <c r="Q1154" s="1" t="e">
        <f t="shared" si="253"/>
        <v>#VALUE!</v>
      </c>
      <c r="R1154" s="1" t="e">
        <f t="shared" si="254"/>
        <v>#VALUE!</v>
      </c>
      <c r="S1154" s="1" t="e">
        <f t="shared" si="255"/>
        <v>#VALUE!</v>
      </c>
      <c r="T1154" s="1" t="e">
        <f t="shared" si="256"/>
        <v>#VALUE!</v>
      </c>
      <c r="U1154" s="26" t="e">
        <f t="shared" si="257"/>
        <v>#VALUE!</v>
      </c>
      <c r="V1154" s="26" t="e">
        <f t="shared" si="258"/>
        <v>#VALUE!</v>
      </c>
      <c r="W1154" s="1" t="e">
        <f t="shared" si="259"/>
        <v>#VALUE!</v>
      </c>
      <c r="X1154" s="26" t="e">
        <f t="shared" si="260"/>
        <v>#VALUE!</v>
      </c>
      <c r="Y1154" s="26" t="e">
        <f t="shared" si="261"/>
        <v>#VALUE!</v>
      </c>
      <c r="Z1154" s="1" t="e">
        <f t="shared" si="262"/>
        <v>#VALUE!</v>
      </c>
      <c r="AA1154"/>
      <c r="AB1154"/>
    </row>
    <row r="1155" spans="1:28" x14ac:dyDescent="0.55000000000000004">
      <c r="A1155" s="1">
        <f t="shared" ref="A1155:A1218" si="263">A1154+1</f>
        <v>1155</v>
      </c>
      <c r="B1155" t="s">
        <v>40</v>
      </c>
      <c r="C1155" t="s">
        <v>120</v>
      </c>
      <c r="D1155" t="s">
        <v>133</v>
      </c>
      <c r="E1155" t="s">
        <v>345</v>
      </c>
      <c r="F1155" t="s">
        <v>391</v>
      </c>
      <c r="G1155" t="s">
        <v>252</v>
      </c>
      <c r="I1155" t="s">
        <v>266</v>
      </c>
      <c r="K1155" t="s">
        <v>254</v>
      </c>
      <c r="M1155" t="s">
        <v>47</v>
      </c>
      <c r="N1155" s="1" t="e">
        <f t="shared" ref="N1155:N1218" si="264">VALUE(LEFT(H1155,1))</f>
        <v>#VALUE!</v>
      </c>
      <c r="O1155" s="1" t="e">
        <f t="shared" ref="O1155:O1218" si="265">VALUE(RIGHT(H1155,1))</f>
        <v>#VALUE!</v>
      </c>
      <c r="P1155" s="1" t="e">
        <f t="shared" ref="P1155:P1218" si="266">SUM(N1155,O1155)</f>
        <v>#VALUE!</v>
      </c>
      <c r="Q1155" s="1" t="e">
        <f t="shared" ref="Q1155:Q1218" si="267">IF(N1155&lt;&gt;O1155, 1, 0)</f>
        <v>#VALUE!</v>
      </c>
      <c r="R1155" s="1" t="e">
        <f t="shared" ref="R1155:R1218" si="268">IF(P1155&lt;=4,1,0)</f>
        <v>#VALUE!</v>
      </c>
      <c r="S1155" s="1" t="e">
        <f t="shared" ref="S1155:S1218" si="269">IF(AND(Q1155=1,R1155=1),1,0)</f>
        <v>#VALUE!</v>
      </c>
      <c r="T1155" s="1" t="e">
        <f t="shared" ref="T1155:T1218" si="270">IF(N1155&lt;=2,1,0)</f>
        <v>#VALUE!</v>
      </c>
      <c r="U1155" s="26" t="e">
        <f t="shared" ref="U1155:U1218" si="271">IF(AND(N1155&gt;=1,N1155&lt;=3),1,0)</f>
        <v>#VALUE!</v>
      </c>
      <c r="V1155" s="26" t="e">
        <f t="shared" ref="V1155:V1218" si="272">IF(AND(N1155&gt;=2,N1155&lt;=5),1,0)</f>
        <v>#VALUE!</v>
      </c>
      <c r="W1155" s="1" t="e">
        <f t="shared" ref="W1155:W1218" si="273">IF(O1155&lt;=2,1,0)</f>
        <v>#VALUE!</v>
      </c>
      <c r="X1155" s="26" t="e">
        <f t="shared" ref="X1155:X1218" si="274">IF(AND(O1155&gt;=1,O1155&lt;=3),1,0)</f>
        <v>#VALUE!</v>
      </c>
      <c r="Y1155" s="26" t="e">
        <f t="shared" ref="Y1155:Y1218" si="275">IF(AND(O1155&gt;=2,O1155&lt;=5),1,0)</f>
        <v>#VALUE!</v>
      </c>
      <c r="Z1155" s="1" t="e">
        <f t="shared" ref="Z1155:Z1218" si="276">IF(P1155&gt;=2,1,0)</f>
        <v>#VALUE!</v>
      </c>
      <c r="AA1155"/>
      <c r="AB1155"/>
    </row>
    <row r="1156" spans="1:28" x14ac:dyDescent="0.55000000000000004">
      <c r="A1156" s="1">
        <f t="shared" si="263"/>
        <v>1156</v>
      </c>
      <c r="B1156" t="s">
        <v>40</v>
      </c>
      <c r="C1156" t="s">
        <v>120</v>
      </c>
      <c r="D1156" t="s">
        <v>133</v>
      </c>
      <c r="E1156" t="s">
        <v>345</v>
      </c>
      <c r="F1156" t="s">
        <v>392</v>
      </c>
      <c r="G1156" t="s">
        <v>261</v>
      </c>
      <c r="I1156" t="s">
        <v>263</v>
      </c>
      <c r="K1156" t="s">
        <v>393</v>
      </c>
      <c r="M1156" t="s">
        <v>47</v>
      </c>
      <c r="N1156" s="1" t="e">
        <f t="shared" si="264"/>
        <v>#VALUE!</v>
      </c>
      <c r="O1156" s="1" t="e">
        <f t="shared" si="265"/>
        <v>#VALUE!</v>
      </c>
      <c r="P1156" s="1" t="e">
        <f t="shared" si="266"/>
        <v>#VALUE!</v>
      </c>
      <c r="Q1156" s="1" t="e">
        <f t="shared" si="267"/>
        <v>#VALUE!</v>
      </c>
      <c r="R1156" s="1" t="e">
        <f t="shared" si="268"/>
        <v>#VALUE!</v>
      </c>
      <c r="S1156" s="1" t="e">
        <f t="shared" si="269"/>
        <v>#VALUE!</v>
      </c>
      <c r="T1156" s="1" t="e">
        <f t="shared" si="270"/>
        <v>#VALUE!</v>
      </c>
      <c r="U1156" s="26" t="e">
        <f t="shared" si="271"/>
        <v>#VALUE!</v>
      </c>
      <c r="V1156" s="26" t="e">
        <f t="shared" si="272"/>
        <v>#VALUE!</v>
      </c>
      <c r="W1156" s="1" t="e">
        <f t="shared" si="273"/>
        <v>#VALUE!</v>
      </c>
      <c r="X1156" s="26" t="e">
        <f t="shared" si="274"/>
        <v>#VALUE!</v>
      </c>
      <c r="Y1156" s="26" t="e">
        <f t="shared" si="275"/>
        <v>#VALUE!</v>
      </c>
      <c r="Z1156" s="1" t="e">
        <f t="shared" si="276"/>
        <v>#VALUE!</v>
      </c>
      <c r="AA1156"/>
      <c r="AB1156"/>
    </row>
    <row r="1157" spans="1:28" x14ac:dyDescent="0.55000000000000004">
      <c r="A1157" s="1">
        <f t="shared" si="263"/>
        <v>1157</v>
      </c>
      <c r="B1157" t="s">
        <v>30</v>
      </c>
      <c r="C1157" t="s">
        <v>117</v>
      </c>
      <c r="D1157" t="s">
        <v>42</v>
      </c>
      <c r="E1157" t="s">
        <v>399</v>
      </c>
      <c r="F1157" t="s">
        <v>380</v>
      </c>
      <c r="G1157" t="s">
        <v>48</v>
      </c>
      <c r="I1157" t="s">
        <v>64</v>
      </c>
      <c r="K1157" t="s">
        <v>50</v>
      </c>
      <c r="M1157" t="s">
        <v>47</v>
      </c>
      <c r="N1157" s="1" t="e">
        <f t="shared" si="264"/>
        <v>#VALUE!</v>
      </c>
      <c r="O1157" s="1" t="e">
        <f t="shared" si="265"/>
        <v>#VALUE!</v>
      </c>
      <c r="P1157" s="1" t="e">
        <f t="shared" si="266"/>
        <v>#VALUE!</v>
      </c>
      <c r="Q1157" s="1" t="e">
        <f t="shared" si="267"/>
        <v>#VALUE!</v>
      </c>
      <c r="R1157" s="1" t="e">
        <f t="shared" si="268"/>
        <v>#VALUE!</v>
      </c>
      <c r="S1157" s="1" t="e">
        <f t="shared" si="269"/>
        <v>#VALUE!</v>
      </c>
      <c r="T1157" s="1" t="e">
        <f t="shared" si="270"/>
        <v>#VALUE!</v>
      </c>
      <c r="U1157" s="26" t="e">
        <f t="shared" si="271"/>
        <v>#VALUE!</v>
      </c>
      <c r="V1157" s="26" t="e">
        <f t="shared" si="272"/>
        <v>#VALUE!</v>
      </c>
      <c r="W1157" s="1" t="e">
        <f t="shared" si="273"/>
        <v>#VALUE!</v>
      </c>
      <c r="X1157" s="26" t="e">
        <f t="shared" si="274"/>
        <v>#VALUE!</v>
      </c>
      <c r="Y1157" s="26" t="e">
        <f t="shared" si="275"/>
        <v>#VALUE!</v>
      </c>
      <c r="Z1157" s="1" t="e">
        <f t="shared" si="276"/>
        <v>#VALUE!</v>
      </c>
      <c r="AA1157"/>
      <c r="AB1157"/>
    </row>
    <row r="1158" spans="1:28" x14ac:dyDescent="0.55000000000000004">
      <c r="A1158" s="1">
        <f t="shared" si="263"/>
        <v>1158</v>
      </c>
      <c r="B1158" t="s">
        <v>30</v>
      </c>
      <c r="C1158" t="s">
        <v>117</v>
      </c>
      <c r="D1158" t="s">
        <v>42</v>
      </c>
      <c r="E1158" t="s">
        <v>399</v>
      </c>
      <c r="F1158" t="s">
        <v>380</v>
      </c>
      <c r="G1158" t="s">
        <v>51</v>
      </c>
      <c r="I1158" t="s">
        <v>58</v>
      </c>
      <c r="K1158" t="s">
        <v>53</v>
      </c>
      <c r="M1158" t="s">
        <v>47</v>
      </c>
      <c r="N1158" s="1" t="e">
        <f t="shared" si="264"/>
        <v>#VALUE!</v>
      </c>
      <c r="O1158" s="1" t="e">
        <f t="shared" si="265"/>
        <v>#VALUE!</v>
      </c>
      <c r="P1158" s="1" t="e">
        <f t="shared" si="266"/>
        <v>#VALUE!</v>
      </c>
      <c r="Q1158" s="1" t="e">
        <f t="shared" si="267"/>
        <v>#VALUE!</v>
      </c>
      <c r="R1158" s="1" t="e">
        <f t="shared" si="268"/>
        <v>#VALUE!</v>
      </c>
      <c r="S1158" s="1" t="e">
        <f t="shared" si="269"/>
        <v>#VALUE!</v>
      </c>
      <c r="T1158" s="1" t="e">
        <f t="shared" si="270"/>
        <v>#VALUE!</v>
      </c>
      <c r="U1158" s="26" t="e">
        <f t="shared" si="271"/>
        <v>#VALUE!</v>
      </c>
      <c r="V1158" s="26" t="e">
        <f t="shared" si="272"/>
        <v>#VALUE!</v>
      </c>
      <c r="W1158" s="1" t="e">
        <f t="shared" si="273"/>
        <v>#VALUE!</v>
      </c>
      <c r="X1158" s="26" t="e">
        <f t="shared" si="274"/>
        <v>#VALUE!</v>
      </c>
      <c r="Y1158" s="26" t="e">
        <f t="shared" si="275"/>
        <v>#VALUE!</v>
      </c>
      <c r="Z1158" s="1" t="e">
        <f t="shared" si="276"/>
        <v>#VALUE!</v>
      </c>
      <c r="AA1158"/>
      <c r="AB1158"/>
    </row>
    <row r="1159" spans="1:28" x14ac:dyDescent="0.55000000000000004">
      <c r="A1159" s="1">
        <f t="shared" si="263"/>
        <v>1159</v>
      </c>
      <c r="B1159" t="s">
        <v>30</v>
      </c>
      <c r="C1159" t="s">
        <v>117</v>
      </c>
      <c r="D1159" t="s">
        <v>42</v>
      </c>
      <c r="E1159" t="s">
        <v>399</v>
      </c>
      <c r="F1159" t="s">
        <v>398</v>
      </c>
      <c r="G1159" t="s">
        <v>66</v>
      </c>
      <c r="I1159" t="s">
        <v>49</v>
      </c>
      <c r="K1159" t="s">
        <v>68</v>
      </c>
      <c r="M1159" t="s">
        <v>47</v>
      </c>
      <c r="N1159" s="1" t="e">
        <f t="shared" si="264"/>
        <v>#VALUE!</v>
      </c>
      <c r="O1159" s="1" t="e">
        <f t="shared" si="265"/>
        <v>#VALUE!</v>
      </c>
      <c r="P1159" s="1" t="e">
        <f t="shared" si="266"/>
        <v>#VALUE!</v>
      </c>
      <c r="Q1159" s="1" t="e">
        <f t="shared" si="267"/>
        <v>#VALUE!</v>
      </c>
      <c r="R1159" s="1" t="e">
        <f t="shared" si="268"/>
        <v>#VALUE!</v>
      </c>
      <c r="S1159" s="1" t="e">
        <f t="shared" si="269"/>
        <v>#VALUE!</v>
      </c>
      <c r="T1159" s="1" t="e">
        <f t="shared" si="270"/>
        <v>#VALUE!</v>
      </c>
      <c r="U1159" s="26" t="e">
        <f t="shared" si="271"/>
        <v>#VALUE!</v>
      </c>
      <c r="V1159" s="26" t="e">
        <f t="shared" si="272"/>
        <v>#VALUE!</v>
      </c>
      <c r="W1159" s="1" t="e">
        <f t="shared" si="273"/>
        <v>#VALUE!</v>
      </c>
      <c r="X1159" s="26" t="e">
        <f t="shared" si="274"/>
        <v>#VALUE!</v>
      </c>
      <c r="Y1159" s="26" t="e">
        <f t="shared" si="275"/>
        <v>#VALUE!</v>
      </c>
      <c r="Z1159" s="1" t="e">
        <f t="shared" si="276"/>
        <v>#VALUE!</v>
      </c>
      <c r="AA1159"/>
      <c r="AB1159"/>
    </row>
    <row r="1160" spans="1:28" x14ac:dyDescent="0.55000000000000004">
      <c r="A1160" s="1">
        <f t="shared" si="263"/>
        <v>1160</v>
      </c>
      <c r="B1160" t="s">
        <v>30</v>
      </c>
      <c r="C1160" t="s">
        <v>117</v>
      </c>
      <c r="D1160" t="s">
        <v>42</v>
      </c>
      <c r="E1160" t="s">
        <v>399</v>
      </c>
      <c r="F1160" t="s">
        <v>400</v>
      </c>
      <c r="G1160" t="s">
        <v>61</v>
      </c>
      <c r="I1160" t="s">
        <v>57</v>
      </c>
      <c r="K1160" t="s">
        <v>62</v>
      </c>
      <c r="M1160" t="s">
        <v>47</v>
      </c>
      <c r="N1160" s="1" t="e">
        <f t="shared" si="264"/>
        <v>#VALUE!</v>
      </c>
      <c r="O1160" s="1" t="e">
        <f t="shared" si="265"/>
        <v>#VALUE!</v>
      </c>
      <c r="P1160" s="1" t="e">
        <f t="shared" si="266"/>
        <v>#VALUE!</v>
      </c>
      <c r="Q1160" s="1" t="e">
        <f t="shared" si="267"/>
        <v>#VALUE!</v>
      </c>
      <c r="R1160" s="1" t="e">
        <f t="shared" si="268"/>
        <v>#VALUE!</v>
      </c>
      <c r="S1160" s="1" t="e">
        <f t="shared" si="269"/>
        <v>#VALUE!</v>
      </c>
      <c r="T1160" s="1" t="e">
        <f t="shared" si="270"/>
        <v>#VALUE!</v>
      </c>
      <c r="U1160" s="26" t="e">
        <f t="shared" si="271"/>
        <v>#VALUE!</v>
      </c>
      <c r="V1160" s="26" t="e">
        <f t="shared" si="272"/>
        <v>#VALUE!</v>
      </c>
      <c r="W1160" s="1" t="e">
        <f t="shared" si="273"/>
        <v>#VALUE!</v>
      </c>
      <c r="X1160" s="26" t="e">
        <f t="shared" si="274"/>
        <v>#VALUE!</v>
      </c>
      <c r="Y1160" s="26" t="e">
        <f t="shared" si="275"/>
        <v>#VALUE!</v>
      </c>
      <c r="Z1160" s="1" t="e">
        <f t="shared" si="276"/>
        <v>#VALUE!</v>
      </c>
      <c r="AA1160"/>
      <c r="AB1160"/>
    </row>
    <row r="1161" spans="1:28" x14ac:dyDescent="0.55000000000000004">
      <c r="A1161" s="1">
        <f t="shared" si="263"/>
        <v>1161</v>
      </c>
      <c r="B1161" t="s">
        <v>33</v>
      </c>
      <c r="C1161" t="s">
        <v>126</v>
      </c>
      <c r="D1161" t="s">
        <v>42</v>
      </c>
      <c r="E1161" t="s">
        <v>399</v>
      </c>
      <c r="F1161" t="s">
        <v>364</v>
      </c>
      <c r="G1161" t="s">
        <v>365</v>
      </c>
      <c r="I1161" t="s">
        <v>282</v>
      </c>
      <c r="K1161" t="s">
        <v>369</v>
      </c>
      <c r="M1161" t="s">
        <v>47</v>
      </c>
      <c r="N1161" s="1" t="e">
        <f t="shared" si="264"/>
        <v>#VALUE!</v>
      </c>
      <c r="O1161" s="1" t="e">
        <f t="shared" si="265"/>
        <v>#VALUE!</v>
      </c>
      <c r="P1161" s="1" t="e">
        <f t="shared" si="266"/>
        <v>#VALUE!</v>
      </c>
      <c r="Q1161" s="1" t="e">
        <f t="shared" si="267"/>
        <v>#VALUE!</v>
      </c>
      <c r="R1161" s="1" t="e">
        <f t="shared" si="268"/>
        <v>#VALUE!</v>
      </c>
      <c r="S1161" s="1" t="e">
        <f t="shared" si="269"/>
        <v>#VALUE!</v>
      </c>
      <c r="T1161" s="1" t="e">
        <f t="shared" si="270"/>
        <v>#VALUE!</v>
      </c>
      <c r="U1161" s="26" t="e">
        <f t="shared" si="271"/>
        <v>#VALUE!</v>
      </c>
      <c r="V1161" s="26" t="e">
        <f t="shared" si="272"/>
        <v>#VALUE!</v>
      </c>
      <c r="W1161" s="1" t="e">
        <f t="shared" si="273"/>
        <v>#VALUE!</v>
      </c>
      <c r="X1161" s="26" t="e">
        <f t="shared" si="274"/>
        <v>#VALUE!</v>
      </c>
      <c r="Y1161" s="26" t="e">
        <f t="shared" si="275"/>
        <v>#VALUE!</v>
      </c>
      <c r="Z1161" s="1" t="e">
        <f t="shared" si="276"/>
        <v>#VALUE!</v>
      </c>
      <c r="AA1161"/>
      <c r="AB1161"/>
    </row>
    <row r="1162" spans="1:28" x14ac:dyDescent="0.55000000000000004">
      <c r="A1162" s="1">
        <f t="shared" si="263"/>
        <v>1162</v>
      </c>
      <c r="B1162" t="s">
        <v>33</v>
      </c>
      <c r="C1162" t="s">
        <v>126</v>
      </c>
      <c r="D1162" t="s">
        <v>42</v>
      </c>
      <c r="E1162" t="s">
        <v>399</v>
      </c>
      <c r="F1162" t="s">
        <v>277</v>
      </c>
      <c r="G1162" t="s">
        <v>284</v>
      </c>
      <c r="I1162" t="s">
        <v>278</v>
      </c>
      <c r="K1162" t="s">
        <v>286</v>
      </c>
      <c r="M1162" t="s">
        <v>47</v>
      </c>
      <c r="N1162" s="1" t="e">
        <f t="shared" si="264"/>
        <v>#VALUE!</v>
      </c>
      <c r="O1162" s="1" t="e">
        <f t="shared" si="265"/>
        <v>#VALUE!</v>
      </c>
      <c r="P1162" s="1" t="e">
        <f t="shared" si="266"/>
        <v>#VALUE!</v>
      </c>
      <c r="Q1162" s="1" t="e">
        <f t="shared" si="267"/>
        <v>#VALUE!</v>
      </c>
      <c r="R1162" s="1" t="e">
        <f t="shared" si="268"/>
        <v>#VALUE!</v>
      </c>
      <c r="S1162" s="1" t="e">
        <f t="shared" si="269"/>
        <v>#VALUE!</v>
      </c>
      <c r="T1162" s="1" t="e">
        <f t="shared" si="270"/>
        <v>#VALUE!</v>
      </c>
      <c r="U1162" s="26" t="e">
        <f t="shared" si="271"/>
        <v>#VALUE!</v>
      </c>
      <c r="V1162" s="26" t="e">
        <f t="shared" si="272"/>
        <v>#VALUE!</v>
      </c>
      <c r="W1162" s="1" t="e">
        <f t="shared" si="273"/>
        <v>#VALUE!</v>
      </c>
      <c r="X1162" s="26" t="e">
        <f t="shared" si="274"/>
        <v>#VALUE!</v>
      </c>
      <c r="Y1162" s="26" t="e">
        <f t="shared" si="275"/>
        <v>#VALUE!</v>
      </c>
      <c r="Z1162" s="1" t="e">
        <f t="shared" si="276"/>
        <v>#VALUE!</v>
      </c>
      <c r="AA1162"/>
      <c r="AB1162"/>
    </row>
    <row r="1163" spans="1:28" x14ac:dyDescent="0.55000000000000004">
      <c r="A1163" s="1">
        <f t="shared" si="263"/>
        <v>1163</v>
      </c>
      <c r="B1163" t="s">
        <v>33</v>
      </c>
      <c r="C1163" t="s">
        <v>126</v>
      </c>
      <c r="D1163" t="s">
        <v>42</v>
      </c>
      <c r="E1163" t="s">
        <v>399</v>
      </c>
      <c r="F1163" t="s">
        <v>277</v>
      </c>
      <c r="G1163" t="s">
        <v>367</v>
      </c>
      <c r="I1163" t="s">
        <v>281</v>
      </c>
      <c r="K1163" t="s">
        <v>368</v>
      </c>
      <c r="M1163" t="s">
        <v>47</v>
      </c>
      <c r="N1163" s="1" t="e">
        <f t="shared" si="264"/>
        <v>#VALUE!</v>
      </c>
      <c r="O1163" s="1" t="e">
        <f t="shared" si="265"/>
        <v>#VALUE!</v>
      </c>
      <c r="P1163" s="1" t="e">
        <f t="shared" si="266"/>
        <v>#VALUE!</v>
      </c>
      <c r="Q1163" s="1" t="e">
        <f t="shared" si="267"/>
        <v>#VALUE!</v>
      </c>
      <c r="R1163" s="1" t="e">
        <f t="shared" si="268"/>
        <v>#VALUE!</v>
      </c>
      <c r="S1163" s="1" t="e">
        <f t="shared" si="269"/>
        <v>#VALUE!</v>
      </c>
      <c r="T1163" s="1" t="e">
        <f t="shared" si="270"/>
        <v>#VALUE!</v>
      </c>
      <c r="U1163" s="26" t="e">
        <f t="shared" si="271"/>
        <v>#VALUE!</v>
      </c>
      <c r="V1163" s="26" t="e">
        <f t="shared" si="272"/>
        <v>#VALUE!</v>
      </c>
      <c r="W1163" s="1" t="e">
        <f t="shared" si="273"/>
        <v>#VALUE!</v>
      </c>
      <c r="X1163" s="26" t="e">
        <f t="shared" si="274"/>
        <v>#VALUE!</v>
      </c>
      <c r="Y1163" s="26" t="e">
        <f t="shared" si="275"/>
        <v>#VALUE!</v>
      </c>
      <c r="Z1163" s="1" t="e">
        <f t="shared" si="276"/>
        <v>#VALUE!</v>
      </c>
      <c r="AA1163"/>
      <c r="AB1163"/>
    </row>
    <row r="1164" spans="1:28" x14ac:dyDescent="0.55000000000000004">
      <c r="A1164" s="1">
        <f t="shared" si="263"/>
        <v>1164</v>
      </c>
      <c r="B1164" t="s">
        <v>33</v>
      </c>
      <c r="C1164" t="s">
        <v>126</v>
      </c>
      <c r="D1164" t="s">
        <v>42</v>
      </c>
      <c r="E1164" t="s">
        <v>399</v>
      </c>
      <c r="F1164" t="s">
        <v>290</v>
      </c>
      <c r="G1164" t="s">
        <v>296</v>
      </c>
      <c r="I1164" t="s">
        <v>279</v>
      </c>
      <c r="K1164" t="s">
        <v>297</v>
      </c>
      <c r="M1164" t="s">
        <v>47</v>
      </c>
      <c r="N1164" s="1" t="e">
        <f t="shared" si="264"/>
        <v>#VALUE!</v>
      </c>
      <c r="O1164" s="1" t="e">
        <f t="shared" si="265"/>
        <v>#VALUE!</v>
      </c>
      <c r="P1164" s="1" t="e">
        <f t="shared" si="266"/>
        <v>#VALUE!</v>
      </c>
      <c r="Q1164" s="1" t="e">
        <f t="shared" si="267"/>
        <v>#VALUE!</v>
      </c>
      <c r="R1164" s="1" t="e">
        <f t="shared" si="268"/>
        <v>#VALUE!</v>
      </c>
      <c r="S1164" s="1" t="e">
        <f t="shared" si="269"/>
        <v>#VALUE!</v>
      </c>
      <c r="T1164" s="1" t="e">
        <f t="shared" si="270"/>
        <v>#VALUE!</v>
      </c>
      <c r="U1164" s="26" t="e">
        <f t="shared" si="271"/>
        <v>#VALUE!</v>
      </c>
      <c r="V1164" s="26" t="e">
        <f t="shared" si="272"/>
        <v>#VALUE!</v>
      </c>
      <c r="W1164" s="1" t="e">
        <f t="shared" si="273"/>
        <v>#VALUE!</v>
      </c>
      <c r="X1164" s="26" t="e">
        <f t="shared" si="274"/>
        <v>#VALUE!</v>
      </c>
      <c r="Y1164" s="26" t="e">
        <f t="shared" si="275"/>
        <v>#VALUE!</v>
      </c>
      <c r="Z1164" s="1" t="e">
        <f t="shared" si="276"/>
        <v>#VALUE!</v>
      </c>
      <c r="AA1164"/>
      <c r="AB1164"/>
    </row>
    <row r="1165" spans="1:28" x14ac:dyDescent="0.55000000000000004">
      <c r="A1165" s="1">
        <f t="shared" si="263"/>
        <v>1165</v>
      </c>
      <c r="B1165" t="s">
        <v>34</v>
      </c>
      <c r="C1165" t="s">
        <v>196</v>
      </c>
      <c r="D1165" t="s">
        <v>42</v>
      </c>
      <c r="E1165" t="s">
        <v>399</v>
      </c>
      <c r="F1165" t="s">
        <v>380</v>
      </c>
      <c r="G1165" t="s">
        <v>96</v>
      </c>
      <c r="I1165" t="s">
        <v>89</v>
      </c>
      <c r="K1165" t="s">
        <v>110</v>
      </c>
      <c r="M1165" t="s">
        <v>47</v>
      </c>
      <c r="N1165" s="1" t="e">
        <f t="shared" si="264"/>
        <v>#VALUE!</v>
      </c>
      <c r="O1165" s="1" t="e">
        <f t="shared" si="265"/>
        <v>#VALUE!</v>
      </c>
      <c r="P1165" s="1" t="e">
        <f t="shared" si="266"/>
        <v>#VALUE!</v>
      </c>
      <c r="Q1165" s="1" t="e">
        <f t="shared" si="267"/>
        <v>#VALUE!</v>
      </c>
      <c r="R1165" s="1" t="e">
        <f t="shared" si="268"/>
        <v>#VALUE!</v>
      </c>
      <c r="S1165" s="1" t="e">
        <f t="shared" si="269"/>
        <v>#VALUE!</v>
      </c>
      <c r="T1165" s="1" t="e">
        <f t="shared" si="270"/>
        <v>#VALUE!</v>
      </c>
      <c r="U1165" s="26" t="e">
        <f t="shared" si="271"/>
        <v>#VALUE!</v>
      </c>
      <c r="V1165" s="26" t="e">
        <f t="shared" si="272"/>
        <v>#VALUE!</v>
      </c>
      <c r="W1165" s="1" t="e">
        <f t="shared" si="273"/>
        <v>#VALUE!</v>
      </c>
      <c r="X1165" s="26" t="e">
        <f t="shared" si="274"/>
        <v>#VALUE!</v>
      </c>
      <c r="Y1165" s="26" t="e">
        <f t="shared" si="275"/>
        <v>#VALUE!</v>
      </c>
      <c r="Z1165" s="1" t="e">
        <f t="shared" si="276"/>
        <v>#VALUE!</v>
      </c>
      <c r="AA1165"/>
      <c r="AB1165"/>
    </row>
    <row r="1166" spans="1:28" x14ac:dyDescent="0.55000000000000004">
      <c r="A1166" s="1">
        <f t="shared" si="263"/>
        <v>1166</v>
      </c>
      <c r="B1166" t="s">
        <v>34</v>
      </c>
      <c r="C1166" t="s">
        <v>196</v>
      </c>
      <c r="D1166" t="s">
        <v>42</v>
      </c>
      <c r="E1166" t="s">
        <v>399</v>
      </c>
      <c r="F1166" t="s">
        <v>376</v>
      </c>
      <c r="G1166" t="s">
        <v>86</v>
      </c>
      <c r="I1166" t="s">
        <v>95</v>
      </c>
      <c r="K1166" t="s">
        <v>88</v>
      </c>
      <c r="M1166" t="s">
        <v>47</v>
      </c>
      <c r="N1166" s="1" t="e">
        <f t="shared" si="264"/>
        <v>#VALUE!</v>
      </c>
      <c r="O1166" s="1" t="e">
        <f t="shared" si="265"/>
        <v>#VALUE!</v>
      </c>
      <c r="P1166" s="1" t="e">
        <f t="shared" si="266"/>
        <v>#VALUE!</v>
      </c>
      <c r="Q1166" s="1" t="e">
        <f t="shared" si="267"/>
        <v>#VALUE!</v>
      </c>
      <c r="R1166" s="1" t="e">
        <f t="shared" si="268"/>
        <v>#VALUE!</v>
      </c>
      <c r="S1166" s="1" t="e">
        <f t="shared" si="269"/>
        <v>#VALUE!</v>
      </c>
      <c r="T1166" s="1" t="e">
        <f t="shared" si="270"/>
        <v>#VALUE!</v>
      </c>
      <c r="U1166" s="26" t="e">
        <f t="shared" si="271"/>
        <v>#VALUE!</v>
      </c>
      <c r="V1166" s="26" t="e">
        <f t="shared" si="272"/>
        <v>#VALUE!</v>
      </c>
      <c r="W1166" s="1" t="e">
        <f t="shared" si="273"/>
        <v>#VALUE!</v>
      </c>
      <c r="X1166" s="26" t="e">
        <f t="shared" si="274"/>
        <v>#VALUE!</v>
      </c>
      <c r="Y1166" s="26" t="e">
        <f t="shared" si="275"/>
        <v>#VALUE!</v>
      </c>
      <c r="Z1166" s="1" t="e">
        <f t="shared" si="276"/>
        <v>#VALUE!</v>
      </c>
      <c r="AA1166"/>
      <c r="AB1166"/>
    </row>
    <row r="1167" spans="1:28" x14ac:dyDescent="0.55000000000000004">
      <c r="A1167" s="1">
        <f t="shared" si="263"/>
        <v>1167</v>
      </c>
      <c r="B1167" t="s">
        <v>34</v>
      </c>
      <c r="C1167" t="s">
        <v>196</v>
      </c>
      <c r="D1167" t="s">
        <v>42</v>
      </c>
      <c r="E1167" t="s">
        <v>399</v>
      </c>
      <c r="F1167" t="s">
        <v>375</v>
      </c>
      <c r="G1167" t="s">
        <v>87</v>
      </c>
      <c r="I1167" t="s">
        <v>92</v>
      </c>
      <c r="K1167" t="s">
        <v>109</v>
      </c>
      <c r="M1167" t="s">
        <v>47</v>
      </c>
      <c r="N1167" s="1" t="e">
        <f t="shared" si="264"/>
        <v>#VALUE!</v>
      </c>
      <c r="O1167" s="1" t="e">
        <f t="shared" si="265"/>
        <v>#VALUE!</v>
      </c>
      <c r="P1167" s="1" t="e">
        <f t="shared" si="266"/>
        <v>#VALUE!</v>
      </c>
      <c r="Q1167" s="1" t="e">
        <f t="shared" si="267"/>
        <v>#VALUE!</v>
      </c>
      <c r="R1167" s="1" t="e">
        <f t="shared" si="268"/>
        <v>#VALUE!</v>
      </c>
      <c r="S1167" s="1" t="e">
        <f t="shared" si="269"/>
        <v>#VALUE!</v>
      </c>
      <c r="T1167" s="1" t="e">
        <f t="shared" si="270"/>
        <v>#VALUE!</v>
      </c>
      <c r="U1167" s="26" t="e">
        <f t="shared" si="271"/>
        <v>#VALUE!</v>
      </c>
      <c r="V1167" s="26" t="e">
        <f t="shared" si="272"/>
        <v>#VALUE!</v>
      </c>
      <c r="W1167" s="1" t="e">
        <f t="shared" si="273"/>
        <v>#VALUE!</v>
      </c>
      <c r="X1167" s="26" t="e">
        <f t="shared" si="274"/>
        <v>#VALUE!</v>
      </c>
      <c r="Y1167" s="26" t="e">
        <f t="shared" si="275"/>
        <v>#VALUE!</v>
      </c>
      <c r="Z1167" s="1" t="e">
        <f t="shared" si="276"/>
        <v>#VALUE!</v>
      </c>
      <c r="AA1167"/>
      <c r="AB1167"/>
    </row>
    <row r="1168" spans="1:28" x14ac:dyDescent="0.55000000000000004">
      <c r="A1168" s="1">
        <f t="shared" si="263"/>
        <v>1168</v>
      </c>
      <c r="B1168" t="s">
        <v>35</v>
      </c>
      <c r="C1168" t="s">
        <v>118</v>
      </c>
      <c r="D1168" t="s">
        <v>42</v>
      </c>
      <c r="E1168" t="s">
        <v>399</v>
      </c>
      <c r="F1168" t="s">
        <v>411</v>
      </c>
      <c r="G1168" t="s">
        <v>384</v>
      </c>
      <c r="I1168" t="s">
        <v>214</v>
      </c>
      <c r="K1168" t="s">
        <v>385</v>
      </c>
      <c r="M1168" t="s">
        <v>47</v>
      </c>
      <c r="N1168" s="1" t="e">
        <f t="shared" si="264"/>
        <v>#VALUE!</v>
      </c>
      <c r="O1168" s="1" t="e">
        <f t="shared" si="265"/>
        <v>#VALUE!</v>
      </c>
      <c r="P1168" s="1" t="e">
        <f t="shared" si="266"/>
        <v>#VALUE!</v>
      </c>
      <c r="Q1168" s="1" t="e">
        <f t="shared" si="267"/>
        <v>#VALUE!</v>
      </c>
      <c r="R1168" s="1" t="e">
        <f t="shared" si="268"/>
        <v>#VALUE!</v>
      </c>
      <c r="S1168" s="1" t="e">
        <f t="shared" si="269"/>
        <v>#VALUE!</v>
      </c>
      <c r="T1168" s="1" t="e">
        <f t="shared" si="270"/>
        <v>#VALUE!</v>
      </c>
      <c r="U1168" s="26" t="e">
        <f t="shared" si="271"/>
        <v>#VALUE!</v>
      </c>
      <c r="V1168" s="26" t="e">
        <f t="shared" si="272"/>
        <v>#VALUE!</v>
      </c>
      <c r="W1168" s="1" t="e">
        <f t="shared" si="273"/>
        <v>#VALUE!</v>
      </c>
      <c r="X1168" s="26" t="e">
        <f t="shared" si="274"/>
        <v>#VALUE!</v>
      </c>
      <c r="Y1168" s="26" t="e">
        <f t="shared" si="275"/>
        <v>#VALUE!</v>
      </c>
      <c r="Z1168" s="1" t="e">
        <f t="shared" si="276"/>
        <v>#VALUE!</v>
      </c>
      <c r="AA1168"/>
      <c r="AB1168"/>
    </row>
    <row r="1169" spans="1:28" x14ac:dyDescent="0.55000000000000004">
      <c r="A1169" s="1">
        <f t="shared" si="263"/>
        <v>1169</v>
      </c>
      <c r="B1169" t="s">
        <v>35</v>
      </c>
      <c r="C1169" t="s">
        <v>118</v>
      </c>
      <c r="D1169" t="s">
        <v>42</v>
      </c>
      <c r="E1169" t="s">
        <v>399</v>
      </c>
      <c r="F1169" t="s">
        <v>412</v>
      </c>
      <c r="G1169" t="s">
        <v>306</v>
      </c>
      <c r="I1169" t="s">
        <v>208</v>
      </c>
      <c r="K1169" t="s">
        <v>308</v>
      </c>
      <c r="M1169" t="s">
        <v>47</v>
      </c>
      <c r="N1169" s="1" t="e">
        <f t="shared" si="264"/>
        <v>#VALUE!</v>
      </c>
      <c r="O1169" s="1" t="e">
        <f t="shared" si="265"/>
        <v>#VALUE!</v>
      </c>
      <c r="P1169" s="1" t="e">
        <f t="shared" si="266"/>
        <v>#VALUE!</v>
      </c>
      <c r="Q1169" s="1" t="e">
        <f t="shared" si="267"/>
        <v>#VALUE!</v>
      </c>
      <c r="R1169" s="1" t="e">
        <f t="shared" si="268"/>
        <v>#VALUE!</v>
      </c>
      <c r="S1169" s="1" t="e">
        <f t="shared" si="269"/>
        <v>#VALUE!</v>
      </c>
      <c r="T1169" s="1" t="e">
        <f t="shared" si="270"/>
        <v>#VALUE!</v>
      </c>
      <c r="U1169" s="26" t="e">
        <f t="shared" si="271"/>
        <v>#VALUE!</v>
      </c>
      <c r="V1169" s="26" t="e">
        <f t="shared" si="272"/>
        <v>#VALUE!</v>
      </c>
      <c r="W1169" s="1" t="e">
        <f t="shared" si="273"/>
        <v>#VALUE!</v>
      </c>
      <c r="X1169" s="26" t="e">
        <f t="shared" si="274"/>
        <v>#VALUE!</v>
      </c>
      <c r="Y1169" s="26" t="e">
        <f t="shared" si="275"/>
        <v>#VALUE!</v>
      </c>
      <c r="Z1169" s="1" t="e">
        <f t="shared" si="276"/>
        <v>#VALUE!</v>
      </c>
      <c r="AA1169"/>
      <c r="AB1169"/>
    </row>
    <row r="1170" spans="1:28" x14ac:dyDescent="0.55000000000000004">
      <c r="A1170" s="1">
        <f t="shared" si="263"/>
        <v>1170</v>
      </c>
      <c r="B1170" t="s">
        <v>39</v>
      </c>
      <c r="C1170" t="s">
        <v>126</v>
      </c>
      <c r="D1170" t="s">
        <v>42</v>
      </c>
      <c r="E1170" t="s">
        <v>399</v>
      </c>
      <c r="F1170" t="s">
        <v>218</v>
      </c>
      <c r="G1170" t="s">
        <v>223</v>
      </c>
      <c r="I1170" t="s">
        <v>234</v>
      </c>
      <c r="K1170" t="s">
        <v>244</v>
      </c>
      <c r="M1170" t="s">
        <v>47</v>
      </c>
      <c r="N1170" s="1" t="e">
        <f t="shared" si="264"/>
        <v>#VALUE!</v>
      </c>
      <c r="O1170" s="1" t="e">
        <f t="shared" si="265"/>
        <v>#VALUE!</v>
      </c>
      <c r="P1170" s="1" t="e">
        <f t="shared" si="266"/>
        <v>#VALUE!</v>
      </c>
      <c r="Q1170" s="1" t="e">
        <f t="shared" si="267"/>
        <v>#VALUE!</v>
      </c>
      <c r="R1170" s="1" t="e">
        <f t="shared" si="268"/>
        <v>#VALUE!</v>
      </c>
      <c r="S1170" s="1" t="e">
        <f t="shared" si="269"/>
        <v>#VALUE!</v>
      </c>
      <c r="T1170" s="1" t="e">
        <f t="shared" si="270"/>
        <v>#VALUE!</v>
      </c>
      <c r="U1170" s="26" t="e">
        <f t="shared" si="271"/>
        <v>#VALUE!</v>
      </c>
      <c r="V1170" s="26" t="e">
        <f t="shared" si="272"/>
        <v>#VALUE!</v>
      </c>
      <c r="W1170" s="1" t="e">
        <f t="shared" si="273"/>
        <v>#VALUE!</v>
      </c>
      <c r="X1170" s="26" t="e">
        <f t="shared" si="274"/>
        <v>#VALUE!</v>
      </c>
      <c r="Y1170" s="26" t="e">
        <f t="shared" si="275"/>
        <v>#VALUE!</v>
      </c>
      <c r="Z1170" s="1" t="e">
        <f t="shared" si="276"/>
        <v>#VALUE!</v>
      </c>
      <c r="AA1170"/>
      <c r="AB1170"/>
    </row>
    <row r="1171" spans="1:28" x14ac:dyDescent="0.55000000000000004">
      <c r="A1171" s="1">
        <f t="shared" si="263"/>
        <v>1171</v>
      </c>
      <c r="B1171" t="s">
        <v>39</v>
      </c>
      <c r="C1171" t="s">
        <v>126</v>
      </c>
      <c r="D1171" t="s">
        <v>42</v>
      </c>
      <c r="E1171" t="s">
        <v>399</v>
      </c>
      <c r="F1171" t="s">
        <v>218</v>
      </c>
      <c r="G1171" t="s">
        <v>231</v>
      </c>
      <c r="I1171" t="s">
        <v>219</v>
      </c>
      <c r="K1171" t="s">
        <v>233</v>
      </c>
      <c r="M1171" t="s">
        <v>47</v>
      </c>
      <c r="N1171" s="1" t="e">
        <f t="shared" si="264"/>
        <v>#VALUE!</v>
      </c>
      <c r="O1171" s="1" t="e">
        <f t="shared" si="265"/>
        <v>#VALUE!</v>
      </c>
      <c r="P1171" s="1" t="e">
        <f t="shared" si="266"/>
        <v>#VALUE!</v>
      </c>
      <c r="Q1171" s="1" t="e">
        <f t="shared" si="267"/>
        <v>#VALUE!</v>
      </c>
      <c r="R1171" s="1" t="e">
        <f t="shared" si="268"/>
        <v>#VALUE!</v>
      </c>
      <c r="S1171" s="1" t="e">
        <f t="shared" si="269"/>
        <v>#VALUE!</v>
      </c>
      <c r="T1171" s="1" t="e">
        <f t="shared" si="270"/>
        <v>#VALUE!</v>
      </c>
      <c r="U1171" s="26" t="e">
        <f t="shared" si="271"/>
        <v>#VALUE!</v>
      </c>
      <c r="V1171" s="26" t="e">
        <f t="shared" si="272"/>
        <v>#VALUE!</v>
      </c>
      <c r="W1171" s="1" t="e">
        <f t="shared" si="273"/>
        <v>#VALUE!</v>
      </c>
      <c r="X1171" s="26" t="e">
        <f t="shared" si="274"/>
        <v>#VALUE!</v>
      </c>
      <c r="Y1171" s="26" t="e">
        <f t="shared" si="275"/>
        <v>#VALUE!</v>
      </c>
      <c r="Z1171" s="1" t="e">
        <f t="shared" si="276"/>
        <v>#VALUE!</v>
      </c>
      <c r="AA1171"/>
      <c r="AB1171"/>
    </row>
    <row r="1172" spans="1:28" x14ac:dyDescent="0.55000000000000004">
      <c r="A1172" s="1">
        <f t="shared" si="263"/>
        <v>1172</v>
      </c>
      <c r="B1172" t="s">
        <v>39</v>
      </c>
      <c r="C1172" t="s">
        <v>126</v>
      </c>
      <c r="D1172" t="s">
        <v>42</v>
      </c>
      <c r="E1172" t="s">
        <v>399</v>
      </c>
      <c r="F1172" t="s">
        <v>218</v>
      </c>
      <c r="G1172" t="s">
        <v>228</v>
      </c>
      <c r="I1172" t="s">
        <v>222</v>
      </c>
      <c r="K1172" t="s">
        <v>230</v>
      </c>
      <c r="M1172" t="s">
        <v>47</v>
      </c>
      <c r="N1172" s="1" t="e">
        <f t="shared" si="264"/>
        <v>#VALUE!</v>
      </c>
      <c r="O1172" s="1" t="e">
        <f t="shared" si="265"/>
        <v>#VALUE!</v>
      </c>
      <c r="P1172" s="1" t="e">
        <f t="shared" si="266"/>
        <v>#VALUE!</v>
      </c>
      <c r="Q1172" s="1" t="e">
        <f t="shared" si="267"/>
        <v>#VALUE!</v>
      </c>
      <c r="R1172" s="1" t="e">
        <f t="shared" si="268"/>
        <v>#VALUE!</v>
      </c>
      <c r="S1172" s="1" t="e">
        <f t="shared" si="269"/>
        <v>#VALUE!</v>
      </c>
      <c r="T1172" s="1" t="e">
        <f t="shared" si="270"/>
        <v>#VALUE!</v>
      </c>
      <c r="U1172" s="26" t="e">
        <f t="shared" si="271"/>
        <v>#VALUE!</v>
      </c>
      <c r="V1172" s="26" t="e">
        <f t="shared" si="272"/>
        <v>#VALUE!</v>
      </c>
      <c r="W1172" s="1" t="e">
        <f t="shared" si="273"/>
        <v>#VALUE!</v>
      </c>
      <c r="X1172" s="26" t="e">
        <f t="shared" si="274"/>
        <v>#VALUE!</v>
      </c>
      <c r="Y1172" s="26" t="e">
        <f t="shared" si="275"/>
        <v>#VALUE!</v>
      </c>
      <c r="Z1172" s="1" t="e">
        <f t="shared" si="276"/>
        <v>#VALUE!</v>
      </c>
      <c r="AA1172"/>
      <c r="AB1172"/>
    </row>
    <row r="1173" spans="1:28" x14ac:dyDescent="0.55000000000000004">
      <c r="A1173" s="1">
        <f t="shared" si="263"/>
        <v>1173</v>
      </c>
      <c r="B1173" t="s">
        <v>39</v>
      </c>
      <c r="C1173" t="s">
        <v>126</v>
      </c>
      <c r="D1173" t="s">
        <v>42</v>
      </c>
      <c r="E1173" t="s">
        <v>399</v>
      </c>
      <c r="F1173" t="s">
        <v>218</v>
      </c>
      <c r="G1173" t="s">
        <v>235</v>
      </c>
      <c r="I1173" t="s">
        <v>220</v>
      </c>
      <c r="K1173" t="s">
        <v>242</v>
      </c>
      <c r="M1173" t="s">
        <v>47</v>
      </c>
      <c r="N1173" s="1" t="e">
        <f t="shared" si="264"/>
        <v>#VALUE!</v>
      </c>
      <c r="O1173" s="1" t="e">
        <f t="shared" si="265"/>
        <v>#VALUE!</v>
      </c>
      <c r="P1173" s="1" t="e">
        <f t="shared" si="266"/>
        <v>#VALUE!</v>
      </c>
      <c r="Q1173" s="1" t="e">
        <f t="shared" si="267"/>
        <v>#VALUE!</v>
      </c>
      <c r="R1173" s="1" t="e">
        <f t="shared" si="268"/>
        <v>#VALUE!</v>
      </c>
      <c r="S1173" s="1" t="e">
        <f t="shared" si="269"/>
        <v>#VALUE!</v>
      </c>
      <c r="T1173" s="1" t="e">
        <f t="shared" si="270"/>
        <v>#VALUE!</v>
      </c>
      <c r="U1173" s="26" t="e">
        <f t="shared" si="271"/>
        <v>#VALUE!</v>
      </c>
      <c r="V1173" s="26" t="e">
        <f t="shared" si="272"/>
        <v>#VALUE!</v>
      </c>
      <c r="W1173" s="1" t="e">
        <f t="shared" si="273"/>
        <v>#VALUE!</v>
      </c>
      <c r="X1173" s="26" t="e">
        <f t="shared" si="274"/>
        <v>#VALUE!</v>
      </c>
      <c r="Y1173" s="26" t="e">
        <f t="shared" si="275"/>
        <v>#VALUE!</v>
      </c>
      <c r="Z1173" s="1" t="e">
        <f t="shared" si="276"/>
        <v>#VALUE!</v>
      </c>
      <c r="AA1173"/>
      <c r="AB1173"/>
    </row>
    <row r="1174" spans="1:28" x14ac:dyDescent="0.55000000000000004">
      <c r="A1174" s="1">
        <f t="shared" si="263"/>
        <v>1174</v>
      </c>
      <c r="B1174" t="s">
        <v>40</v>
      </c>
      <c r="C1174" t="s">
        <v>120</v>
      </c>
      <c r="D1174" t="s">
        <v>42</v>
      </c>
      <c r="E1174" t="s">
        <v>399</v>
      </c>
      <c r="F1174" t="s">
        <v>394</v>
      </c>
      <c r="G1174" t="s">
        <v>249</v>
      </c>
      <c r="I1174" t="s">
        <v>253</v>
      </c>
      <c r="K1174" t="s">
        <v>262</v>
      </c>
      <c r="M1174" t="s">
        <v>47</v>
      </c>
      <c r="N1174" s="1" t="e">
        <f t="shared" si="264"/>
        <v>#VALUE!</v>
      </c>
      <c r="O1174" s="1" t="e">
        <f t="shared" si="265"/>
        <v>#VALUE!</v>
      </c>
      <c r="P1174" s="1" t="e">
        <f t="shared" si="266"/>
        <v>#VALUE!</v>
      </c>
      <c r="Q1174" s="1" t="e">
        <f t="shared" si="267"/>
        <v>#VALUE!</v>
      </c>
      <c r="R1174" s="1" t="e">
        <f t="shared" si="268"/>
        <v>#VALUE!</v>
      </c>
      <c r="S1174" s="1" t="e">
        <f t="shared" si="269"/>
        <v>#VALUE!</v>
      </c>
      <c r="T1174" s="1" t="e">
        <f t="shared" si="270"/>
        <v>#VALUE!</v>
      </c>
      <c r="U1174" s="26" t="e">
        <f t="shared" si="271"/>
        <v>#VALUE!</v>
      </c>
      <c r="V1174" s="26" t="e">
        <f t="shared" si="272"/>
        <v>#VALUE!</v>
      </c>
      <c r="W1174" s="1" t="e">
        <f t="shared" si="273"/>
        <v>#VALUE!</v>
      </c>
      <c r="X1174" s="26" t="e">
        <f t="shared" si="274"/>
        <v>#VALUE!</v>
      </c>
      <c r="Y1174" s="26" t="e">
        <f t="shared" si="275"/>
        <v>#VALUE!</v>
      </c>
      <c r="Z1174" s="1" t="e">
        <f t="shared" si="276"/>
        <v>#VALUE!</v>
      </c>
      <c r="AA1174"/>
      <c r="AB1174"/>
    </row>
    <row r="1175" spans="1:28" x14ac:dyDescent="0.55000000000000004">
      <c r="A1175" s="1">
        <f t="shared" si="263"/>
        <v>1175</v>
      </c>
      <c r="B1175" t="s">
        <v>40</v>
      </c>
      <c r="C1175" t="s">
        <v>120</v>
      </c>
      <c r="D1175" t="s">
        <v>42</v>
      </c>
      <c r="E1175" t="s">
        <v>399</v>
      </c>
      <c r="F1175" t="s">
        <v>394</v>
      </c>
      <c r="G1175" t="s">
        <v>260</v>
      </c>
      <c r="I1175" t="s">
        <v>258</v>
      </c>
      <c r="K1175" t="s">
        <v>250</v>
      </c>
      <c r="M1175" t="s">
        <v>47</v>
      </c>
      <c r="N1175" s="1" t="e">
        <f t="shared" si="264"/>
        <v>#VALUE!</v>
      </c>
      <c r="O1175" s="1" t="e">
        <f t="shared" si="265"/>
        <v>#VALUE!</v>
      </c>
      <c r="P1175" s="1" t="e">
        <f t="shared" si="266"/>
        <v>#VALUE!</v>
      </c>
      <c r="Q1175" s="1" t="e">
        <f t="shared" si="267"/>
        <v>#VALUE!</v>
      </c>
      <c r="R1175" s="1" t="e">
        <f t="shared" si="268"/>
        <v>#VALUE!</v>
      </c>
      <c r="S1175" s="1" t="e">
        <f t="shared" si="269"/>
        <v>#VALUE!</v>
      </c>
      <c r="T1175" s="1" t="e">
        <f t="shared" si="270"/>
        <v>#VALUE!</v>
      </c>
      <c r="U1175" s="26" t="e">
        <f t="shared" si="271"/>
        <v>#VALUE!</v>
      </c>
      <c r="V1175" s="26" t="e">
        <f t="shared" si="272"/>
        <v>#VALUE!</v>
      </c>
      <c r="W1175" s="1" t="e">
        <f t="shared" si="273"/>
        <v>#VALUE!</v>
      </c>
      <c r="X1175" s="26" t="e">
        <f t="shared" si="274"/>
        <v>#VALUE!</v>
      </c>
      <c r="Y1175" s="26" t="e">
        <f t="shared" si="275"/>
        <v>#VALUE!</v>
      </c>
      <c r="Z1175" s="1" t="e">
        <f t="shared" si="276"/>
        <v>#VALUE!</v>
      </c>
      <c r="AA1175"/>
      <c r="AB1175"/>
    </row>
    <row r="1176" spans="1:28" x14ac:dyDescent="0.55000000000000004">
      <c r="A1176" s="1">
        <f t="shared" si="263"/>
        <v>1176</v>
      </c>
      <c r="B1176" t="s">
        <v>40</v>
      </c>
      <c r="C1176" t="s">
        <v>120</v>
      </c>
      <c r="D1176" t="s">
        <v>42</v>
      </c>
      <c r="E1176" t="s">
        <v>399</v>
      </c>
      <c r="F1176" t="s">
        <v>392</v>
      </c>
      <c r="G1176" t="s">
        <v>256</v>
      </c>
      <c r="I1176" t="s">
        <v>248</v>
      </c>
      <c r="K1176" t="s">
        <v>416</v>
      </c>
      <c r="M1176" t="s">
        <v>47</v>
      </c>
      <c r="N1176" s="1" t="e">
        <f t="shared" si="264"/>
        <v>#VALUE!</v>
      </c>
      <c r="O1176" s="1" t="e">
        <f t="shared" si="265"/>
        <v>#VALUE!</v>
      </c>
      <c r="P1176" s="1" t="e">
        <f t="shared" si="266"/>
        <v>#VALUE!</v>
      </c>
      <c r="Q1176" s="1" t="e">
        <f t="shared" si="267"/>
        <v>#VALUE!</v>
      </c>
      <c r="R1176" s="1" t="e">
        <f t="shared" si="268"/>
        <v>#VALUE!</v>
      </c>
      <c r="S1176" s="1" t="e">
        <f t="shared" si="269"/>
        <v>#VALUE!</v>
      </c>
      <c r="T1176" s="1" t="e">
        <f t="shared" si="270"/>
        <v>#VALUE!</v>
      </c>
      <c r="U1176" s="26" t="e">
        <f t="shared" si="271"/>
        <v>#VALUE!</v>
      </c>
      <c r="V1176" s="26" t="e">
        <f t="shared" si="272"/>
        <v>#VALUE!</v>
      </c>
      <c r="W1176" s="1" t="e">
        <f t="shared" si="273"/>
        <v>#VALUE!</v>
      </c>
      <c r="X1176" s="26" t="e">
        <f t="shared" si="274"/>
        <v>#VALUE!</v>
      </c>
      <c r="Y1176" s="26" t="e">
        <f t="shared" si="275"/>
        <v>#VALUE!</v>
      </c>
      <c r="Z1176" s="1" t="e">
        <f t="shared" si="276"/>
        <v>#VALUE!</v>
      </c>
      <c r="AA1176"/>
      <c r="AB1176"/>
    </row>
    <row r="1177" spans="1:28" x14ac:dyDescent="0.55000000000000004">
      <c r="A1177" s="1">
        <f t="shared" si="263"/>
        <v>1177</v>
      </c>
      <c r="B1177" t="s">
        <v>35</v>
      </c>
      <c r="C1177" t="s">
        <v>118</v>
      </c>
      <c r="D1177" t="s">
        <v>42</v>
      </c>
      <c r="E1177" t="s">
        <v>399</v>
      </c>
      <c r="F1177" t="s">
        <v>357</v>
      </c>
      <c r="G1177" t="s">
        <v>303</v>
      </c>
      <c r="I1177" t="s">
        <v>204</v>
      </c>
      <c r="K1177" t="s">
        <v>305</v>
      </c>
      <c r="M1177" t="s">
        <v>47</v>
      </c>
      <c r="N1177" s="1" t="e">
        <f t="shared" si="264"/>
        <v>#VALUE!</v>
      </c>
      <c r="O1177" s="1" t="e">
        <f t="shared" si="265"/>
        <v>#VALUE!</v>
      </c>
      <c r="P1177" s="1" t="e">
        <f t="shared" si="266"/>
        <v>#VALUE!</v>
      </c>
      <c r="Q1177" s="1" t="e">
        <f t="shared" si="267"/>
        <v>#VALUE!</v>
      </c>
      <c r="R1177" s="1" t="e">
        <f t="shared" si="268"/>
        <v>#VALUE!</v>
      </c>
      <c r="S1177" s="1" t="e">
        <f t="shared" si="269"/>
        <v>#VALUE!</v>
      </c>
      <c r="T1177" s="1" t="e">
        <f t="shared" si="270"/>
        <v>#VALUE!</v>
      </c>
      <c r="U1177" s="26" t="e">
        <f t="shared" si="271"/>
        <v>#VALUE!</v>
      </c>
      <c r="V1177" s="26" t="e">
        <f t="shared" si="272"/>
        <v>#VALUE!</v>
      </c>
      <c r="W1177" s="1" t="e">
        <f t="shared" si="273"/>
        <v>#VALUE!</v>
      </c>
      <c r="X1177" s="26" t="e">
        <f t="shared" si="274"/>
        <v>#VALUE!</v>
      </c>
      <c r="Y1177" s="26" t="e">
        <f t="shared" si="275"/>
        <v>#VALUE!</v>
      </c>
      <c r="Z1177" s="1" t="e">
        <f t="shared" si="276"/>
        <v>#VALUE!</v>
      </c>
      <c r="AA1177"/>
      <c r="AB1177"/>
    </row>
    <row r="1178" spans="1:28" x14ac:dyDescent="0.55000000000000004">
      <c r="A1178" s="1">
        <f t="shared" si="263"/>
        <v>1178</v>
      </c>
      <c r="B1178" t="s">
        <v>35</v>
      </c>
      <c r="C1178" t="s">
        <v>118</v>
      </c>
      <c r="D1178" t="s">
        <v>42</v>
      </c>
      <c r="E1178" t="s">
        <v>399</v>
      </c>
      <c r="F1178" t="s">
        <v>357</v>
      </c>
      <c r="G1178" t="s">
        <v>213</v>
      </c>
      <c r="I1178" t="s">
        <v>205</v>
      </c>
      <c r="K1178" t="s">
        <v>215</v>
      </c>
      <c r="M1178" t="s">
        <v>47</v>
      </c>
      <c r="N1178" s="1" t="e">
        <f t="shared" si="264"/>
        <v>#VALUE!</v>
      </c>
      <c r="O1178" s="1" t="e">
        <f t="shared" si="265"/>
        <v>#VALUE!</v>
      </c>
      <c r="P1178" s="1" t="e">
        <f t="shared" si="266"/>
        <v>#VALUE!</v>
      </c>
      <c r="Q1178" s="1" t="e">
        <f t="shared" si="267"/>
        <v>#VALUE!</v>
      </c>
      <c r="R1178" s="1" t="e">
        <f t="shared" si="268"/>
        <v>#VALUE!</v>
      </c>
      <c r="S1178" s="1" t="e">
        <f t="shared" si="269"/>
        <v>#VALUE!</v>
      </c>
      <c r="T1178" s="1" t="e">
        <f t="shared" si="270"/>
        <v>#VALUE!</v>
      </c>
      <c r="U1178" s="26" t="e">
        <f t="shared" si="271"/>
        <v>#VALUE!</v>
      </c>
      <c r="V1178" s="26" t="e">
        <f t="shared" si="272"/>
        <v>#VALUE!</v>
      </c>
      <c r="W1178" s="1" t="e">
        <f t="shared" si="273"/>
        <v>#VALUE!</v>
      </c>
      <c r="X1178" s="26" t="e">
        <f t="shared" si="274"/>
        <v>#VALUE!</v>
      </c>
      <c r="Y1178" s="26" t="e">
        <f t="shared" si="275"/>
        <v>#VALUE!</v>
      </c>
      <c r="Z1178" s="1" t="e">
        <f t="shared" si="276"/>
        <v>#VALUE!</v>
      </c>
      <c r="AA1178"/>
      <c r="AB1178"/>
    </row>
    <row r="1179" spans="1:28" x14ac:dyDescent="0.55000000000000004">
      <c r="A1179" s="1">
        <f t="shared" si="263"/>
        <v>1179</v>
      </c>
      <c r="B1179" t="s">
        <v>35</v>
      </c>
      <c r="C1179" t="s">
        <v>118</v>
      </c>
      <c r="D1179" t="s">
        <v>42</v>
      </c>
      <c r="E1179" t="s">
        <v>399</v>
      </c>
      <c r="F1179" t="s">
        <v>357</v>
      </c>
      <c r="G1179" t="s">
        <v>304</v>
      </c>
      <c r="I1179" t="s">
        <v>383</v>
      </c>
      <c r="K1179" t="s">
        <v>382</v>
      </c>
      <c r="M1179" t="s">
        <v>47</v>
      </c>
      <c r="N1179" s="1" t="e">
        <f t="shared" si="264"/>
        <v>#VALUE!</v>
      </c>
      <c r="O1179" s="1" t="e">
        <f t="shared" si="265"/>
        <v>#VALUE!</v>
      </c>
      <c r="P1179" s="1" t="e">
        <f t="shared" si="266"/>
        <v>#VALUE!</v>
      </c>
      <c r="Q1179" s="1" t="e">
        <f t="shared" si="267"/>
        <v>#VALUE!</v>
      </c>
      <c r="R1179" s="1" t="e">
        <f t="shared" si="268"/>
        <v>#VALUE!</v>
      </c>
      <c r="S1179" s="1" t="e">
        <f t="shared" si="269"/>
        <v>#VALUE!</v>
      </c>
      <c r="T1179" s="1" t="e">
        <f t="shared" si="270"/>
        <v>#VALUE!</v>
      </c>
      <c r="U1179" s="26" t="e">
        <f t="shared" si="271"/>
        <v>#VALUE!</v>
      </c>
      <c r="V1179" s="26" t="e">
        <f t="shared" si="272"/>
        <v>#VALUE!</v>
      </c>
      <c r="W1179" s="1" t="e">
        <f t="shared" si="273"/>
        <v>#VALUE!</v>
      </c>
      <c r="X1179" s="26" t="e">
        <f t="shared" si="274"/>
        <v>#VALUE!</v>
      </c>
      <c r="Y1179" s="26" t="e">
        <f t="shared" si="275"/>
        <v>#VALUE!</v>
      </c>
      <c r="Z1179" s="1" t="e">
        <f t="shared" si="276"/>
        <v>#VALUE!</v>
      </c>
      <c r="AA1179"/>
      <c r="AB1179"/>
    </row>
    <row r="1180" spans="1:28" x14ac:dyDescent="0.55000000000000004">
      <c r="A1180" s="1">
        <f t="shared" si="263"/>
        <v>1180</v>
      </c>
      <c r="B1180" t="s">
        <v>30</v>
      </c>
      <c r="C1180" t="s">
        <v>117</v>
      </c>
      <c r="D1180" t="s">
        <v>179</v>
      </c>
      <c r="E1180" t="s">
        <v>183</v>
      </c>
      <c r="F1180" t="s">
        <v>181</v>
      </c>
      <c r="G1180" t="s">
        <v>67</v>
      </c>
      <c r="I1180" t="s">
        <v>63</v>
      </c>
      <c r="K1180" t="s">
        <v>73</v>
      </c>
      <c r="M1180" t="s">
        <v>47</v>
      </c>
      <c r="N1180" s="1" t="e">
        <f t="shared" si="264"/>
        <v>#VALUE!</v>
      </c>
      <c r="O1180" s="1" t="e">
        <f t="shared" si="265"/>
        <v>#VALUE!</v>
      </c>
      <c r="P1180" s="1" t="e">
        <f t="shared" si="266"/>
        <v>#VALUE!</v>
      </c>
      <c r="Q1180" s="1" t="e">
        <f t="shared" si="267"/>
        <v>#VALUE!</v>
      </c>
      <c r="R1180" s="1" t="e">
        <f t="shared" si="268"/>
        <v>#VALUE!</v>
      </c>
      <c r="S1180" s="1" t="e">
        <f t="shared" si="269"/>
        <v>#VALUE!</v>
      </c>
      <c r="T1180" s="1" t="e">
        <f t="shared" si="270"/>
        <v>#VALUE!</v>
      </c>
      <c r="U1180" s="26" t="e">
        <f t="shared" si="271"/>
        <v>#VALUE!</v>
      </c>
      <c r="V1180" s="26" t="e">
        <f t="shared" si="272"/>
        <v>#VALUE!</v>
      </c>
      <c r="W1180" s="1" t="e">
        <f t="shared" si="273"/>
        <v>#VALUE!</v>
      </c>
      <c r="X1180" s="26" t="e">
        <f t="shared" si="274"/>
        <v>#VALUE!</v>
      </c>
      <c r="Y1180" s="26" t="e">
        <f t="shared" si="275"/>
        <v>#VALUE!</v>
      </c>
      <c r="Z1180" s="1" t="e">
        <f t="shared" si="276"/>
        <v>#VALUE!</v>
      </c>
      <c r="AA1180"/>
      <c r="AB1180"/>
    </row>
    <row r="1181" spans="1:28" x14ac:dyDescent="0.55000000000000004">
      <c r="A1181" s="1">
        <f t="shared" si="263"/>
        <v>1181</v>
      </c>
      <c r="B1181" t="s">
        <v>34</v>
      </c>
      <c r="C1181" t="s">
        <v>196</v>
      </c>
      <c r="D1181" t="s">
        <v>179</v>
      </c>
      <c r="E1181" t="s">
        <v>183</v>
      </c>
      <c r="F1181" t="s">
        <v>181</v>
      </c>
      <c r="G1181" t="s">
        <v>101</v>
      </c>
      <c r="I1181" t="s">
        <v>98</v>
      </c>
      <c r="K1181" t="s">
        <v>103</v>
      </c>
      <c r="M1181" t="s">
        <v>47</v>
      </c>
      <c r="N1181" s="1" t="e">
        <f t="shared" si="264"/>
        <v>#VALUE!</v>
      </c>
      <c r="O1181" s="1" t="e">
        <f t="shared" si="265"/>
        <v>#VALUE!</v>
      </c>
      <c r="P1181" s="1" t="e">
        <f t="shared" si="266"/>
        <v>#VALUE!</v>
      </c>
      <c r="Q1181" s="1" t="e">
        <f t="shared" si="267"/>
        <v>#VALUE!</v>
      </c>
      <c r="R1181" s="1" t="e">
        <f t="shared" si="268"/>
        <v>#VALUE!</v>
      </c>
      <c r="S1181" s="1" t="e">
        <f t="shared" si="269"/>
        <v>#VALUE!</v>
      </c>
      <c r="T1181" s="1" t="e">
        <f t="shared" si="270"/>
        <v>#VALUE!</v>
      </c>
      <c r="U1181" s="26" t="e">
        <f t="shared" si="271"/>
        <v>#VALUE!</v>
      </c>
      <c r="V1181" s="26" t="e">
        <f t="shared" si="272"/>
        <v>#VALUE!</v>
      </c>
      <c r="W1181" s="1" t="e">
        <f t="shared" si="273"/>
        <v>#VALUE!</v>
      </c>
      <c r="X1181" s="26" t="e">
        <f t="shared" si="274"/>
        <v>#VALUE!</v>
      </c>
      <c r="Y1181" s="26" t="e">
        <f t="shared" si="275"/>
        <v>#VALUE!</v>
      </c>
      <c r="Z1181" s="1" t="e">
        <f t="shared" si="276"/>
        <v>#VALUE!</v>
      </c>
      <c r="AA1181"/>
      <c r="AB1181"/>
    </row>
    <row r="1182" spans="1:28" x14ac:dyDescent="0.55000000000000004">
      <c r="A1182" s="1">
        <f t="shared" si="263"/>
        <v>1182</v>
      </c>
      <c r="B1182" t="s">
        <v>35</v>
      </c>
      <c r="C1182" t="s">
        <v>118</v>
      </c>
      <c r="D1182" t="s">
        <v>179</v>
      </c>
      <c r="E1182" t="s">
        <v>183</v>
      </c>
      <c r="F1182" t="s">
        <v>181</v>
      </c>
      <c r="G1182" t="s">
        <v>210</v>
      </c>
      <c r="I1182" t="s">
        <v>211</v>
      </c>
      <c r="K1182" t="s">
        <v>212</v>
      </c>
      <c r="M1182" t="s">
        <v>47</v>
      </c>
      <c r="N1182" s="1" t="e">
        <f t="shared" si="264"/>
        <v>#VALUE!</v>
      </c>
      <c r="O1182" s="1" t="e">
        <f t="shared" si="265"/>
        <v>#VALUE!</v>
      </c>
      <c r="P1182" s="1" t="e">
        <f t="shared" si="266"/>
        <v>#VALUE!</v>
      </c>
      <c r="Q1182" s="1" t="e">
        <f t="shared" si="267"/>
        <v>#VALUE!</v>
      </c>
      <c r="R1182" s="1" t="e">
        <f t="shared" si="268"/>
        <v>#VALUE!</v>
      </c>
      <c r="S1182" s="1" t="e">
        <f t="shared" si="269"/>
        <v>#VALUE!</v>
      </c>
      <c r="T1182" s="1" t="e">
        <f t="shared" si="270"/>
        <v>#VALUE!</v>
      </c>
      <c r="U1182" s="26" t="e">
        <f t="shared" si="271"/>
        <v>#VALUE!</v>
      </c>
      <c r="V1182" s="26" t="e">
        <f t="shared" si="272"/>
        <v>#VALUE!</v>
      </c>
      <c r="W1182" s="1" t="e">
        <f t="shared" si="273"/>
        <v>#VALUE!</v>
      </c>
      <c r="X1182" s="26" t="e">
        <f t="shared" si="274"/>
        <v>#VALUE!</v>
      </c>
      <c r="Y1182" s="26" t="e">
        <f t="shared" si="275"/>
        <v>#VALUE!</v>
      </c>
      <c r="Z1182" s="1" t="e">
        <f t="shared" si="276"/>
        <v>#VALUE!</v>
      </c>
      <c r="AA1182"/>
      <c r="AB1182"/>
    </row>
    <row r="1183" spans="1:28" x14ac:dyDescent="0.55000000000000004">
      <c r="A1183" s="1">
        <f t="shared" si="263"/>
        <v>1183</v>
      </c>
      <c r="B1183" t="s">
        <v>32</v>
      </c>
      <c r="D1183" t="s">
        <v>216</v>
      </c>
      <c r="E1183" t="s">
        <v>464</v>
      </c>
      <c r="F1183" t="s">
        <v>375</v>
      </c>
      <c r="G1183" t="s">
        <v>465</v>
      </c>
      <c r="I1183" t="s">
        <v>466</v>
      </c>
      <c r="K1183" t="s">
        <v>467</v>
      </c>
      <c r="M1183" t="s">
        <v>47</v>
      </c>
      <c r="N1183" s="1" t="e">
        <f t="shared" si="264"/>
        <v>#VALUE!</v>
      </c>
      <c r="O1183" s="1" t="e">
        <f t="shared" si="265"/>
        <v>#VALUE!</v>
      </c>
      <c r="P1183" s="1" t="e">
        <f t="shared" si="266"/>
        <v>#VALUE!</v>
      </c>
      <c r="Q1183" s="1" t="e">
        <f t="shared" si="267"/>
        <v>#VALUE!</v>
      </c>
      <c r="R1183" s="1" t="e">
        <f t="shared" si="268"/>
        <v>#VALUE!</v>
      </c>
      <c r="S1183" s="1" t="e">
        <f t="shared" si="269"/>
        <v>#VALUE!</v>
      </c>
      <c r="T1183" s="1" t="e">
        <f t="shared" si="270"/>
        <v>#VALUE!</v>
      </c>
      <c r="U1183" s="26" t="e">
        <f t="shared" si="271"/>
        <v>#VALUE!</v>
      </c>
      <c r="V1183" s="26" t="e">
        <f t="shared" si="272"/>
        <v>#VALUE!</v>
      </c>
      <c r="W1183" s="1" t="e">
        <f t="shared" si="273"/>
        <v>#VALUE!</v>
      </c>
      <c r="X1183" s="26" t="e">
        <f t="shared" si="274"/>
        <v>#VALUE!</v>
      </c>
      <c r="Y1183" s="26" t="e">
        <f t="shared" si="275"/>
        <v>#VALUE!</v>
      </c>
      <c r="Z1183" s="1" t="e">
        <f t="shared" si="276"/>
        <v>#VALUE!</v>
      </c>
      <c r="AA1183"/>
      <c r="AB1183"/>
    </row>
    <row r="1184" spans="1:28" x14ac:dyDescent="0.55000000000000004">
      <c r="A1184" s="1">
        <f t="shared" si="263"/>
        <v>1184</v>
      </c>
      <c r="B1184" t="s">
        <v>32</v>
      </c>
      <c r="D1184" t="s">
        <v>216</v>
      </c>
      <c r="E1184" t="s">
        <v>464</v>
      </c>
      <c r="F1184" t="s">
        <v>247</v>
      </c>
      <c r="G1184" t="s">
        <v>468</v>
      </c>
      <c r="I1184" t="s">
        <v>469</v>
      </c>
      <c r="K1184" t="s">
        <v>393</v>
      </c>
      <c r="M1184" t="s">
        <v>47</v>
      </c>
      <c r="N1184" s="1" t="e">
        <f t="shared" si="264"/>
        <v>#VALUE!</v>
      </c>
      <c r="O1184" s="1" t="e">
        <f t="shared" si="265"/>
        <v>#VALUE!</v>
      </c>
      <c r="P1184" s="1" t="e">
        <f t="shared" si="266"/>
        <v>#VALUE!</v>
      </c>
      <c r="Q1184" s="1" t="e">
        <f t="shared" si="267"/>
        <v>#VALUE!</v>
      </c>
      <c r="R1184" s="1" t="e">
        <f t="shared" si="268"/>
        <v>#VALUE!</v>
      </c>
      <c r="S1184" s="1" t="e">
        <f t="shared" si="269"/>
        <v>#VALUE!</v>
      </c>
      <c r="T1184" s="1" t="e">
        <f t="shared" si="270"/>
        <v>#VALUE!</v>
      </c>
      <c r="U1184" s="26" t="e">
        <f t="shared" si="271"/>
        <v>#VALUE!</v>
      </c>
      <c r="V1184" s="26" t="e">
        <f t="shared" si="272"/>
        <v>#VALUE!</v>
      </c>
      <c r="W1184" s="1" t="e">
        <f t="shared" si="273"/>
        <v>#VALUE!</v>
      </c>
      <c r="X1184" s="26" t="e">
        <f t="shared" si="274"/>
        <v>#VALUE!</v>
      </c>
      <c r="Y1184" s="26" t="e">
        <f t="shared" si="275"/>
        <v>#VALUE!</v>
      </c>
      <c r="Z1184" s="1" t="e">
        <f t="shared" si="276"/>
        <v>#VALUE!</v>
      </c>
      <c r="AA1184"/>
      <c r="AB1184"/>
    </row>
    <row r="1185" spans="1:28" x14ac:dyDescent="0.55000000000000004">
      <c r="A1185" s="1">
        <f t="shared" si="263"/>
        <v>1185</v>
      </c>
      <c r="B1185" t="s">
        <v>32</v>
      </c>
      <c r="D1185" t="s">
        <v>216</v>
      </c>
      <c r="E1185" t="s">
        <v>464</v>
      </c>
      <c r="F1185" t="s">
        <v>315</v>
      </c>
      <c r="G1185" t="s">
        <v>470</v>
      </c>
      <c r="I1185" t="s">
        <v>471</v>
      </c>
      <c r="K1185" t="s">
        <v>472</v>
      </c>
      <c r="M1185" t="s">
        <v>47</v>
      </c>
      <c r="N1185" s="1" t="e">
        <f t="shared" si="264"/>
        <v>#VALUE!</v>
      </c>
      <c r="O1185" s="1" t="e">
        <f t="shared" si="265"/>
        <v>#VALUE!</v>
      </c>
      <c r="P1185" s="1" t="e">
        <f t="shared" si="266"/>
        <v>#VALUE!</v>
      </c>
      <c r="Q1185" s="1" t="e">
        <f t="shared" si="267"/>
        <v>#VALUE!</v>
      </c>
      <c r="R1185" s="1" t="e">
        <f t="shared" si="268"/>
        <v>#VALUE!</v>
      </c>
      <c r="S1185" s="1" t="e">
        <f t="shared" si="269"/>
        <v>#VALUE!</v>
      </c>
      <c r="T1185" s="1" t="e">
        <f t="shared" si="270"/>
        <v>#VALUE!</v>
      </c>
      <c r="U1185" s="26" t="e">
        <f t="shared" si="271"/>
        <v>#VALUE!</v>
      </c>
      <c r="V1185" s="26" t="e">
        <f t="shared" si="272"/>
        <v>#VALUE!</v>
      </c>
      <c r="W1185" s="1" t="e">
        <f t="shared" si="273"/>
        <v>#VALUE!</v>
      </c>
      <c r="X1185" s="26" t="e">
        <f t="shared" si="274"/>
        <v>#VALUE!</v>
      </c>
      <c r="Y1185" s="26" t="e">
        <f t="shared" si="275"/>
        <v>#VALUE!</v>
      </c>
      <c r="Z1185" s="1" t="e">
        <f t="shared" si="276"/>
        <v>#VALUE!</v>
      </c>
      <c r="AA1185"/>
      <c r="AB1185"/>
    </row>
    <row r="1186" spans="1:28" x14ac:dyDescent="0.55000000000000004">
      <c r="A1186" s="1">
        <f t="shared" si="263"/>
        <v>1186</v>
      </c>
      <c r="B1186" t="s">
        <v>32</v>
      </c>
      <c r="D1186" t="s">
        <v>216</v>
      </c>
      <c r="E1186" t="s">
        <v>464</v>
      </c>
      <c r="F1186" t="s">
        <v>202</v>
      </c>
      <c r="G1186" t="s">
        <v>473</v>
      </c>
      <c r="I1186" t="s">
        <v>474</v>
      </c>
      <c r="K1186" t="s">
        <v>475</v>
      </c>
      <c r="M1186" t="s">
        <v>47</v>
      </c>
      <c r="N1186" s="1" t="e">
        <f t="shared" si="264"/>
        <v>#VALUE!</v>
      </c>
      <c r="O1186" s="1" t="e">
        <f t="shared" si="265"/>
        <v>#VALUE!</v>
      </c>
      <c r="P1186" s="1" t="e">
        <f t="shared" si="266"/>
        <v>#VALUE!</v>
      </c>
      <c r="Q1186" s="1" t="e">
        <f t="shared" si="267"/>
        <v>#VALUE!</v>
      </c>
      <c r="R1186" s="1" t="e">
        <f t="shared" si="268"/>
        <v>#VALUE!</v>
      </c>
      <c r="S1186" s="1" t="e">
        <f t="shared" si="269"/>
        <v>#VALUE!</v>
      </c>
      <c r="T1186" s="1" t="e">
        <f t="shared" si="270"/>
        <v>#VALUE!</v>
      </c>
      <c r="U1186" s="26" t="e">
        <f t="shared" si="271"/>
        <v>#VALUE!</v>
      </c>
      <c r="V1186" s="26" t="e">
        <f t="shared" si="272"/>
        <v>#VALUE!</v>
      </c>
      <c r="W1186" s="1" t="e">
        <f t="shared" si="273"/>
        <v>#VALUE!</v>
      </c>
      <c r="X1186" s="26" t="e">
        <f t="shared" si="274"/>
        <v>#VALUE!</v>
      </c>
      <c r="Y1186" s="26" t="e">
        <f t="shared" si="275"/>
        <v>#VALUE!</v>
      </c>
      <c r="Z1186" s="1" t="e">
        <f t="shared" si="276"/>
        <v>#VALUE!</v>
      </c>
      <c r="AA1186"/>
      <c r="AB1186"/>
    </row>
    <row r="1187" spans="1:28" x14ac:dyDescent="0.55000000000000004">
      <c r="A1187" s="1">
        <f t="shared" si="263"/>
        <v>1187</v>
      </c>
      <c r="B1187" t="s">
        <v>32</v>
      </c>
      <c r="D1187" t="s">
        <v>216</v>
      </c>
      <c r="E1187" t="s">
        <v>464</v>
      </c>
      <c r="F1187" t="s">
        <v>311</v>
      </c>
      <c r="G1187" t="s">
        <v>476</v>
      </c>
      <c r="I1187" t="s">
        <v>477</v>
      </c>
      <c r="K1187" t="s">
        <v>330</v>
      </c>
      <c r="M1187" t="s">
        <v>47</v>
      </c>
      <c r="N1187" s="1" t="e">
        <f t="shared" si="264"/>
        <v>#VALUE!</v>
      </c>
      <c r="O1187" s="1" t="e">
        <f t="shared" si="265"/>
        <v>#VALUE!</v>
      </c>
      <c r="P1187" s="1" t="e">
        <f t="shared" si="266"/>
        <v>#VALUE!</v>
      </c>
      <c r="Q1187" s="1" t="e">
        <f t="shared" si="267"/>
        <v>#VALUE!</v>
      </c>
      <c r="R1187" s="1" t="e">
        <f t="shared" si="268"/>
        <v>#VALUE!</v>
      </c>
      <c r="S1187" s="1" t="e">
        <f t="shared" si="269"/>
        <v>#VALUE!</v>
      </c>
      <c r="T1187" s="1" t="e">
        <f t="shared" si="270"/>
        <v>#VALUE!</v>
      </c>
      <c r="U1187" s="26" t="e">
        <f t="shared" si="271"/>
        <v>#VALUE!</v>
      </c>
      <c r="V1187" s="26" t="e">
        <f t="shared" si="272"/>
        <v>#VALUE!</v>
      </c>
      <c r="W1187" s="1" t="e">
        <f t="shared" si="273"/>
        <v>#VALUE!</v>
      </c>
      <c r="X1187" s="26" t="e">
        <f t="shared" si="274"/>
        <v>#VALUE!</v>
      </c>
      <c r="Y1187" s="26" t="e">
        <f t="shared" si="275"/>
        <v>#VALUE!</v>
      </c>
      <c r="Z1187" s="1" t="e">
        <f t="shared" si="276"/>
        <v>#VALUE!</v>
      </c>
      <c r="AA1187"/>
      <c r="AB1187"/>
    </row>
    <row r="1188" spans="1:28" x14ac:dyDescent="0.55000000000000004">
      <c r="A1188" s="1">
        <f t="shared" si="263"/>
        <v>1188</v>
      </c>
      <c r="B1188" t="s">
        <v>32</v>
      </c>
      <c r="D1188" t="s">
        <v>216</v>
      </c>
      <c r="E1188" t="s">
        <v>464</v>
      </c>
      <c r="F1188" t="s">
        <v>478</v>
      </c>
      <c r="G1188" t="s">
        <v>479</v>
      </c>
      <c r="I1188" t="s">
        <v>480</v>
      </c>
      <c r="K1188" t="s">
        <v>481</v>
      </c>
      <c r="M1188" t="s">
        <v>47</v>
      </c>
      <c r="N1188" s="1" t="e">
        <f t="shared" si="264"/>
        <v>#VALUE!</v>
      </c>
      <c r="O1188" s="1" t="e">
        <f t="shared" si="265"/>
        <v>#VALUE!</v>
      </c>
      <c r="P1188" s="1" t="e">
        <f t="shared" si="266"/>
        <v>#VALUE!</v>
      </c>
      <c r="Q1188" s="1" t="e">
        <f t="shared" si="267"/>
        <v>#VALUE!</v>
      </c>
      <c r="R1188" s="1" t="e">
        <f t="shared" si="268"/>
        <v>#VALUE!</v>
      </c>
      <c r="S1188" s="1" t="e">
        <f t="shared" si="269"/>
        <v>#VALUE!</v>
      </c>
      <c r="T1188" s="1" t="e">
        <f t="shared" si="270"/>
        <v>#VALUE!</v>
      </c>
      <c r="U1188" s="26" t="e">
        <f t="shared" si="271"/>
        <v>#VALUE!</v>
      </c>
      <c r="V1188" s="26" t="e">
        <f t="shared" si="272"/>
        <v>#VALUE!</v>
      </c>
      <c r="W1188" s="1" t="e">
        <f t="shared" si="273"/>
        <v>#VALUE!</v>
      </c>
      <c r="X1188" s="26" t="e">
        <f t="shared" si="274"/>
        <v>#VALUE!</v>
      </c>
      <c r="Y1188" s="26" t="e">
        <f t="shared" si="275"/>
        <v>#VALUE!</v>
      </c>
      <c r="Z1188" s="1" t="e">
        <f t="shared" si="276"/>
        <v>#VALUE!</v>
      </c>
      <c r="AA1188"/>
      <c r="AB1188"/>
    </row>
    <row r="1189" spans="1:28" x14ac:dyDescent="0.55000000000000004">
      <c r="A1189" s="1">
        <f t="shared" si="263"/>
        <v>1189</v>
      </c>
      <c r="B1189" t="s">
        <v>32</v>
      </c>
      <c r="D1189" t="s">
        <v>177</v>
      </c>
      <c r="E1189" t="s">
        <v>482</v>
      </c>
      <c r="F1189" t="s">
        <v>251</v>
      </c>
      <c r="G1189" t="s">
        <v>483</v>
      </c>
      <c r="I1189" t="s">
        <v>484</v>
      </c>
      <c r="K1189" t="s">
        <v>485</v>
      </c>
      <c r="M1189" t="s">
        <v>47</v>
      </c>
      <c r="N1189" s="1" t="e">
        <f t="shared" si="264"/>
        <v>#VALUE!</v>
      </c>
      <c r="O1189" s="1" t="e">
        <f t="shared" si="265"/>
        <v>#VALUE!</v>
      </c>
      <c r="P1189" s="1" t="e">
        <f t="shared" si="266"/>
        <v>#VALUE!</v>
      </c>
      <c r="Q1189" s="1" t="e">
        <f t="shared" si="267"/>
        <v>#VALUE!</v>
      </c>
      <c r="R1189" s="1" t="e">
        <f t="shared" si="268"/>
        <v>#VALUE!</v>
      </c>
      <c r="S1189" s="1" t="e">
        <f t="shared" si="269"/>
        <v>#VALUE!</v>
      </c>
      <c r="T1189" s="1" t="e">
        <f t="shared" si="270"/>
        <v>#VALUE!</v>
      </c>
      <c r="U1189" s="26" t="e">
        <f t="shared" si="271"/>
        <v>#VALUE!</v>
      </c>
      <c r="V1189" s="26" t="e">
        <f t="shared" si="272"/>
        <v>#VALUE!</v>
      </c>
      <c r="W1189" s="1" t="e">
        <f t="shared" si="273"/>
        <v>#VALUE!</v>
      </c>
      <c r="X1189" s="26" t="e">
        <f t="shared" si="274"/>
        <v>#VALUE!</v>
      </c>
      <c r="Y1189" s="26" t="e">
        <f t="shared" si="275"/>
        <v>#VALUE!</v>
      </c>
      <c r="Z1189" s="1" t="e">
        <f t="shared" si="276"/>
        <v>#VALUE!</v>
      </c>
      <c r="AA1189"/>
      <c r="AB1189"/>
    </row>
    <row r="1190" spans="1:28" x14ac:dyDescent="0.55000000000000004">
      <c r="A1190" s="1">
        <f t="shared" si="263"/>
        <v>1190</v>
      </c>
      <c r="B1190" t="s">
        <v>32</v>
      </c>
      <c r="D1190" t="s">
        <v>177</v>
      </c>
      <c r="E1190" t="s">
        <v>482</v>
      </c>
      <c r="F1190" t="s">
        <v>181</v>
      </c>
      <c r="G1190" t="s">
        <v>486</v>
      </c>
      <c r="I1190" t="s">
        <v>487</v>
      </c>
      <c r="K1190" t="s">
        <v>488</v>
      </c>
      <c r="M1190" t="s">
        <v>47</v>
      </c>
      <c r="N1190" s="1" t="e">
        <f t="shared" si="264"/>
        <v>#VALUE!</v>
      </c>
      <c r="O1190" s="1" t="e">
        <f t="shared" si="265"/>
        <v>#VALUE!</v>
      </c>
      <c r="P1190" s="1" t="e">
        <f t="shared" si="266"/>
        <v>#VALUE!</v>
      </c>
      <c r="Q1190" s="1" t="e">
        <f t="shared" si="267"/>
        <v>#VALUE!</v>
      </c>
      <c r="R1190" s="1" t="e">
        <f t="shared" si="268"/>
        <v>#VALUE!</v>
      </c>
      <c r="S1190" s="1" t="e">
        <f t="shared" si="269"/>
        <v>#VALUE!</v>
      </c>
      <c r="T1190" s="1" t="e">
        <f t="shared" si="270"/>
        <v>#VALUE!</v>
      </c>
      <c r="U1190" s="26" t="e">
        <f t="shared" si="271"/>
        <v>#VALUE!</v>
      </c>
      <c r="V1190" s="26" t="e">
        <f t="shared" si="272"/>
        <v>#VALUE!</v>
      </c>
      <c r="W1190" s="1" t="e">
        <f t="shared" si="273"/>
        <v>#VALUE!</v>
      </c>
      <c r="X1190" s="26" t="e">
        <f t="shared" si="274"/>
        <v>#VALUE!</v>
      </c>
      <c r="Y1190" s="26" t="e">
        <f t="shared" si="275"/>
        <v>#VALUE!</v>
      </c>
      <c r="Z1190" s="1" t="e">
        <f t="shared" si="276"/>
        <v>#VALUE!</v>
      </c>
      <c r="AA1190"/>
      <c r="AB1190"/>
    </row>
    <row r="1191" spans="1:28" x14ac:dyDescent="0.55000000000000004">
      <c r="A1191" s="1">
        <f t="shared" si="263"/>
        <v>1191</v>
      </c>
      <c r="B1191" t="s">
        <v>32</v>
      </c>
      <c r="D1191" t="s">
        <v>177</v>
      </c>
      <c r="E1191" t="s">
        <v>482</v>
      </c>
      <c r="F1191" t="s">
        <v>202</v>
      </c>
      <c r="G1191" t="s">
        <v>489</v>
      </c>
      <c r="I1191" t="s">
        <v>490</v>
      </c>
      <c r="K1191" t="s">
        <v>491</v>
      </c>
      <c r="M1191" t="s">
        <v>47</v>
      </c>
      <c r="N1191" s="1" t="e">
        <f t="shared" si="264"/>
        <v>#VALUE!</v>
      </c>
      <c r="O1191" s="1" t="e">
        <f t="shared" si="265"/>
        <v>#VALUE!</v>
      </c>
      <c r="P1191" s="1" t="e">
        <f t="shared" si="266"/>
        <v>#VALUE!</v>
      </c>
      <c r="Q1191" s="1" t="e">
        <f t="shared" si="267"/>
        <v>#VALUE!</v>
      </c>
      <c r="R1191" s="1" t="e">
        <f t="shared" si="268"/>
        <v>#VALUE!</v>
      </c>
      <c r="S1191" s="1" t="e">
        <f t="shared" si="269"/>
        <v>#VALUE!</v>
      </c>
      <c r="T1191" s="1" t="e">
        <f t="shared" si="270"/>
        <v>#VALUE!</v>
      </c>
      <c r="U1191" s="26" t="e">
        <f t="shared" si="271"/>
        <v>#VALUE!</v>
      </c>
      <c r="V1191" s="26" t="e">
        <f t="shared" si="272"/>
        <v>#VALUE!</v>
      </c>
      <c r="W1191" s="1" t="e">
        <f t="shared" si="273"/>
        <v>#VALUE!</v>
      </c>
      <c r="X1191" s="26" t="e">
        <f t="shared" si="274"/>
        <v>#VALUE!</v>
      </c>
      <c r="Y1191" s="26" t="e">
        <f t="shared" si="275"/>
        <v>#VALUE!</v>
      </c>
      <c r="Z1191" s="1" t="e">
        <f t="shared" si="276"/>
        <v>#VALUE!</v>
      </c>
      <c r="AA1191"/>
      <c r="AB1191"/>
    </row>
    <row r="1192" spans="1:28" x14ac:dyDescent="0.55000000000000004">
      <c r="A1192" s="1">
        <f t="shared" si="263"/>
        <v>1192</v>
      </c>
      <c r="B1192" t="s">
        <v>32</v>
      </c>
      <c r="D1192" t="s">
        <v>177</v>
      </c>
      <c r="E1192" t="s">
        <v>482</v>
      </c>
      <c r="F1192" t="s">
        <v>492</v>
      </c>
      <c r="G1192" t="s">
        <v>493</v>
      </c>
      <c r="I1192" t="s">
        <v>494</v>
      </c>
      <c r="K1192" t="s">
        <v>495</v>
      </c>
      <c r="M1192" t="s">
        <v>47</v>
      </c>
      <c r="N1192" s="1" t="e">
        <f t="shared" si="264"/>
        <v>#VALUE!</v>
      </c>
      <c r="O1192" s="1" t="e">
        <f t="shared" si="265"/>
        <v>#VALUE!</v>
      </c>
      <c r="P1192" s="1" t="e">
        <f t="shared" si="266"/>
        <v>#VALUE!</v>
      </c>
      <c r="Q1192" s="1" t="e">
        <f t="shared" si="267"/>
        <v>#VALUE!</v>
      </c>
      <c r="R1192" s="1" t="e">
        <f t="shared" si="268"/>
        <v>#VALUE!</v>
      </c>
      <c r="S1192" s="1" t="e">
        <f t="shared" si="269"/>
        <v>#VALUE!</v>
      </c>
      <c r="T1192" s="1" t="e">
        <f t="shared" si="270"/>
        <v>#VALUE!</v>
      </c>
      <c r="U1192" s="26" t="e">
        <f t="shared" si="271"/>
        <v>#VALUE!</v>
      </c>
      <c r="V1192" s="26" t="e">
        <f t="shared" si="272"/>
        <v>#VALUE!</v>
      </c>
      <c r="W1192" s="1" t="e">
        <f t="shared" si="273"/>
        <v>#VALUE!</v>
      </c>
      <c r="X1192" s="26" t="e">
        <f t="shared" si="274"/>
        <v>#VALUE!</v>
      </c>
      <c r="Y1192" s="26" t="e">
        <f t="shared" si="275"/>
        <v>#VALUE!</v>
      </c>
      <c r="Z1192" s="1" t="e">
        <f t="shared" si="276"/>
        <v>#VALUE!</v>
      </c>
      <c r="AA1192"/>
      <c r="AB1192"/>
    </row>
    <row r="1193" spans="1:28" x14ac:dyDescent="0.55000000000000004">
      <c r="A1193" s="1">
        <f t="shared" si="263"/>
        <v>1193</v>
      </c>
      <c r="B1193" t="s">
        <v>32</v>
      </c>
      <c r="D1193" t="s">
        <v>177</v>
      </c>
      <c r="E1193" t="s">
        <v>482</v>
      </c>
      <c r="F1193" t="s">
        <v>202</v>
      </c>
      <c r="G1193" t="s">
        <v>496</v>
      </c>
      <c r="I1193" t="s">
        <v>497</v>
      </c>
      <c r="K1193" t="s">
        <v>498</v>
      </c>
      <c r="M1193" t="s">
        <v>47</v>
      </c>
      <c r="N1193" s="1" t="e">
        <f t="shared" si="264"/>
        <v>#VALUE!</v>
      </c>
      <c r="O1193" s="1" t="e">
        <f t="shared" si="265"/>
        <v>#VALUE!</v>
      </c>
      <c r="P1193" s="1" t="e">
        <f t="shared" si="266"/>
        <v>#VALUE!</v>
      </c>
      <c r="Q1193" s="1" t="e">
        <f t="shared" si="267"/>
        <v>#VALUE!</v>
      </c>
      <c r="R1193" s="1" t="e">
        <f t="shared" si="268"/>
        <v>#VALUE!</v>
      </c>
      <c r="S1193" s="1" t="e">
        <f t="shared" si="269"/>
        <v>#VALUE!</v>
      </c>
      <c r="T1193" s="1" t="e">
        <f t="shared" si="270"/>
        <v>#VALUE!</v>
      </c>
      <c r="U1193" s="26" t="e">
        <f t="shared" si="271"/>
        <v>#VALUE!</v>
      </c>
      <c r="V1193" s="26" t="e">
        <f t="shared" si="272"/>
        <v>#VALUE!</v>
      </c>
      <c r="W1193" s="1" t="e">
        <f t="shared" si="273"/>
        <v>#VALUE!</v>
      </c>
      <c r="X1193" s="26" t="e">
        <f t="shared" si="274"/>
        <v>#VALUE!</v>
      </c>
      <c r="Y1193" s="26" t="e">
        <f t="shared" si="275"/>
        <v>#VALUE!</v>
      </c>
      <c r="Z1193" s="1" t="e">
        <f t="shared" si="276"/>
        <v>#VALUE!</v>
      </c>
      <c r="AA1193"/>
      <c r="AB1193"/>
    </row>
    <row r="1194" spans="1:28" x14ac:dyDescent="0.55000000000000004">
      <c r="A1194" s="1">
        <f t="shared" si="263"/>
        <v>1194</v>
      </c>
      <c r="B1194" t="s">
        <v>32</v>
      </c>
      <c r="D1194" t="s">
        <v>177</v>
      </c>
      <c r="E1194" t="s">
        <v>482</v>
      </c>
      <c r="F1194" t="s">
        <v>478</v>
      </c>
      <c r="G1194" t="s">
        <v>499</v>
      </c>
      <c r="I1194" t="s">
        <v>500</v>
      </c>
      <c r="K1194" t="s">
        <v>501</v>
      </c>
      <c r="M1194" t="s">
        <v>47</v>
      </c>
      <c r="N1194" s="1" t="e">
        <f t="shared" si="264"/>
        <v>#VALUE!</v>
      </c>
      <c r="O1194" s="1" t="e">
        <f t="shared" si="265"/>
        <v>#VALUE!</v>
      </c>
      <c r="P1194" s="1" t="e">
        <f t="shared" si="266"/>
        <v>#VALUE!</v>
      </c>
      <c r="Q1194" s="1" t="e">
        <f t="shared" si="267"/>
        <v>#VALUE!</v>
      </c>
      <c r="R1194" s="1" t="e">
        <f t="shared" si="268"/>
        <v>#VALUE!</v>
      </c>
      <c r="S1194" s="1" t="e">
        <f t="shared" si="269"/>
        <v>#VALUE!</v>
      </c>
      <c r="T1194" s="1" t="e">
        <f t="shared" si="270"/>
        <v>#VALUE!</v>
      </c>
      <c r="U1194" s="26" t="e">
        <f t="shared" si="271"/>
        <v>#VALUE!</v>
      </c>
      <c r="V1194" s="26" t="e">
        <f t="shared" si="272"/>
        <v>#VALUE!</v>
      </c>
      <c r="W1194" s="1" t="e">
        <f t="shared" si="273"/>
        <v>#VALUE!</v>
      </c>
      <c r="X1194" s="26" t="e">
        <f t="shared" si="274"/>
        <v>#VALUE!</v>
      </c>
      <c r="Y1194" s="26" t="e">
        <f t="shared" si="275"/>
        <v>#VALUE!</v>
      </c>
      <c r="Z1194" s="1" t="e">
        <f t="shared" si="276"/>
        <v>#VALUE!</v>
      </c>
      <c r="AA1194"/>
      <c r="AB1194"/>
    </row>
    <row r="1195" spans="1:28" x14ac:dyDescent="0.55000000000000004">
      <c r="A1195" s="1">
        <f t="shared" si="263"/>
        <v>1195</v>
      </c>
      <c r="B1195" t="s">
        <v>32</v>
      </c>
      <c r="D1195" t="s">
        <v>177</v>
      </c>
      <c r="E1195" t="s">
        <v>482</v>
      </c>
      <c r="F1195" t="s">
        <v>457</v>
      </c>
      <c r="G1195" t="s">
        <v>502</v>
      </c>
      <c r="I1195" t="s">
        <v>503</v>
      </c>
      <c r="K1195" t="s">
        <v>504</v>
      </c>
      <c r="M1195" t="s">
        <v>47</v>
      </c>
      <c r="N1195" s="1" t="e">
        <f t="shared" si="264"/>
        <v>#VALUE!</v>
      </c>
      <c r="O1195" s="1" t="e">
        <f t="shared" si="265"/>
        <v>#VALUE!</v>
      </c>
      <c r="P1195" s="1" t="e">
        <f t="shared" si="266"/>
        <v>#VALUE!</v>
      </c>
      <c r="Q1195" s="1" t="e">
        <f t="shared" si="267"/>
        <v>#VALUE!</v>
      </c>
      <c r="R1195" s="1" t="e">
        <f t="shared" si="268"/>
        <v>#VALUE!</v>
      </c>
      <c r="S1195" s="1" t="e">
        <f t="shared" si="269"/>
        <v>#VALUE!</v>
      </c>
      <c r="T1195" s="1" t="e">
        <f t="shared" si="270"/>
        <v>#VALUE!</v>
      </c>
      <c r="U1195" s="26" t="e">
        <f t="shared" si="271"/>
        <v>#VALUE!</v>
      </c>
      <c r="V1195" s="26" t="e">
        <f t="shared" si="272"/>
        <v>#VALUE!</v>
      </c>
      <c r="W1195" s="1" t="e">
        <f t="shared" si="273"/>
        <v>#VALUE!</v>
      </c>
      <c r="X1195" s="26" t="e">
        <f t="shared" si="274"/>
        <v>#VALUE!</v>
      </c>
      <c r="Y1195" s="26" t="e">
        <f t="shared" si="275"/>
        <v>#VALUE!</v>
      </c>
      <c r="Z1195" s="1" t="e">
        <f t="shared" si="276"/>
        <v>#VALUE!</v>
      </c>
      <c r="AA1195"/>
      <c r="AB1195"/>
    </row>
    <row r="1196" spans="1:28" x14ac:dyDescent="0.55000000000000004">
      <c r="A1196" s="1">
        <f t="shared" si="263"/>
        <v>1196</v>
      </c>
      <c r="B1196" t="s">
        <v>32</v>
      </c>
      <c r="D1196" t="s">
        <v>177</v>
      </c>
      <c r="E1196" t="s">
        <v>482</v>
      </c>
      <c r="F1196" t="s">
        <v>457</v>
      </c>
      <c r="G1196" t="s">
        <v>505</v>
      </c>
      <c r="I1196" t="s">
        <v>506</v>
      </c>
      <c r="K1196" t="s">
        <v>507</v>
      </c>
      <c r="M1196" t="s">
        <v>47</v>
      </c>
      <c r="N1196" s="1" t="e">
        <f t="shared" si="264"/>
        <v>#VALUE!</v>
      </c>
      <c r="O1196" s="1" t="e">
        <f t="shared" si="265"/>
        <v>#VALUE!</v>
      </c>
      <c r="P1196" s="1" t="e">
        <f t="shared" si="266"/>
        <v>#VALUE!</v>
      </c>
      <c r="Q1196" s="1" t="e">
        <f t="shared" si="267"/>
        <v>#VALUE!</v>
      </c>
      <c r="R1196" s="1" t="e">
        <f t="shared" si="268"/>
        <v>#VALUE!</v>
      </c>
      <c r="S1196" s="1" t="e">
        <f t="shared" si="269"/>
        <v>#VALUE!</v>
      </c>
      <c r="T1196" s="1" t="e">
        <f t="shared" si="270"/>
        <v>#VALUE!</v>
      </c>
      <c r="U1196" s="26" t="e">
        <f t="shared" si="271"/>
        <v>#VALUE!</v>
      </c>
      <c r="V1196" s="26" t="e">
        <f t="shared" si="272"/>
        <v>#VALUE!</v>
      </c>
      <c r="W1196" s="1" t="e">
        <f t="shared" si="273"/>
        <v>#VALUE!</v>
      </c>
      <c r="X1196" s="26" t="e">
        <f t="shared" si="274"/>
        <v>#VALUE!</v>
      </c>
      <c r="Y1196" s="26" t="e">
        <f t="shared" si="275"/>
        <v>#VALUE!</v>
      </c>
      <c r="Z1196" s="1" t="e">
        <f t="shared" si="276"/>
        <v>#VALUE!</v>
      </c>
      <c r="AA1196"/>
      <c r="AB1196"/>
    </row>
    <row r="1197" spans="1:28" x14ac:dyDescent="0.55000000000000004">
      <c r="A1197" s="1">
        <f t="shared" si="263"/>
        <v>1197</v>
      </c>
      <c r="B1197" t="s">
        <v>36</v>
      </c>
      <c r="D1197" t="s">
        <v>189</v>
      </c>
      <c r="E1197" t="s">
        <v>536</v>
      </c>
      <c r="F1197" t="s">
        <v>181</v>
      </c>
      <c r="G1197" t="s">
        <v>537</v>
      </c>
      <c r="I1197" t="s">
        <v>538</v>
      </c>
      <c r="K1197" t="s">
        <v>91</v>
      </c>
      <c r="M1197" t="s">
        <v>47</v>
      </c>
      <c r="N1197" s="1" t="e">
        <f t="shared" si="264"/>
        <v>#VALUE!</v>
      </c>
      <c r="O1197" s="1" t="e">
        <f t="shared" si="265"/>
        <v>#VALUE!</v>
      </c>
      <c r="P1197" s="1" t="e">
        <f t="shared" si="266"/>
        <v>#VALUE!</v>
      </c>
      <c r="Q1197" s="1" t="e">
        <f t="shared" si="267"/>
        <v>#VALUE!</v>
      </c>
      <c r="R1197" s="1" t="e">
        <f t="shared" si="268"/>
        <v>#VALUE!</v>
      </c>
      <c r="S1197" s="1" t="e">
        <f t="shared" si="269"/>
        <v>#VALUE!</v>
      </c>
      <c r="T1197" s="1" t="e">
        <f t="shared" si="270"/>
        <v>#VALUE!</v>
      </c>
      <c r="U1197" s="26" t="e">
        <f t="shared" si="271"/>
        <v>#VALUE!</v>
      </c>
      <c r="V1197" s="26" t="e">
        <f t="shared" si="272"/>
        <v>#VALUE!</v>
      </c>
      <c r="W1197" s="1" t="e">
        <f t="shared" si="273"/>
        <v>#VALUE!</v>
      </c>
      <c r="X1197" s="26" t="e">
        <f t="shared" si="274"/>
        <v>#VALUE!</v>
      </c>
      <c r="Y1197" s="26" t="e">
        <f t="shared" si="275"/>
        <v>#VALUE!</v>
      </c>
      <c r="Z1197" s="1" t="e">
        <f t="shared" si="276"/>
        <v>#VALUE!</v>
      </c>
      <c r="AA1197"/>
      <c r="AB1197"/>
    </row>
    <row r="1198" spans="1:28" x14ac:dyDescent="0.55000000000000004">
      <c r="A1198" s="1">
        <f t="shared" si="263"/>
        <v>1198</v>
      </c>
      <c r="B1198" t="s">
        <v>36</v>
      </c>
      <c r="D1198" t="s">
        <v>189</v>
      </c>
      <c r="E1198" t="s">
        <v>536</v>
      </c>
      <c r="F1198" t="s">
        <v>181</v>
      </c>
      <c r="G1198" t="s">
        <v>539</v>
      </c>
      <c r="I1198" t="s">
        <v>540</v>
      </c>
      <c r="K1198" t="s">
        <v>541</v>
      </c>
      <c r="M1198" t="s">
        <v>47</v>
      </c>
      <c r="N1198" s="1" t="e">
        <f t="shared" si="264"/>
        <v>#VALUE!</v>
      </c>
      <c r="O1198" s="1" t="e">
        <f t="shared" si="265"/>
        <v>#VALUE!</v>
      </c>
      <c r="P1198" s="1" t="e">
        <f t="shared" si="266"/>
        <v>#VALUE!</v>
      </c>
      <c r="Q1198" s="1" t="e">
        <f t="shared" si="267"/>
        <v>#VALUE!</v>
      </c>
      <c r="R1198" s="1" t="e">
        <f t="shared" si="268"/>
        <v>#VALUE!</v>
      </c>
      <c r="S1198" s="1" t="e">
        <f t="shared" si="269"/>
        <v>#VALUE!</v>
      </c>
      <c r="T1198" s="1" t="e">
        <f t="shared" si="270"/>
        <v>#VALUE!</v>
      </c>
      <c r="U1198" s="26" t="e">
        <f t="shared" si="271"/>
        <v>#VALUE!</v>
      </c>
      <c r="V1198" s="26" t="e">
        <f t="shared" si="272"/>
        <v>#VALUE!</v>
      </c>
      <c r="W1198" s="1" t="e">
        <f t="shared" si="273"/>
        <v>#VALUE!</v>
      </c>
      <c r="X1198" s="26" t="e">
        <f t="shared" si="274"/>
        <v>#VALUE!</v>
      </c>
      <c r="Y1198" s="26" t="e">
        <f t="shared" si="275"/>
        <v>#VALUE!</v>
      </c>
      <c r="Z1198" s="1" t="e">
        <f t="shared" si="276"/>
        <v>#VALUE!</v>
      </c>
      <c r="AA1198"/>
      <c r="AB1198"/>
    </row>
    <row r="1199" spans="1:28" x14ac:dyDescent="0.55000000000000004">
      <c r="A1199" s="1">
        <f t="shared" si="263"/>
        <v>1199</v>
      </c>
      <c r="B1199" t="s">
        <v>36</v>
      </c>
      <c r="D1199" t="s">
        <v>189</v>
      </c>
      <c r="E1199" t="s">
        <v>536</v>
      </c>
      <c r="F1199" t="s">
        <v>431</v>
      </c>
      <c r="G1199" t="s">
        <v>542</v>
      </c>
      <c r="I1199" t="s">
        <v>543</v>
      </c>
      <c r="K1199" t="s">
        <v>544</v>
      </c>
      <c r="M1199" t="s">
        <v>47</v>
      </c>
      <c r="N1199" s="1" t="e">
        <f t="shared" si="264"/>
        <v>#VALUE!</v>
      </c>
      <c r="O1199" s="1" t="e">
        <f t="shared" si="265"/>
        <v>#VALUE!</v>
      </c>
      <c r="P1199" s="1" t="e">
        <f t="shared" si="266"/>
        <v>#VALUE!</v>
      </c>
      <c r="Q1199" s="1" t="e">
        <f t="shared" si="267"/>
        <v>#VALUE!</v>
      </c>
      <c r="R1199" s="1" t="e">
        <f t="shared" si="268"/>
        <v>#VALUE!</v>
      </c>
      <c r="S1199" s="1" t="e">
        <f t="shared" si="269"/>
        <v>#VALUE!</v>
      </c>
      <c r="T1199" s="1" t="e">
        <f t="shared" si="270"/>
        <v>#VALUE!</v>
      </c>
      <c r="U1199" s="26" t="e">
        <f t="shared" si="271"/>
        <v>#VALUE!</v>
      </c>
      <c r="V1199" s="26" t="e">
        <f t="shared" si="272"/>
        <v>#VALUE!</v>
      </c>
      <c r="W1199" s="1" t="e">
        <f t="shared" si="273"/>
        <v>#VALUE!</v>
      </c>
      <c r="X1199" s="26" t="e">
        <f t="shared" si="274"/>
        <v>#VALUE!</v>
      </c>
      <c r="Y1199" s="26" t="e">
        <f t="shared" si="275"/>
        <v>#VALUE!</v>
      </c>
      <c r="Z1199" s="1" t="e">
        <f t="shared" si="276"/>
        <v>#VALUE!</v>
      </c>
      <c r="AA1199"/>
      <c r="AB1199"/>
    </row>
    <row r="1200" spans="1:28" x14ac:dyDescent="0.55000000000000004">
      <c r="A1200" s="1">
        <f t="shared" si="263"/>
        <v>1200</v>
      </c>
      <c r="B1200" t="s">
        <v>36</v>
      </c>
      <c r="D1200" t="s">
        <v>189</v>
      </c>
      <c r="E1200" t="s">
        <v>536</v>
      </c>
      <c r="F1200" t="s">
        <v>311</v>
      </c>
      <c r="G1200" t="s">
        <v>545</v>
      </c>
      <c r="I1200" t="s">
        <v>546</v>
      </c>
      <c r="K1200" t="s">
        <v>547</v>
      </c>
      <c r="M1200" t="s">
        <v>47</v>
      </c>
      <c r="N1200" s="1" t="e">
        <f t="shared" si="264"/>
        <v>#VALUE!</v>
      </c>
      <c r="O1200" s="1" t="e">
        <f t="shared" si="265"/>
        <v>#VALUE!</v>
      </c>
      <c r="P1200" s="1" t="e">
        <f t="shared" si="266"/>
        <v>#VALUE!</v>
      </c>
      <c r="Q1200" s="1" t="e">
        <f t="shared" si="267"/>
        <v>#VALUE!</v>
      </c>
      <c r="R1200" s="1" t="e">
        <f t="shared" si="268"/>
        <v>#VALUE!</v>
      </c>
      <c r="S1200" s="1" t="e">
        <f t="shared" si="269"/>
        <v>#VALUE!</v>
      </c>
      <c r="T1200" s="1" t="e">
        <f t="shared" si="270"/>
        <v>#VALUE!</v>
      </c>
      <c r="U1200" s="26" t="e">
        <f t="shared" si="271"/>
        <v>#VALUE!</v>
      </c>
      <c r="V1200" s="26" t="e">
        <f t="shared" si="272"/>
        <v>#VALUE!</v>
      </c>
      <c r="W1200" s="1" t="e">
        <f t="shared" si="273"/>
        <v>#VALUE!</v>
      </c>
      <c r="X1200" s="26" t="e">
        <f t="shared" si="274"/>
        <v>#VALUE!</v>
      </c>
      <c r="Y1200" s="26" t="e">
        <f t="shared" si="275"/>
        <v>#VALUE!</v>
      </c>
      <c r="Z1200" s="1" t="e">
        <f t="shared" si="276"/>
        <v>#VALUE!</v>
      </c>
      <c r="AA1200"/>
      <c r="AB1200"/>
    </row>
    <row r="1201" spans="1:28" x14ac:dyDescent="0.55000000000000004">
      <c r="A1201" s="1">
        <f t="shared" si="263"/>
        <v>1201</v>
      </c>
      <c r="B1201" t="s">
        <v>36</v>
      </c>
      <c r="D1201" t="s">
        <v>189</v>
      </c>
      <c r="E1201" t="s">
        <v>536</v>
      </c>
      <c r="F1201" t="s">
        <v>182</v>
      </c>
      <c r="G1201" t="s">
        <v>548</v>
      </c>
      <c r="I1201" t="s">
        <v>549</v>
      </c>
      <c r="K1201" t="s">
        <v>550</v>
      </c>
      <c r="M1201" t="s">
        <v>47</v>
      </c>
      <c r="N1201" s="1" t="e">
        <f t="shared" si="264"/>
        <v>#VALUE!</v>
      </c>
      <c r="O1201" s="1" t="e">
        <f t="shared" si="265"/>
        <v>#VALUE!</v>
      </c>
      <c r="P1201" s="1" t="e">
        <f t="shared" si="266"/>
        <v>#VALUE!</v>
      </c>
      <c r="Q1201" s="1" t="e">
        <f t="shared" si="267"/>
        <v>#VALUE!</v>
      </c>
      <c r="R1201" s="1" t="e">
        <f t="shared" si="268"/>
        <v>#VALUE!</v>
      </c>
      <c r="S1201" s="1" t="e">
        <f t="shared" si="269"/>
        <v>#VALUE!</v>
      </c>
      <c r="T1201" s="1" t="e">
        <f t="shared" si="270"/>
        <v>#VALUE!</v>
      </c>
      <c r="U1201" s="26" t="e">
        <f t="shared" si="271"/>
        <v>#VALUE!</v>
      </c>
      <c r="V1201" s="26" t="e">
        <f t="shared" si="272"/>
        <v>#VALUE!</v>
      </c>
      <c r="W1201" s="1" t="e">
        <f t="shared" si="273"/>
        <v>#VALUE!</v>
      </c>
      <c r="X1201" s="26" t="e">
        <f t="shared" si="274"/>
        <v>#VALUE!</v>
      </c>
      <c r="Y1201" s="26" t="e">
        <f t="shared" si="275"/>
        <v>#VALUE!</v>
      </c>
      <c r="Z1201" s="1" t="e">
        <f t="shared" si="276"/>
        <v>#VALUE!</v>
      </c>
      <c r="AA1201"/>
      <c r="AB1201"/>
    </row>
    <row r="1202" spans="1:28" x14ac:dyDescent="0.55000000000000004">
      <c r="A1202" s="1">
        <f t="shared" si="263"/>
        <v>1202</v>
      </c>
      <c r="B1202" t="s">
        <v>36</v>
      </c>
      <c r="D1202" t="s">
        <v>189</v>
      </c>
      <c r="E1202" t="s">
        <v>536</v>
      </c>
      <c r="F1202" t="s">
        <v>447</v>
      </c>
      <c r="G1202" t="s">
        <v>551</v>
      </c>
      <c r="I1202" t="s">
        <v>552</v>
      </c>
      <c r="K1202" t="s">
        <v>553</v>
      </c>
      <c r="M1202" t="s">
        <v>47</v>
      </c>
      <c r="N1202" s="1" t="e">
        <f t="shared" si="264"/>
        <v>#VALUE!</v>
      </c>
      <c r="O1202" s="1" t="e">
        <f t="shared" si="265"/>
        <v>#VALUE!</v>
      </c>
      <c r="P1202" s="1" t="e">
        <f t="shared" si="266"/>
        <v>#VALUE!</v>
      </c>
      <c r="Q1202" s="1" t="e">
        <f t="shared" si="267"/>
        <v>#VALUE!</v>
      </c>
      <c r="R1202" s="1" t="e">
        <f t="shared" si="268"/>
        <v>#VALUE!</v>
      </c>
      <c r="S1202" s="1" t="e">
        <f t="shared" si="269"/>
        <v>#VALUE!</v>
      </c>
      <c r="T1202" s="1" t="e">
        <f t="shared" si="270"/>
        <v>#VALUE!</v>
      </c>
      <c r="U1202" s="26" t="e">
        <f t="shared" si="271"/>
        <v>#VALUE!</v>
      </c>
      <c r="V1202" s="26" t="e">
        <f t="shared" si="272"/>
        <v>#VALUE!</v>
      </c>
      <c r="W1202" s="1" t="e">
        <f t="shared" si="273"/>
        <v>#VALUE!</v>
      </c>
      <c r="X1202" s="26" t="e">
        <f t="shared" si="274"/>
        <v>#VALUE!</v>
      </c>
      <c r="Y1202" s="26" t="e">
        <f t="shared" si="275"/>
        <v>#VALUE!</v>
      </c>
      <c r="Z1202" s="1" t="e">
        <f t="shared" si="276"/>
        <v>#VALUE!</v>
      </c>
      <c r="AA1202"/>
      <c r="AB1202"/>
    </row>
    <row r="1203" spans="1:28" x14ac:dyDescent="0.55000000000000004">
      <c r="A1203" s="1">
        <f t="shared" si="263"/>
        <v>1203</v>
      </c>
      <c r="B1203" t="s">
        <v>36</v>
      </c>
      <c r="D1203" t="s">
        <v>189</v>
      </c>
      <c r="E1203" t="s">
        <v>536</v>
      </c>
      <c r="F1203" t="s">
        <v>447</v>
      </c>
      <c r="G1203" t="s">
        <v>554</v>
      </c>
      <c r="I1203" t="s">
        <v>555</v>
      </c>
      <c r="K1203" t="s">
        <v>556</v>
      </c>
      <c r="M1203" t="s">
        <v>47</v>
      </c>
      <c r="N1203" s="1" t="e">
        <f t="shared" si="264"/>
        <v>#VALUE!</v>
      </c>
      <c r="O1203" s="1" t="e">
        <f t="shared" si="265"/>
        <v>#VALUE!</v>
      </c>
      <c r="P1203" s="1" t="e">
        <f t="shared" si="266"/>
        <v>#VALUE!</v>
      </c>
      <c r="Q1203" s="1" t="e">
        <f t="shared" si="267"/>
        <v>#VALUE!</v>
      </c>
      <c r="R1203" s="1" t="e">
        <f t="shared" si="268"/>
        <v>#VALUE!</v>
      </c>
      <c r="S1203" s="1" t="e">
        <f t="shared" si="269"/>
        <v>#VALUE!</v>
      </c>
      <c r="T1203" s="1" t="e">
        <f t="shared" si="270"/>
        <v>#VALUE!</v>
      </c>
      <c r="U1203" s="26" t="e">
        <f t="shared" si="271"/>
        <v>#VALUE!</v>
      </c>
      <c r="V1203" s="26" t="e">
        <f t="shared" si="272"/>
        <v>#VALUE!</v>
      </c>
      <c r="W1203" s="1" t="e">
        <f t="shared" si="273"/>
        <v>#VALUE!</v>
      </c>
      <c r="X1203" s="26" t="e">
        <f t="shared" si="274"/>
        <v>#VALUE!</v>
      </c>
      <c r="Y1203" s="26" t="e">
        <f t="shared" si="275"/>
        <v>#VALUE!</v>
      </c>
      <c r="Z1203" s="1" t="e">
        <f t="shared" si="276"/>
        <v>#VALUE!</v>
      </c>
      <c r="AA1203"/>
      <c r="AB1203"/>
    </row>
    <row r="1204" spans="1:28" x14ac:dyDescent="0.55000000000000004">
      <c r="A1204" s="1">
        <f t="shared" si="263"/>
        <v>1204</v>
      </c>
      <c r="B1204" t="s">
        <v>36</v>
      </c>
      <c r="D1204" t="s">
        <v>189</v>
      </c>
      <c r="E1204" t="s">
        <v>536</v>
      </c>
      <c r="F1204" t="s">
        <v>557</v>
      </c>
      <c r="G1204" t="s">
        <v>558</v>
      </c>
      <c r="I1204" t="s">
        <v>559</v>
      </c>
      <c r="K1204" t="s">
        <v>560</v>
      </c>
      <c r="M1204" t="s">
        <v>47</v>
      </c>
      <c r="N1204" s="1" t="e">
        <f t="shared" si="264"/>
        <v>#VALUE!</v>
      </c>
      <c r="O1204" s="1" t="e">
        <f t="shared" si="265"/>
        <v>#VALUE!</v>
      </c>
      <c r="P1204" s="1" t="e">
        <f t="shared" si="266"/>
        <v>#VALUE!</v>
      </c>
      <c r="Q1204" s="1" t="e">
        <f t="shared" si="267"/>
        <v>#VALUE!</v>
      </c>
      <c r="R1204" s="1" t="e">
        <f t="shared" si="268"/>
        <v>#VALUE!</v>
      </c>
      <c r="S1204" s="1" t="e">
        <f t="shared" si="269"/>
        <v>#VALUE!</v>
      </c>
      <c r="T1204" s="1" t="e">
        <f t="shared" si="270"/>
        <v>#VALUE!</v>
      </c>
      <c r="U1204" s="26" t="e">
        <f t="shared" si="271"/>
        <v>#VALUE!</v>
      </c>
      <c r="V1204" s="26" t="e">
        <f t="shared" si="272"/>
        <v>#VALUE!</v>
      </c>
      <c r="W1204" s="1" t="e">
        <f t="shared" si="273"/>
        <v>#VALUE!</v>
      </c>
      <c r="X1204" s="26" t="e">
        <f t="shared" si="274"/>
        <v>#VALUE!</v>
      </c>
      <c r="Y1204" s="26" t="e">
        <f t="shared" si="275"/>
        <v>#VALUE!</v>
      </c>
      <c r="Z1204" s="1" t="e">
        <f t="shared" si="276"/>
        <v>#VALUE!</v>
      </c>
      <c r="AA1204"/>
      <c r="AB1204"/>
    </row>
    <row r="1205" spans="1:28" x14ac:dyDescent="0.55000000000000004">
      <c r="A1205" s="1">
        <f t="shared" si="263"/>
        <v>1205</v>
      </c>
      <c r="B1205" t="s">
        <v>36</v>
      </c>
      <c r="D1205" t="s">
        <v>189</v>
      </c>
      <c r="E1205" t="s">
        <v>536</v>
      </c>
      <c r="F1205" t="s">
        <v>450</v>
      </c>
      <c r="G1205" t="s">
        <v>561</v>
      </c>
      <c r="I1205" t="s">
        <v>562</v>
      </c>
      <c r="K1205" t="s">
        <v>563</v>
      </c>
      <c r="M1205" t="s">
        <v>47</v>
      </c>
      <c r="N1205" s="1" t="e">
        <f t="shared" si="264"/>
        <v>#VALUE!</v>
      </c>
      <c r="O1205" s="1" t="e">
        <f t="shared" si="265"/>
        <v>#VALUE!</v>
      </c>
      <c r="P1205" s="1" t="e">
        <f t="shared" si="266"/>
        <v>#VALUE!</v>
      </c>
      <c r="Q1205" s="1" t="e">
        <f t="shared" si="267"/>
        <v>#VALUE!</v>
      </c>
      <c r="R1205" s="1" t="e">
        <f t="shared" si="268"/>
        <v>#VALUE!</v>
      </c>
      <c r="S1205" s="1" t="e">
        <f t="shared" si="269"/>
        <v>#VALUE!</v>
      </c>
      <c r="T1205" s="1" t="e">
        <f t="shared" si="270"/>
        <v>#VALUE!</v>
      </c>
      <c r="U1205" s="26" t="e">
        <f t="shared" si="271"/>
        <v>#VALUE!</v>
      </c>
      <c r="V1205" s="26" t="e">
        <f t="shared" si="272"/>
        <v>#VALUE!</v>
      </c>
      <c r="W1205" s="1" t="e">
        <f t="shared" si="273"/>
        <v>#VALUE!</v>
      </c>
      <c r="X1205" s="26" t="e">
        <f t="shared" si="274"/>
        <v>#VALUE!</v>
      </c>
      <c r="Y1205" s="26" t="e">
        <f t="shared" si="275"/>
        <v>#VALUE!</v>
      </c>
      <c r="Z1205" s="1" t="e">
        <f t="shared" si="276"/>
        <v>#VALUE!</v>
      </c>
      <c r="AA1205"/>
      <c r="AB1205"/>
    </row>
    <row r="1206" spans="1:28" x14ac:dyDescent="0.55000000000000004">
      <c r="A1206" s="1">
        <f t="shared" si="263"/>
        <v>1206</v>
      </c>
      <c r="B1206" t="s">
        <v>31</v>
      </c>
      <c r="C1206" t="s">
        <v>196</v>
      </c>
      <c r="D1206" t="s">
        <v>174</v>
      </c>
      <c r="E1206" t="s">
        <v>273</v>
      </c>
      <c r="F1206" t="s">
        <v>274</v>
      </c>
      <c r="G1206" t="s">
        <v>142</v>
      </c>
      <c r="I1206" t="s">
        <v>139</v>
      </c>
      <c r="K1206" t="s">
        <v>160</v>
      </c>
      <c r="M1206" t="s">
        <v>47</v>
      </c>
      <c r="N1206" s="1" t="e">
        <f t="shared" si="264"/>
        <v>#VALUE!</v>
      </c>
      <c r="O1206" s="1" t="e">
        <f t="shared" si="265"/>
        <v>#VALUE!</v>
      </c>
      <c r="P1206" s="1" t="e">
        <f t="shared" si="266"/>
        <v>#VALUE!</v>
      </c>
      <c r="Q1206" s="1" t="e">
        <f t="shared" si="267"/>
        <v>#VALUE!</v>
      </c>
      <c r="R1206" s="1" t="e">
        <f t="shared" si="268"/>
        <v>#VALUE!</v>
      </c>
      <c r="S1206" s="1" t="e">
        <f t="shared" si="269"/>
        <v>#VALUE!</v>
      </c>
      <c r="T1206" s="1" t="e">
        <f t="shared" si="270"/>
        <v>#VALUE!</v>
      </c>
      <c r="U1206" s="26" t="e">
        <f t="shared" si="271"/>
        <v>#VALUE!</v>
      </c>
      <c r="V1206" s="26" t="e">
        <f t="shared" si="272"/>
        <v>#VALUE!</v>
      </c>
      <c r="W1206" s="1" t="e">
        <f t="shared" si="273"/>
        <v>#VALUE!</v>
      </c>
      <c r="X1206" s="26" t="e">
        <f t="shared" si="274"/>
        <v>#VALUE!</v>
      </c>
      <c r="Y1206" s="26" t="e">
        <f t="shared" si="275"/>
        <v>#VALUE!</v>
      </c>
      <c r="Z1206" s="1" t="e">
        <f t="shared" si="276"/>
        <v>#VALUE!</v>
      </c>
      <c r="AA1206"/>
      <c r="AB1206"/>
    </row>
    <row r="1207" spans="1:28" x14ac:dyDescent="0.55000000000000004">
      <c r="A1207" s="1">
        <f t="shared" si="263"/>
        <v>1207</v>
      </c>
      <c r="B1207" t="s">
        <v>33</v>
      </c>
      <c r="C1207" t="s">
        <v>128</v>
      </c>
      <c r="D1207" t="s">
        <v>174</v>
      </c>
      <c r="E1207" t="s">
        <v>273</v>
      </c>
      <c r="F1207" t="s">
        <v>277</v>
      </c>
      <c r="G1207" t="s">
        <v>278</v>
      </c>
      <c r="I1207" t="s">
        <v>279</v>
      </c>
      <c r="K1207" t="s">
        <v>280</v>
      </c>
      <c r="M1207" t="s">
        <v>47</v>
      </c>
      <c r="N1207" s="1" t="e">
        <f t="shared" si="264"/>
        <v>#VALUE!</v>
      </c>
      <c r="O1207" s="1" t="e">
        <f t="shared" si="265"/>
        <v>#VALUE!</v>
      </c>
      <c r="P1207" s="1" t="e">
        <f t="shared" si="266"/>
        <v>#VALUE!</v>
      </c>
      <c r="Q1207" s="1" t="e">
        <f t="shared" si="267"/>
        <v>#VALUE!</v>
      </c>
      <c r="R1207" s="1" t="e">
        <f t="shared" si="268"/>
        <v>#VALUE!</v>
      </c>
      <c r="S1207" s="1" t="e">
        <f t="shared" si="269"/>
        <v>#VALUE!</v>
      </c>
      <c r="T1207" s="1" t="e">
        <f t="shared" si="270"/>
        <v>#VALUE!</v>
      </c>
      <c r="U1207" s="26" t="e">
        <f t="shared" si="271"/>
        <v>#VALUE!</v>
      </c>
      <c r="V1207" s="26" t="e">
        <f t="shared" si="272"/>
        <v>#VALUE!</v>
      </c>
      <c r="W1207" s="1" t="e">
        <f t="shared" si="273"/>
        <v>#VALUE!</v>
      </c>
      <c r="X1207" s="26" t="e">
        <f t="shared" si="274"/>
        <v>#VALUE!</v>
      </c>
      <c r="Y1207" s="26" t="e">
        <f t="shared" si="275"/>
        <v>#VALUE!</v>
      </c>
      <c r="Z1207" s="1" t="e">
        <f t="shared" si="276"/>
        <v>#VALUE!</v>
      </c>
      <c r="AA1207"/>
      <c r="AB1207"/>
    </row>
    <row r="1208" spans="1:28" x14ac:dyDescent="0.55000000000000004">
      <c r="A1208" s="1">
        <f t="shared" si="263"/>
        <v>1208</v>
      </c>
      <c r="B1208" t="s">
        <v>35</v>
      </c>
      <c r="C1208" t="s">
        <v>119</v>
      </c>
      <c r="D1208" t="s">
        <v>174</v>
      </c>
      <c r="E1208" t="s">
        <v>273</v>
      </c>
      <c r="F1208" t="s">
        <v>181</v>
      </c>
      <c r="G1208" t="s">
        <v>214</v>
      </c>
      <c r="I1208" t="s">
        <v>205</v>
      </c>
      <c r="K1208" t="s">
        <v>301</v>
      </c>
      <c r="M1208" t="s">
        <v>47</v>
      </c>
      <c r="N1208" s="1" t="e">
        <f t="shared" si="264"/>
        <v>#VALUE!</v>
      </c>
      <c r="O1208" s="1" t="e">
        <f t="shared" si="265"/>
        <v>#VALUE!</v>
      </c>
      <c r="P1208" s="1" t="e">
        <f t="shared" si="266"/>
        <v>#VALUE!</v>
      </c>
      <c r="Q1208" s="1" t="e">
        <f t="shared" si="267"/>
        <v>#VALUE!</v>
      </c>
      <c r="R1208" s="1" t="e">
        <f t="shared" si="268"/>
        <v>#VALUE!</v>
      </c>
      <c r="S1208" s="1" t="e">
        <f t="shared" si="269"/>
        <v>#VALUE!</v>
      </c>
      <c r="T1208" s="1" t="e">
        <f t="shared" si="270"/>
        <v>#VALUE!</v>
      </c>
      <c r="U1208" s="26" t="e">
        <f t="shared" si="271"/>
        <v>#VALUE!</v>
      </c>
      <c r="V1208" s="26" t="e">
        <f t="shared" si="272"/>
        <v>#VALUE!</v>
      </c>
      <c r="W1208" s="1" t="e">
        <f t="shared" si="273"/>
        <v>#VALUE!</v>
      </c>
      <c r="X1208" s="26" t="e">
        <f t="shared" si="274"/>
        <v>#VALUE!</v>
      </c>
      <c r="Y1208" s="26" t="e">
        <f t="shared" si="275"/>
        <v>#VALUE!</v>
      </c>
      <c r="Z1208" s="1" t="e">
        <f t="shared" si="276"/>
        <v>#VALUE!</v>
      </c>
      <c r="AA1208"/>
      <c r="AB1208"/>
    </row>
    <row r="1209" spans="1:28" x14ac:dyDescent="0.55000000000000004">
      <c r="A1209" s="1">
        <f t="shared" si="263"/>
        <v>1209</v>
      </c>
      <c r="B1209" t="s">
        <v>35</v>
      </c>
      <c r="C1209" t="s">
        <v>119</v>
      </c>
      <c r="D1209" t="s">
        <v>174</v>
      </c>
      <c r="E1209" t="s">
        <v>273</v>
      </c>
      <c r="F1209" t="s">
        <v>302</v>
      </c>
      <c r="G1209" t="s">
        <v>204</v>
      </c>
      <c r="I1209" t="s">
        <v>207</v>
      </c>
      <c r="K1209" t="s">
        <v>206</v>
      </c>
      <c r="M1209" t="s">
        <v>47</v>
      </c>
      <c r="N1209" s="1" t="e">
        <f t="shared" si="264"/>
        <v>#VALUE!</v>
      </c>
      <c r="O1209" s="1" t="e">
        <f t="shared" si="265"/>
        <v>#VALUE!</v>
      </c>
      <c r="P1209" s="1" t="e">
        <f t="shared" si="266"/>
        <v>#VALUE!</v>
      </c>
      <c r="Q1209" s="1" t="e">
        <f t="shared" si="267"/>
        <v>#VALUE!</v>
      </c>
      <c r="R1209" s="1" t="e">
        <f t="shared" si="268"/>
        <v>#VALUE!</v>
      </c>
      <c r="S1209" s="1" t="e">
        <f t="shared" si="269"/>
        <v>#VALUE!</v>
      </c>
      <c r="T1209" s="1" t="e">
        <f t="shared" si="270"/>
        <v>#VALUE!</v>
      </c>
      <c r="U1209" s="26" t="e">
        <f t="shared" si="271"/>
        <v>#VALUE!</v>
      </c>
      <c r="V1209" s="26" t="e">
        <f t="shared" si="272"/>
        <v>#VALUE!</v>
      </c>
      <c r="W1209" s="1" t="e">
        <f t="shared" si="273"/>
        <v>#VALUE!</v>
      </c>
      <c r="X1209" s="26" t="e">
        <f t="shared" si="274"/>
        <v>#VALUE!</v>
      </c>
      <c r="Y1209" s="26" t="e">
        <f t="shared" si="275"/>
        <v>#VALUE!</v>
      </c>
      <c r="Z1209" s="1" t="e">
        <f t="shared" si="276"/>
        <v>#VALUE!</v>
      </c>
      <c r="AA1209"/>
      <c r="AB1209"/>
    </row>
    <row r="1210" spans="1:28" x14ac:dyDescent="0.55000000000000004">
      <c r="A1210" s="1">
        <f t="shared" si="263"/>
        <v>1210</v>
      </c>
      <c r="B1210" t="s">
        <v>37</v>
      </c>
      <c r="C1210" t="s">
        <v>176</v>
      </c>
      <c r="D1210" t="s">
        <v>174</v>
      </c>
      <c r="E1210" t="s">
        <v>273</v>
      </c>
      <c r="F1210" t="s">
        <v>315</v>
      </c>
      <c r="G1210" t="s">
        <v>313</v>
      </c>
      <c r="I1210" t="s">
        <v>316</v>
      </c>
      <c r="K1210" t="s">
        <v>317</v>
      </c>
      <c r="M1210" t="s">
        <v>47</v>
      </c>
      <c r="N1210" s="1" t="e">
        <f t="shared" si="264"/>
        <v>#VALUE!</v>
      </c>
      <c r="O1210" s="1" t="e">
        <f t="shared" si="265"/>
        <v>#VALUE!</v>
      </c>
      <c r="P1210" s="1" t="e">
        <f t="shared" si="266"/>
        <v>#VALUE!</v>
      </c>
      <c r="Q1210" s="1" t="e">
        <f t="shared" si="267"/>
        <v>#VALUE!</v>
      </c>
      <c r="R1210" s="1" t="e">
        <f t="shared" si="268"/>
        <v>#VALUE!</v>
      </c>
      <c r="S1210" s="1" t="e">
        <f t="shared" si="269"/>
        <v>#VALUE!</v>
      </c>
      <c r="T1210" s="1" t="e">
        <f t="shared" si="270"/>
        <v>#VALUE!</v>
      </c>
      <c r="U1210" s="26" t="e">
        <f t="shared" si="271"/>
        <v>#VALUE!</v>
      </c>
      <c r="V1210" s="26" t="e">
        <f t="shared" si="272"/>
        <v>#VALUE!</v>
      </c>
      <c r="W1210" s="1" t="e">
        <f t="shared" si="273"/>
        <v>#VALUE!</v>
      </c>
      <c r="X1210" s="26" t="e">
        <f t="shared" si="274"/>
        <v>#VALUE!</v>
      </c>
      <c r="Y1210" s="26" t="e">
        <f t="shared" si="275"/>
        <v>#VALUE!</v>
      </c>
      <c r="Z1210" s="1" t="e">
        <f t="shared" si="276"/>
        <v>#VALUE!</v>
      </c>
      <c r="AA1210"/>
      <c r="AB1210"/>
    </row>
    <row r="1211" spans="1:28" x14ac:dyDescent="0.55000000000000004">
      <c r="A1211" s="1">
        <f t="shared" si="263"/>
        <v>1211</v>
      </c>
      <c r="B1211" t="s">
        <v>37</v>
      </c>
      <c r="C1211" t="s">
        <v>176</v>
      </c>
      <c r="D1211" t="s">
        <v>174</v>
      </c>
      <c r="E1211" t="s">
        <v>273</v>
      </c>
      <c r="F1211" t="s">
        <v>311</v>
      </c>
      <c r="G1211" t="s">
        <v>318</v>
      </c>
      <c r="I1211" t="s">
        <v>319</v>
      </c>
      <c r="K1211" t="s">
        <v>320</v>
      </c>
      <c r="M1211" t="s">
        <v>47</v>
      </c>
      <c r="N1211" s="1" t="e">
        <f t="shared" si="264"/>
        <v>#VALUE!</v>
      </c>
      <c r="O1211" s="1" t="e">
        <f t="shared" si="265"/>
        <v>#VALUE!</v>
      </c>
      <c r="P1211" s="1" t="e">
        <f t="shared" si="266"/>
        <v>#VALUE!</v>
      </c>
      <c r="Q1211" s="1" t="e">
        <f t="shared" si="267"/>
        <v>#VALUE!</v>
      </c>
      <c r="R1211" s="1" t="e">
        <f t="shared" si="268"/>
        <v>#VALUE!</v>
      </c>
      <c r="S1211" s="1" t="e">
        <f t="shared" si="269"/>
        <v>#VALUE!</v>
      </c>
      <c r="T1211" s="1" t="e">
        <f t="shared" si="270"/>
        <v>#VALUE!</v>
      </c>
      <c r="U1211" s="26" t="e">
        <f t="shared" si="271"/>
        <v>#VALUE!</v>
      </c>
      <c r="V1211" s="26" t="e">
        <f t="shared" si="272"/>
        <v>#VALUE!</v>
      </c>
      <c r="W1211" s="1" t="e">
        <f t="shared" si="273"/>
        <v>#VALUE!</v>
      </c>
      <c r="X1211" s="26" t="e">
        <f t="shared" si="274"/>
        <v>#VALUE!</v>
      </c>
      <c r="Y1211" s="26" t="e">
        <f t="shared" si="275"/>
        <v>#VALUE!</v>
      </c>
      <c r="Z1211" s="1" t="e">
        <f t="shared" si="276"/>
        <v>#VALUE!</v>
      </c>
      <c r="AA1211"/>
      <c r="AB1211"/>
    </row>
    <row r="1212" spans="1:28" x14ac:dyDescent="0.55000000000000004">
      <c r="A1212" s="1">
        <f t="shared" si="263"/>
        <v>1212</v>
      </c>
      <c r="B1212" t="s">
        <v>30</v>
      </c>
      <c r="C1212" t="s">
        <v>118</v>
      </c>
      <c r="D1212" t="s">
        <v>133</v>
      </c>
      <c r="E1212" t="s">
        <v>348</v>
      </c>
      <c r="F1212" t="s">
        <v>346</v>
      </c>
      <c r="G1212" t="s">
        <v>67</v>
      </c>
      <c r="I1212" t="s">
        <v>45</v>
      </c>
      <c r="K1212" t="s">
        <v>73</v>
      </c>
      <c r="M1212" t="s">
        <v>47</v>
      </c>
      <c r="N1212" s="1" t="e">
        <f t="shared" si="264"/>
        <v>#VALUE!</v>
      </c>
      <c r="O1212" s="1" t="e">
        <f t="shared" si="265"/>
        <v>#VALUE!</v>
      </c>
      <c r="P1212" s="1" t="e">
        <f t="shared" si="266"/>
        <v>#VALUE!</v>
      </c>
      <c r="Q1212" s="1" t="e">
        <f t="shared" si="267"/>
        <v>#VALUE!</v>
      </c>
      <c r="R1212" s="1" t="e">
        <f t="shared" si="268"/>
        <v>#VALUE!</v>
      </c>
      <c r="S1212" s="1" t="e">
        <f t="shared" si="269"/>
        <v>#VALUE!</v>
      </c>
      <c r="T1212" s="1" t="e">
        <f t="shared" si="270"/>
        <v>#VALUE!</v>
      </c>
      <c r="U1212" s="26" t="e">
        <f t="shared" si="271"/>
        <v>#VALUE!</v>
      </c>
      <c r="V1212" s="26" t="e">
        <f t="shared" si="272"/>
        <v>#VALUE!</v>
      </c>
      <c r="W1212" s="1" t="e">
        <f t="shared" si="273"/>
        <v>#VALUE!</v>
      </c>
      <c r="X1212" s="26" t="e">
        <f t="shared" si="274"/>
        <v>#VALUE!</v>
      </c>
      <c r="Y1212" s="26" t="e">
        <f t="shared" si="275"/>
        <v>#VALUE!</v>
      </c>
      <c r="Z1212" s="1" t="e">
        <f t="shared" si="276"/>
        <v>#VALUE!</v>
      </c>
      <c r="AA1212"/>
      <c r="AB1212"/>
    </row>
    <row r="1213" spans="1:28" x14ac:dyDescent="0.55000000000000004">
      <c r="A1213" s="1">
        <f t="shared" si="263"/>
        <v>1213</v>
      </c>
      <c r="B1213" t="s">
        <v>31</v>
      </c>
      <c r="C1213" t="s">
        <v>196</v>
      </c>
      <c r="D1213" t="s">
        <v>133</v>
      </c>
      <c r="E1213" t="s">
        <v>348</v>
      </c>
      <c r="F1213" t="s">
        <v>357</v>
      </c>
      <c r="G1213" t="s">
        <v>135</v>
      </c>
      <c r="I1213" t="s">
        <v>141</v>
      </c>
      <c r="K1213" t="s">
        <v>137</v>
      </c>
      <c r="M1213" t="s">
        <v>47</v>
      </c>
      <c r="N1213" s="1" t="e">
        <f t="shared" si="264"/>
        <v>#VALUE!</v>
      </c>
      <c r="O1213" s="1" t="e">
        <f t="shared" si="265"/>
        <v>#VALUE!</v>
      </c>
      <c r="P1213" s="1" t="e">
        <f t="shared" si="266"/>
        <v>#VALUE!</v>
      </c>
      <c r="Q1213" s="1" t="e">
        <f t="shared" si="267"/>
        <v>#VALUE!</v>
      </c>
      <c r="R1213" s="1" t="e">
        <f t="shared" si="268"/>
        <v>#VALUE!</v>
      </c>
      <c r="S1213" s="1" t="e">
        <f t="shared" si="269"/>
        <v>#VALUE!</v>
      </c>
      <c r="T1213" s="1" t="e">
        <f t="shared" si="270"/>
        <v>#VALUE!</v>
      </c>
      <c r="U1213" s="26" t="e">
        <f t="shared" si="271"/>
        <v>#VALUE!</v>
      </c>
      <c r="V1213" s="26" t="e">
        <f t="shared" si="272"/>
        <v>#VALUE!</v>
      </c>
      <c r="W1213" s="1" t="e">
        <f t="shared" si="273"/>
        <v>#VALUE!</v>
      </c>
      <c r="X1213" s="26" t="e">
        <f t="shared" si="274"/>
        <v>#VALUE!</v>
      </c>
      <c r="Y1213" s="26" t="e">
        <f t="shared" si="275"/>
        <v>#VALUE!</v>
      </c>
      <c r="Z1213" s="1" t="e">
        <f t="shared" si="276"/>
        <v>#VALUE!</v>
      </c>
      <c r="AA1213"/>
      <c r="AB1213"/>
    </row>
    <row r="1214" spans="1:28" x14ac:dyDescent="0.55000000000000004">
      <c r="A1214" s="1">
        <f t="shared" si="263"/>
        <v>1214</v>
      </c>
      <c r="B1214" t="s">
        <v>31</v>
      </c>
      <c r="C1214" t="s">
        <v>196</v>
      </c>
      <c r="D1214" t="s">
        <v>133</v>
      </c>
      <c r="E1214" t="s">
        <v>348</v>
      </c>
      <c r="F1214" t="s">
        <v>274</v>
      </c>
      <c r="G1214" t="s">
        <v>145</v>
      </c>
      <c r="I1214" t="s">
        <v>136</v>
      </c>
      <c r="K1214" t="s">
        <v>155</v>
      </c>
      <c r="M1214" t="s">
        <v>47</v>
      </c>
      <c r="N1214" s="1" t="e">
        <f t="shared" si="264"/>
        <v>#VALUE!</v>
      </c>
      <c r="O1214" s="1" t="e">
        <f t="shared" si="265"/>
        <v>#VALUE!</v>
      </c>
      <c r="P1214" s="1" t="e">
        <f t="shared" si="266"/>
        <v>#VALUE!</v>
      </c>
      <c r="Q1214" s="1" t="e">
        <f t="shared" si="267"/>
        <v>#VALUE!</v>
      </c>
      <c r="R1214" s="1" t="e">
        <f t="shared" si="268"/>
        <v>#VALUE!</v>
      </c>
      <c r="S1214" s="1" t="e">
        <f t="shared" si="269"/>
        <v>#VALUE!</v>
      </c>
      <c r="T1214" s="1" t="e">
        <f t="shared" si="270"/>
        <v>#VALUE!</v>
      </c>
      <c r="U1214" s="26" t="e">
        <f t="shared" si="271"/>
        <v>#VALUE!</v>
      </c>
      <c r="V1214" s="26" t="e">
        <f t="shared" si="272"/>
        <v>#VALUE!</v>
      </c>
      <c r="W1214" s="1" t="e">
        <f t="shared" si="273"/>
        <v>#VALUE!</v>
      </c>
      <c r="X1214" s="26" t="e">
        <f t="shared" si="274"/>
        <v>#VALUE!</v>
      </c>
      <c r="Y1214" s="26" t="e">
        <f t="shared" si="275"/>
        <v>#VALUE!</v>
      </c>
      <c r="Z1214" s="1" t="e">
        <f t="shared" si="276"/>
        <v>#VALUE!</v>
      </c>
      <c r="AA1214"/>
      <c r="AB1214"/>
    </row>
    <row r="1215" spans="1:28" x14ac:dyDescent="0.55000000000000004">
      <c r="A1215" s="1">
        <f t="shared" si="263"/>
        <v>1215</v>
      </c>
      <c r="B1215" t="s">
        <v>33</v>
      </c>
      <c r="C1215" t="s">
        <v>128</v>
      </c>
      <c r="D1215" t="s">
        <v>133</v>
      </c>
      <c r="E1215" t="s">
        <v>348</v>
      </c>
      <c r="F1215" t="s">
        <v>364</v>
      </c>
      <c r="G1215" t="s">
        <v>299</v>
      </c>
      <c r="I1215" t="s">
        <v>365</v>
      </c>
      <c r="K1215" t="s">
        <v>366</v>
      </c>
      <c r="M1215" t="s">
        <v>47</v>
      </c>
      <c r="N1215" s="1" t="e">
        <f t="shared" si="264"/>
        <v>#VALUE!</v>
      </c>
      <c r="O1215" s="1" t="e">
        <f t="shared" si="265"/>
        <v>#VALUE!</v>
      </c>
      <c r="P1215" s="1" t="e">
        <f t="shared" si="266"/>
        <v>#VALUE!</v>
      </c>
      <c r="Q1215" s="1" t="e">
        <f t="shared" si="267"/>
        <v>#VALUE!</v>
      </c>
      <c r="R1215" s="1" t="e">
        <f t="shared" si="268"/>
        <v>#VALUE!</v>
      </c>
      <c r="S1215" s="1" t="e">
        <f t="shared" si="269"/>
        <v>#VALUE!</v>
      </c>
      <c r="T1215" s="1" t="e">
        <f t="shared" si="270"/>
        <v>#VALUE!</v>
      </c>
      <c r="U1215" s="26" t="e">
        <f t="shared" si="271"/>
        <v>#VALUE!</v>
      </c>
      <c r="V1215" s="26" t="e">
        <f t="shared" si="272"/>
        <v>#VALUE!</v>
      </c>
      <c r="W1215" s="1" t="e">
        <f t="shared" si="273"/>
        <v>#VALUE!</v>
      </c>
      <c r="X1215" s="26" t="e">
        <f t="shared" si="274"/>
        <v>#VALUE!</v>
      </c>
      <c r="Y1215" s="26" t="e">
        <f t="shared" si="275"/>
        <v>#VALUE!</v>
      </c>
      <c r="Z1215" s="1" t="e">
        <f t="shared" si="276"/>
        <v>#VALUE!</v>
      </c>
      <c r="AA1215"/>
      <c r="AB1215"/>
    </row>
    <row r="1216" spans="1:28" x14ac:dyDescent="0.55000000000000004">
      <c r="A1216" s="1">
        <f t="shared" si="263"/>
        <v>1216</v>
      </c>
      <c r="B1216" t="s">
        <v>33</v>
      </c>
      <c r="C1216" t="s">
        <v>128</v>
      </c>
      <c r="D1216" t="s">
        <v>133</v>
      </c>
      <c r="E1216" t="s">
        <v>348</v>
      </c>
      <c r="F1216" t="s">
        <v>277</v>
      </c>
      <c r="G1216" t="s">
        <v>281</v>
      </c>
      <c r="I1216" t="s">
        <v>296</v>
      </c>
      <c r="K1216" t="s">
        <v>283</v>
      </c>
      <c r="M1216" t="s">
        <v>47</v>
      </c>
      <c r="N1216" s="1" t="e">
        <f t="shared" si="264"/>
        <v>#VALUE!</v>
      </c>
      <c r="O1216" s="1" t="e">
        <f t="shared" si="265"/>
        <v>#VALUE!</v>
      </c>
      <c r="P1216" s="1" t="e">
        <f t="shared" si="266"/>
        <v>#VALUE!</v>
      </c>
      <c r="Q1216" s="1" t="e">
        <f t="shared" si="267"/>
        <v>#VALUE!</v>
      </c>
      <c r="R1216" s="1" t="e">
        <f t="shared" si="268"/>
        <v>#VALUE!</v>
      </c>
      <c r="S1216" s="1" t="e">
        <f t="shared" si="269"/>
        <v>#VALUE!</v>
      </c>
      <c r="T1216" s="1" t="e">
        <f t="shared" si="270"/>
        <v>#VALUE!</v>
      </c>
      <c r="U1216" s="26" t="e">
        <f t="shared" si="271"/>
        <v>#VALUE!</v>
      </c>
      <c r="V1216" s="26" t="e">
        <f t="shared" si="272"/>
        <v>#VALUE!</v>
      </c>
      <c r="W1216" s="1" t="e">
        <f t="shared" si="273"/>
        <v>#VALUE!</v>
      </c>
      <c r="X1216" s="26" t="e">
        <f t="shared" si="274"/>
        <v>#VALUE!</v>
      </c>
      <c r="Y1216" s="26" t="e">
        <f t="shared" si="275"/>
        <v>#VALUE!</v>
      </c>
      <c r="Z1216" s="1" t="e">
        <f t="shared" si="276"/>
        <v>#VALUE!</v>
      </c>
      <c r="AA1216"/>
      <c r="AB1216"/>
    </row>
    <row r="1217" spans="1:28" x14ac:dyDescent="0.55000000000000004">
      <c r="A1217" s="1">
        <f t="shared" si="263"/>
        <v>1217</v>
      </c>
      <c r="B1217" t="s">
        <v>33</v>
      </c>
      <c r="C1217" t="s">
        <v>128</v>
      </c>
      <c r="D1217" t="s">
        <v>133</v>
      </c>
      <c r="E1217" t="s">
        <v>348</v>
      </c>
      <c r="F1217" t="s">
        <v>277</v>
      </c>
      <c r="G1217" t="s">
        <v>288</v>
      </c>
      <c r="I1217" t="s">
        <v>284</v>
      </c>
      <c r="K1217" t="s">
        <v>361</v>
      </c>
      <c r="M1217" t="s">
        <v>47</v>
      </c>
      <c r="N1217" s="1" t="e">
        <f t="shared" si="264"/>
        <v>#VALUE!</v>
      </c>
      <c r="O1217" s="1" t="e">
        <f t="shared" si="265"/>
        <v>#VALUE!</v>
      </c>
      <c r="P1217" s="1" t="e">
        <f t="shared" si="266"/>
        <v>#VALUE!</v>
      </c>
      <c r="Q1217" s="1" t="e">
        <f t="shared" si="267"/>
        <v>#VALUE!</v>
      </c>
      <c r="R1217" s="1" t="e">
        <f t="shared" si="268"/>
        <v>#VALUE!</v>
      </c>
      <c r="S1217" s="1" t="e">
        <f t="shared" si="269"/>
        <v>#VALUE!</v>
      </c>
      <c r="T1217" s="1" t="e">
        <f t="shared" si="270"/>
        <v>#VALUE!</v>
      </c>
      <c r="U1217" s="26" t="e">
        <f t="shared" si="271"/>
        <v>#VALUE!</v>
      </c>
      <c r="V1217" s="26" t="e">
        <f t="shared" si="272"/>
        <v>#VALUE!</v>
      </c>
      <c r="W1217" s="1" t="e">
        <f t="shared" si="273"/>
        <v>#VALUE!</v>
      </c>
      <c r="X1217" s="26" t="e">
        <f t="shared" si="274"/>
        <v>#VALUE!</v>
      </c>
      <c r="Y1217" s="26" t="e">
        <f t="shared" si="275"/>
        <v>#VALUE!</v>
      </c>
      <c r="Z1217" s="1" t="e">
        <f t="shared" si="276"/>
        <v>#VALUE!</v>
      </c>
      <c r="AA1217"/>
      <c r="AB1217"/>
    </row>
    <row r="1218" spans="1:28" x14ac:dyDescent="0.55000000000000004">
      <c r="A1218" s="1">
        <f t="shared" si="263"/>
        <v>1218</v>
      </c>
      <c r="B1218" t="s">
        <v>33</v>
      </c>
      <c r="C1218" t="s">
        <v>128</v>
      </c>
      <c r="D1218" t="s">
        <v>133</v>
      </c>
      <c r="E1218" t="s">
        <v>348</v>
      </c>
      <c r="F1218" t="s">
        <v>290</v>
      </c>
      <c r="G1218" t="s">
        <v>282</v>
      </c>
      <c r="I1218" t="s">
        <v>292</v>
      </c>
      <c r="K1218" t="s">
        <v>295</v>
      </c>
      <c r="M1218" t="s">
        <v>47</v>
      </c>
      <c r="N1218" s="1" t="e">
        <f t="shared" si="264"/>
        <v>#VALUE!</v>
      </c>
      <c r="O1218" s="1" t="e">
        <f t="shared" si="265"/>
        <v>#VALUE!</v>
      </c>
      <c r="P1218" s="1" t="e">
        <f t="shared" si="266"/>
        <v>#VALUE!</v>
      </c>
      <c r="Q1218" s="1" t="e">
        <f t="shared" si="267"/>
        <v>#VALUE!</v>
      </c>
      <c r="R1218" s="1" t="e">
        <f t="shared" si="268"/>
        <v>#VALUE!</v>
      </c>
      <c r="S1218" s="1" t="e">
        <f t="shared" si="269"/>
        <v>#VALUE!</v>
      </c>
      <c r="T1218" s="1" t="e">
        <f t="shared" si="270"/>
        <v>#VALUE!</v>
      </c>
      <c r="U1218" s="26" t="e">
        <f t="shared" si="271"/>
        <v>#VALUE!</v>
      </c>
      <c r="V1218" s="26" t="e">
        <f t="shared" si="272"/>
        <v>#VALUE!</v>
      </c>
      <c r="W1218" s="1" t="e">
        <f t="shared" si="273"/>
        <v>#VALUE!</v>
      </c>
      <c r="X1218" s="26" t="e">
        <f t="shared" si="274"/>
        <v>#VALUE!</v>
      </c>
      <c r="Y1218" s="26" t="e">
        <f t="shared" si="275"/>
        <v>#VALUE!</v>
      </c>
      <c r="Z1218" s="1" t="e">
        <f t="shared" si="276"/>
        <v>#VALUE!</v>
      </c>
      <c r="AA1218"/>
      <c r="AB1218"/>
    </row>
    <row r="1219" spans="1:28" x14ac:dyDescent="0.55000000000000004">
      <c r="A1219" s="1">
        <f t="shared" ref="A1219:A1282" si="277">A1218+1</f>
        <v>1219</v>
      </c>
      <c r="B1219" t="s">
        <v>33</v>
      </c>
      <c r="C1219" t="s">
        <v>128</v>
      </c>
      <c r="D1219" t="s">
        <v>133</v>
      </c>
      <c r="E1219" t="s">
        <v>348</v>
      </c>
      <c r="F1219" t="s">
        <v>290</v>
      </c>
      <c r="G1219" t="s">
        <v>367</v>
      </c>
      <c r="I1219" t="s">
        <v>287</v>
      </c>
      <c r="K1219" t="s">
        <v>368</v>
      </c>
      <c r="M1219" t="s">
        <v>47</v>
      </c>
      <c r="N1219" s="1" t="e">
        <f t="shared" ref="N1219:N1282" si="278">VALUE(LEFT(H1219,1))</f>
        <v>#VALUE!</v>
      </c>
      <c r="O1219" s="1" t="e">
        <f t="shared" ref="O1219:O1282" si="279">VALUE(RIGHT(H1219,1))</f>
        <v>#VALUE!</v>
      </c>
      <c r="P1219" s="1" t="e">
        <f t="shared" ref="P1219:P1282" si="280">SUM(N1219,O1219)</f>
        <v>#VALUE!</v>
      </c>
      <c r="Q1219" s="1" t="e">
        <f t="shared" ref="Q1219:Q1282" si="281">IF(N1219&lt;&gt;O1219, 1, 0)</f>
        <v>#VALUE!</v>
      </c>
      <c r="R1219" s="1" t="e">
        <f t="shared" ref="R1219:R1282" si="282">IF(P1219&lt;=4,1,0)</f>
        <v>#VALUE!</v>
      </c>
      <c r="S1219" s="1" t="e">
        <f t="shared" ref="S1219:S1282" si="283">IF(AND(Q1219=1,R1219=1),1,0)</f>
        <v>#VALUE!</v>
      </c>
      <c r="T1219" s="1" t="e">
        <f t="shared" ref="T1219:T1282" si="284">IF(N1219&lt;=2,1,0)</f>
        <v>#VALUE!</v>
      </c>
      <c r="U1219" s="26" t="e">
        <f t="shared" ref="U1219:U1282" si="285">IF(AND(N1219&gt;=1,N1219&lt;=3),1,0)</f>
        <v>#VALUE!</v>
      </c>
      <c r="V1219" s="26" t="e">
        <f t="shared" ref="V1219:V1282" si="286">IF(AND(N1219&gt;=2,N1219&lt;=5),1,0)</f>
        <v>#VALUE!</v>
      </c>
      <c r="W1219" s="1" t="e">
        <f t="shared" ref="W1219:W1282" si="287">IF(O1219&lt;=2,1,0)</f>
        <v>#VALUE!</v>
      </c>
      <c r="X1219" s="26" t="e">
        <f t="shared" ref="X1219:X1282" si="288">IF(AND(O1219&gt;=1,O1219&lt;=3),1,0)</f>
        <v>#VALUE!</v>
      </c>
      <c r="Y1219" s="26" t="e">
        <f t="shared" ref="Y1219:Y1282" si="289">IF(AND(O1219&gt;=2,O1219&lt;=5),1,0)</f>
        <v>#VALUE!</v>
      </c>
      <c r="Z1219" s="1" t="e">
        <f t="shared" ref="Z1219:Z1282" si="290">IF(P1219&gt;=2,1,0)</f>
        <v>#VALUE!</v>
      </c>
      <c r="AA1219"/>
      <c r="AB1219"/>
    </row>
    <row r="1220" spans="1:28" x14ac:dyDescent="0.55000000000000004">
      <c r="A1220" s="1">
        <f t="shared" si="277"/>
        <v>1220</v>
      </c>
      <c r="B1220" t="s">
        <v>34</v>
      </c>
      <c r="C1220" t="s">
        <v>197</v>
      </c>
      <c r="D1220" t="s">
        <v>133</v>
      </c>
      <c r="E1220" t="s">
        <v>348</v>
      </c>
      <c r="F1220" t="s">
        <v>375</v>
      </c>
      <c r="G1220" t="s">
        <v>95</v>
      </c>
      <c r="I1220" t="s">
        <v>93</v>
      </c>
      <c r="K1220" t="s">
        <v>97</v>
      </c>
      <c r="M1220" t="s">
        <v>47</v>
      </c>
      <c r="N1220" s="1" t="e">
        <f t="shared" si="278"/>
        <v>#VALUE!</v>
      </c>
      <c r="O1220" s="1" t="e">
        <f t="shared" si="279"/>
        <v>#VALUE!</v>
      </c>
      <c r="P1220" s="1" t="e">
        <f t="shared" si="280"/>
        <v>#VALUE!</v>
      </c>
      <c r="Q1220" s="1" t="e">
        <f t="shared" si="281"/>
        <v>#VALUE!</v>
      </c>
      <c r="R1220" s="1" t="e">
        <f t="shared" si="282"/>
        <v>#VALUE!</v>
      </c>
      <c r="S1220" s="1" t="e">
        <f t="shared" si="283"/>
        <v>#VALUE!</v>
      </c>
      <c r="T1220" s="1" t="e">
        <f t="shared" si="284"/>
        <v>#VALUE!</v>
      </c>
      <c r="U1220" s="26" t="e">
        <f t="shared" si="285"/>
        <v>#VALUE!</v>
      </c>
      <c r="V1220" s="26" t="e">
        <f t="shared" si="286"/>
        <v>#VALUE!</v>
      </c>
      <c r="W1220" s="1" t="e">
        <f t="shared" si="287"/>
        <v>#VALUE!</v>
      </c>
      <c r="X1220" s="26" t="e">
        <f t="shared" si="288"/>
        <v>#VALUE!</v>
      </c>
      <c r="Y1220" s="26" t="e">
        <f t="shared" si="289"/>
        <v>#VALUE!</v>
      </c>
      <c r="Z1220" s="1" t="e">
        <f t="shared" si="290"/>
        <v>#VALUE!</v>
      </c>
      <c r="AA1220"/>
      <c r="AB1220"/>
    </row>
    <row r="1221" spans="1:28" x14ac:dyDescent="0.55000000000000004">
      <c r="A1221" s="1">
        <f t="shared" si="277"/>
        <v>1221</v>
      </c>
      <c r="B1221" t="s">
        <v>35</v>
      </c>
      <c r="C1221" t="s">
        <v>119</v>
      </c>
      <c r="D1221" t="s">
        <v>133</v>
      </c>
      <c r="E1221" t="s">
        <v>348</v>
      </c>
      <c r="F1221" t="s">
        <v>376</v>
      </c>
      <c r="G1221" t="s">
        <v>211</v>
      </c>
      <c r="I1221" t="s">
        <v>303</v>
      </c>
      <c r="K1221" t="s">
        <v>309</v>
      </c>
      <c r="M1221" t="s">
        <v>47</v>
      </c>
      <c r="N1221" s="1" t="e">
        <f t="shared" si="278"/>
        <v>#VALUE!</v>
      </c>
      <c r="O1221" s="1" t="e">
        <f t="shared" si="279"/>
        <v>#VALUE!</v>
      </c>
      <c r="P1221" s="1" t="e">
        <f t="shared" si="280"/>
        <v>#VALUE!</v>
      </c>
      <c r="Q1221" s="1" t="e">
        <f t="shared" si="281"/>
        <v>#VALUE!</v>
      </c>
      <c r="R1221" s="1" t="e">
        <f t="shared" si="282"/>
        <v>#VALUE!</v>
      </c>
      <c r="S1221" s="1" t="e">
        <f t="shared" si="283"/>
        <v>#VALUE!</v>
      </c>
      <c r="T1221" s="1" t="e">
        <f t="shared" si="284"/>
        <v>#VALUE!</v>
      </c>
      <c r="U1221" s="26" t="e">
        <f t="shared" si="285"/>
        <v>#VALUE!</v>
      </c>
      <c r="V1221" s="26" t="e">
        <f t="shared" si="286"/>
        <v>#VALUE!</v>
      </c>
      <c r="W1221" s="1" t="e">
        <f t="shared" si="287"/>
        <v>#VALUE!</v>
      </c>
      <c r="X1221" s="26" t="e">
        <f t="shared" si="288"/>
        <v>#VALUE!</v>
      </c>
      <c r="Y1221" s="26" t="e">
        <f t="shared" si="289"/>
        <v>#VALUE!</v>
      </c>
      <c r="Z1221" s="1" t="e">
        <f t="shared" si="290"/>
        <v>#VALUE!</v>
      </c>
      <c r="AA1221"/>
      <c r="AB1221"/>
    </row>
    <row r="1222" spans="1:28" x14ac:dyDescent="0.55000000000000004">
      <c r="A1222" s="1">
        <f t="shared" si="277"/>
        <v>1222</v>
      </c>
      <c r="B1222" t="s">
        <v>35</v>
      </c>
      <c r="C1222" t="s">
        <v>119</v>
      </c>
      <c r="D1222" t="s">
        <v>133</v>
      </c>
      <c r="E1222" t="s">
        <v>348</v>
      </c>
      <c r="F1222" t="s">
        <v>375</v>
      </c>
      <c r="G1222" t="s">
        <v>307</v>
      </c>
      <c r="I1222" t="s">
        <v>208</v>
      </c>
      <c r="K1222" t="s">
        <v>379</v>
      </c>
      <c r="M1222" t="s">
        <v>47</v>
      </c>
      <c r="N1222" s="1" t="e">
        <f t="shared" si="278"/>
        <v>#VALUE!</v>
      </c>
      <c r="O1222" s="1" t="e">
        <f t="shared" si="279"/>
        <v>#VALUE!</v>
      </c>
      <c r="P1222" s="1" t="e">
        <f t="shared" si="280"/>
        <v>#VALUE!</v>
      </c>
      <c r="Q1222" s="1" t="e">
        <f t="shared" si="281"/>
        <v>#VALUE!</v>
      </c>
      <c r="R1222" s="1" t="e">
        <f t="shared" si="282"/>
        <v>#VALUE!</v>
      </c>
      <c r="S1222" s="1" t="e">
        <f t="shared" si="283"/>
        <v>#VALUE!</v>
      </c>
      <c r="T1222" s="1" t="e">
        <f t="shared" si="284"/>
        <v>#VALUE!</v>
      </c>
      <c r="U1222" s="26" t="e">
        <f t="shared" si="285"/>
        <v>#VALUE!</v>
      </c>
      <c r="V1222" s="26" t="e">
        <f t="shared" si="286"/>
        <v>#VALUE!</v>
      </c>
      <c r="W1222" s="1" t="e">
        <f t="shared" si="287"/>
        <v>#VALUE!</v>
      </c>
      <c r="X1222" s="26" t="e">
        <f t="shared" si="288"/>
        <v>#VALUE!</v>
      </c>
      <c r="Y1222" s="26" t="e">
        <f t="shared" si="289"/>
        <v>#VALUE!</v>
      </c>
      <c r="Z1222" s="1" t="e">
        <f t="shared" si="290"/>
        <v>#VALUE!</v>
      </c>
      <c r="AA1222"/>
      <c r="AB1222"/>
    </row>
    <row r="1223" spans="1:28" x14ac:dyDescent="0.55000000000000004">
      <c r="A1223" s="1">
        <f t="shared" si="277"/>
        <v>1223</v>
      </c>
      <c r="B1223" t="s">
        <v>39</v>
      </c>
      <c r="C1223" t="s">
        <v>128</v>
      </c>
      <c r="D1223" t="s">
        <v>133</v>
      </c>
      <c r="E1223" t="s">
        <v>348</v>
      </c>
      <c r="F1223" t="s">
        <v>218</v>
      </c>
      <c r="G1223" t="s">
        <v>225</v>
      </c>
      <c r="I1223" t="s">
        <v>228</v>
      </c>
      <c r="K1223" t="s">
        <v>227</v>
      </c>
      <c r="M1223" t="s">
        <v>47</v>
      </c>
      <c r="N1223" s="1" t="e">
        <f t="shared" si="278"/>
        <v>#VALUE!</v>
      </c>
      <c r="O1223" s="1" t="e">
        <f t="shared" si="279"/>
        <v>#VALUE!</v>
      </c>
      <c r="P1223" s="1" t="e">
        <f t="shared" si="280"/>
        <v>#VALUE!</v>
      </c>
      <c r="Q1223" s="1" t="e">
        <f t="shared" si="281"/>
        <v>#VALUE!</v>
      </c>
      <c r="R1223" s="1" t="e">
        <f t="shared" si="282"/>
        <v>#VALUE!</v>
      </c>
      <c r="S1223" s="1" t="e">
        <f t="shared" si="283"/>
        <v>#VALUE!</v>
      </c>
      <c r="T1223" s="1" t="e">
        <f t="shared" si="284"/>
        <v>#VALUE!</v>
      </c>
      <c r="U1223" s="26" t="e">
        <f t="shared" si="285"/>
        <v>#VALUE!</v>
      </c>
      <c r="V1223" s="26" t="e">
        <f t="shared" si="286"/>
        <v>#VALUE!</v>
      </c>
      <c r="W1223" s="1" t="e">
        <f t="shared" si="287"/>
        <v>#VALUE!</v>
      </c>
      <c r="X1223" s="26" t="e">
        <f t="shared" si="288"/>
        <v>#VALUE!</v>
      </c>
      <c r="Y1223" s="26" t="e">
        <f t="shared" si="289"/>
        <v>#VALUE!</v>
      </c>
      <c r="Z1223" s="1" t="e">
        <f t="shared" si="290"/>
        <v>#VALUE!</v>
      </c>
      <c r="AA1223"/>
      <c r="AB1223"/>
    </row>
    <row r="1224" spans="1:28" x14ac:dyDescent="0.55000000000000004">
      <c r="A1224" s="1">
        <f t="shared" si="277"/>
        <v>1224</v>
      </c>
      <c r="B1224" t="s">
        <v>39</v>
      </c>
      <c r="C1224" t="s">
        <v>128</v>
      </c>
      <c r="D1224" t="s">
        <v>133</v>
      </c>
      <c r="E1224" t="s">
        <v>348</v>
      </c>
      <c r="F1224" t="s">
        <v>218</v>
      </c>
      <c r="G1224" t="s">
        <v>229</v>
      </c>
      <c r="I1224" t="s">
        <v>232</v>
      </c>
      <c r="K1224" t="s">
        <v>246</v>
      </c>
      <c r="M1224" t="s">
        <v>47</v>
      </c>
      <c r="N1224" s="1" t="e">
        <f t="shared" si="278"/>
        <v>#VALUE!</v>
      </c>
      <c r="O1224" s="1" t="e">
        <f t="shared" si="279"/>
        <v>#VALUE!</v>
      </c>
      <c r="P1224" s="1" t="e">
        <f t="shared" si="280"/>
        <v>#VALUE!</v>
      </c>
      <c r="Q1224" s="1" t="e">
        <f t="shared" si="281"/>
        <v>#VALUE!</v>
      </c>
      <c r="R1224" s="1" t="e">
        <f t="shared" si="282"/>
        <v>#VALUE!</v>
      </c>
      <c r="S1224" s="1" t="e">
        <f t="shared" si="283"/>
        <v>#VALUE!</v>
      </c>
      <c r="T1224" s="1" t="e">
        <f t="shared" si="284"/>
        <v>#VALUE!</v>
      </c>
      <c r="U1224" s="26" t="e">
        <f t="shared" si="285"/>
        <v>#VALUE!</v>
      </c>
      <c r="V1224" s="26" t="e">
        <f t="shared" si="286"/>
        <v>#VALUE!</v>
      </c>
      <c r="W1224" s="1" t="e">
        <f t="shared" si="287"/>
        <v>#VALUE!</v>
      </c>
      <c r="X1224" s="26" t="e">
        <f t="shared" si="288"/>
        <v>#VALUE!</v>
      </c>
      <c r="Y1224" s="26" t="e">
        <f t="shared" si="289"/>
        <v>#VALUE!</v>
      </c>
      <c r="Z1224" s="1" t="e">
        <f t="shared" si="290"/>
        <v>#VALUE!</v>
      </c>
      <c r="AA1224"/>
      <c r="AB1224"/>
    </row>
    <row r="1225" spans="1:28" x14ac:dyDescent="0.55000000000000004">
      <c r="A1225" s="1">
        <f t="shared" si="277"/>
        <v>1225</v>
      </c>
      <c r="B1225" t="s">
        <v>39</v>
      </c>
      <c r="C1225" t="s">
        <v>128</v>
      </c>
      <c r="D1225" t="s">
        <v>133</v>
      </c>
      <c r="E1225" t="s">
        <v>348</v>
      </c>
      <c r="F1225" t="s">
        <v>218</v>
      </c>
      <c r="G1225" t="s">
        <v>220</v>
      </c>
      <c r="I1225" t="s">
        <v>234</v>
      </c>
      <c r="K1225" t="s">
        <v>240</v>
      </c>
      <c r="M1225" t="s">
        <v>47</v>
      </c>
      <c r="N1225" s="1" t="e">
        <f t="shared" si="278"/>
        <v>#VALUE!</v>
      </c>
      <c r="O1225" s="1" t="e">
        <f t="shared" si="279"/>
        <v>#VALUE!</v>
      </c>
      <c r="P1225" s="1" t="e">
        <f t="shared" si="280"/>
        <v>#VALUE!</v>
      </c>
      <c r="Q1225" s="1" t="e">
        <f t="shared" si="281"/>
        <v>#VALUE!</v>
      </c>
      <c r="R1225" s="1" t="e">
        <f t="shared" si="282"/>
        <v>#VALUE!</v>
      </c>
      <c r="S1225" s="1" t="e">
        <f t="shared" si="283"/>
        <v>#VALUE!</v>
      </c>
      <c r="T1225" s="1" t="e">
        <f t="shared" si="284"/>
        <v>#VALUE!</v>
      </c>
      <c r="U1225" s="26" t="e">
        <f t="shared" si="285"/>
        <v>#VALUE!</v>
      </c>
      <c r="V1225" s="26" t="e">
        <f t="shared" si="286"/>
        <v>#VALUE!</v>
      </c>
      <c r="W1225" s="1" t="e">
        <f t="shared" si="287"/>
        <v>#VALUE!</v>
      </c>
      <c r="X1225" s="26" t="e">
        <f t="shared" si="288"/>
        <v>#VALUE!</v>
      </c>
      <c r="Y1225" s="26" t="e">
        <f t="shared" si="289"/>
        <v>#VALUE!</v>
      </c>
      <c r="Z1225" s="1" t="e">
        <f t="shared" si="290"/>
        <v>#VALUE!</v>
      </c>
      <c r="AA1225"/>
      <c r="AB1225"/>
    </row>
    <row r="1226" spans="1:28" x14ac:dyDescent="0.55000000000000004">
      <c r="A1226" s="1">
        <f t="shared" si="277"/>
        <v>1226</v>
      </c>
      <c r="B1226" t="s">
        <v>40</v>
      </c>
      <c r="C1226" t="s">
        <v>122</v>
      </c>
      <c r="D1226" t="s">
        <v>133</v>
      </c>
      <c r="E1226" t="s">
        <v>348</v>
      </c>
      <c r="F1226" t="s">
        <v>394</v>
      </c>
      <c r="G1226" t="s">
        <v>248</v>
      </c>
      <c r="I1226" t="s">
        <v>252</v>
      </c>
      <c r="K1226" t="s">
        <v>250</v>
      </c>
      <c r="M1226" t="s">
        <v>47</v>
      </c>
      <c r="N1226" s="1" t="e">
        <f t="shared" si="278"/>
        <v>#VALUE!</v>
      </c>
      <c r="O1226" s="1" t="e">
        <f t="shared" si="279"/>
        <v>#VALUE!</v>
      </c>
      <c r="P1226" s="1" t="e">
        <f t="shared" si="280"/>
        <v>#VALUE!</v>
      </c>
      <c r="Q1226" s="1" t="e">
        <f t="shared" si="281"/>
        <v>#VALUE!</v>
      </c>
      <c r="R1226" s="1" t="e">
        <f t="shared" si="282"/>
        <v>#VALUE!</v>
      </c>
      <c r="S1226" s="1" t="e">
        <f t="shared" si="283"/>
        <v>#VALUE!</v>
      </c>
      <c r="T1226" s="1" t="e">
        <f t="shared" si="284"/>
        <v>#VALUE!</v>
      </c>
      <c r="U1226" s="26" t="e">
        <f t="shared" si="285"/>
        <v>#VALUE!</v>
      </c>
      <c r="V1226" s="26" t="e">
        <f t="shared" si="286"/>
        <v>#VALUE!</v>
      </c>
      <c r="W1226" s="1" t="e">
        <f t="shared" si="287"/>
        <v>#VALUE!</v>
      </c>
      <c r="X1226" s="26" t="e">
        <f t="shared" si="288"/>
        <v>#VALUE!</v>
      </c>
      <c r="Y1226" s="26" t="e">
        <f t="shared" si="289"/>
        <v>#VALUE!</v>
      </c>
      <c r="Z1226" s="1" t="e">
        <f t="shared" si="290"/>
        <v>#VALUE!</v>
      </c>
      <c r="AA1226"/>
      <c r="AB1226"/>
    </row>
    <row r="1227" spans="1:28" x14ac:dyDescent="0.55000000000000004">
      <c r="A1227" s="1">
        <f t="shared" si="277"/>
        <v>1227</v>
      </c>
      <c r="B1227" t="s">
        <v>40</v>
      </c>
      <c r="C1227" t="s">
        <v>122</v>
      </c>
      <c r="D1227" t="s">
        <v>133</v>
      </c>
      <c r="E1227" t="s">
        <v>348</v>
      </c>
      <c r="F1227" t="s">
        <v>394</v>
      </c>
      <c r="G1227" t="s">
        <v>263</v>
      </c>
      <c r="I1227" t="s">
        <v>260</v>
      </c>
      <c r="K1227" t="s">
        <v>264</v>
      </c>
      <c r="M1227" t="s">
        <v>47</v>
      </c>
      <c r="N1227" s="1" t="e">
        <f t="shared" si="278"/>
        <v>#VALUE!</v>
      </c>
      <c r="O1227" s="1" t="e">
        <f t="shared" si="279"/>
        <v>#VALUE!</v>
      </c>
      <c r="P1227" s="1" t="e">
        <f t="shared" si="280"/>
        <v>#VALUE!</v>
      </c>
      <c r="Q1227" s="1" t="e">
        <f t="shared" si="281"/>
        <v>#VALUE!</v>
      </c>
      <c r="R1227" s="1" t="e">
        <f t="shared" si="282"/>
        <v>#VALUE!</v>
      </c>
      <c r="S1227" s="1" t="e">
        <f t="shared" si="283"/>
        <v>#VALUE!</v>
      </c>
      <c r="T1227" s="1" t="e">
        <f t="shared" si="284"/>
        <v>#VALUE!</v>
      </c>
      <c r="U1227" s="26" t="e">
        <f t="shared" si="285"/>
        <v>#VALUE!</v>
      </c>
      <c r="V1227" s="26" t="e">
        <f t="shared" si="286"/>
        <v>#VALUE!</v>
      </c>
      <c r="W1227" s="1" t="e">
        <f t="shared" si="287"/>
        <v>#VALUE!</v>
      </c>
      <c r="X1227" s="26" t="e">
        <f t="shared" si="288"/>
        <v>#VALUE!</v>
      </c>
      <c r="Y1227" s="26" t="e">
        <f t="shared" si="289"/>
        <v>#VALUE!</v>
      </c>
      <c r="Z1227" s="1" t="e">
        <f t="shared" si="290"/>
        <v>#VALUE!</v>
      </c>
      <c r="AA1227"/>
      <c r="AB1227"/>
    </row>
    <row r="1228" spans="1:28" x14ac:dyDescent="0.55000000000000004">
      <c r="A1228" s="1">
        <f t="shared" si="277"/>
        <v>1228</v>
      </c>
      <c r="B1228" t="s">
        <v>40</v>
      </c>
      <c r="C1228" t="s">
        <v>122</v>
      </c>
      <c r="D1228" t="s">
        <v>133</v>
      </c>
      <c r="E1228" t="s">
        <v>348</v>
      </c>
      <c r="F1228" t="s">
        <v>392</v>
      </c>
      <c r="G1228" t="s">
        <v>266</v>
      </c>
      <c r="I1228" t="s">
        <v>249</v>
      </c>
      <c r="K1228" t="s">
        <v>267</v>
      </c>
      <c r="M1228" t="s">
        <v>47</v>
      </c>
      <c r="N1228" s="1" t="e">
        <f t="shared" si="278"/>
        <v>#VALUE!</v>
      </c>
      <c r="O1228" s="1" t="e">
        <f t="shared" si="279"/>
        <v>#VALUE!</v>
      </c>
      <c r="P1228" s="1" t="e">
        <f t="shared" si="280"/>
        <v>#VALUE!</v>
      </c>
      <c r="Q1228" s="1" t="e">
        <f t="shared" si="281"/>
        <v>#VALUE!</v>
      </c>
      <c r="R1228" s="1" t="e">
        <f t="shared" si="282"/>
        <v>#VALUE!</v>
      </c>
      <c r="S1228" s="1" t="e">
        <f t="shared" si="283"/>
        <v>#VALUE!</v>
      </c>
      <c r="T1228" s="1" t="e">
        <f t="shared" si="284"/>
        <v>#VALUE!</v>
      </c>
      <c r="U1228" s="26" t="e">
        <f t="shared" si="285"/>
        <v>#VALUE!</v>
      </c>
      <c r="V1228" s="26" t="e">
        <f t="shared" si="286"/>
        <v>#VALUE!</v>
      </c>
      <c r="W1228" s="1" t="e">
        <f t="shared" si="287"/>
        <v>#VALUE!</v>
      </c>
      <c r="X1228" s="26" t="e">
        <f t="shared" si="288"/>
        <v>#VALUE!</v>
      </c>
      <c r="Y1228" s="26" t="e">
        <f t="shared" si="289"/>
        <v>#VALUE!</v>
      </c>
      <c r="Z1228" s="1" t="e">
        <f t="shared" si="290"/>
        <v>#VALUE!</v>
      </c>
      <c r="AA1228"/>
      <c r="AB1228"/>
    </row>
    <row r="1229" spans="1:28" x14ac:dyDescent="0.55000000000000004">
      <c r="A1229" s="1">
        <f t="shared" si="277"/>
        <v>1229</v>
      </c>
      <c r="B1229" t="s">
        <v>40</v>
      </c>
      <c r="C1229" t="s">
        <v>122</v>
      </c>
      <c r="D1229" t="s">
        <v>133</v>
      </c>
      <c r="E1229" t="s">
        <v>348</v>
      </c>
      <c r="F1229" t="s">
        <v>247</v>
      </c>
      <c r="G1229" t="s">
        <v>253</v>
      </c>
      <c r="I1229" t="s">
        <v>265</v>
      </c>
      <c r="K1229" t="s">
        <v>395</v>
      </c>
      <c r="M1229" t="s">
        <v>47</v>
      </c>
      <c r="N1229" s="1" t="e">
        <f t="shared" si="278"/>
        <v>#VALUE!</v>
      </c>
      <c r="O1229" s="1" t="e">
        <f t="shared" si="279"/>
        <v>#VALUE!</v>
      </c>
      <c r="P1229" s="1" t="e">
        <f t="shared" si="280"/>
        <v>#VALUE!</v>
      </c>
      <c r="Q1229" s="1" t="e">
        <f t="shared" si="281"/>
        <v>#VALUE!</v>
      </c>
      <c r="R1229" s="1" t="e">
        <f t="shared" si="282"/>
        <v>#VALUE!</v>
      </c>
      <c r="S1229" s="1" t="e">
        <f t="shared" si="283"/>
        <v>#VALUE!</v>
      </c>
      <c r="T1229" s="1" t="e">
        <f t="shared" si="284"/>
        <v>#VALUE!</v>
      </c>
      <c r="U1229" s="26" t="e">
        <f t="shared" si="285"/>
        <v>#VALUE!</v>
      </c>
      <c r="V1229" s="26" t="e">
        <f t="shared" si="286"/>
        <v>#VALUE!</v>
      </c>
      <c r="W1229" s="1" t="e">
        <f t="shared" si="287"/>
        <v>#VALUE!</v>
      </c>
      <c r="X1229" s="26" t="e">
        <f t="shared" si="288"/>
        <v>#VALUE!</v>
      </c>
      <c r="Y1229" s="26" t="e">
        <f t="shared" si="289"/>
        <v>#VALUE!</v>
      </c>
      <c r="Z1229" s="1" t="e">
        <f t="shared" si="290"/>
        <v>#VALUE!</v>
      </c>
      <c r="AA1229"/>
      <c r="AB1229"/>
    </row>
    <row r="1230" spans="1:28" x14ac:dyDescent="0.55000000000000004">
      <c r="A1230" s="1">
        <f t="shared" si="277"/>
        <v>1230</v>
      </c>
      <c r="B1230" t="s">
        <v>40</v>
      </c>
      <c r="C1230" t="s">
        <v>122</v>
      </c>
      <c r="D1230" t="s">
        <v>133</v>
      </c>
      <c r="E1230" t="s">
        <v>348</v>
      </c>
      <c r="F1230" t="s">
        <v>251</v>
      </c>
      <c r="G1230" t="s">
        <v>258</v>
      </c>
      <c r="I1230" t="s">
        <v>261</v>
      </c>
      <c r="K1230" t="s">
        <v>259</v>
      </c>
      <c r="M1230" t="s">
        <v>47</v>
      </c>
      <c r="N1230" s="1" t="e">
        <f t="shared" si="278"/>
        <v>#VALUE!</v>
      </c>
      <c r="O1230" s="1" t="e">
        <f t="shared" si="279"/>
        <v>#VALUE!</v>
      </c>
      <c r="P1230" s="1" t="e">
        <f t="shared" si="280"/>
        <v>#VALUE!</v>
      </c>
      <c r="Q1230" s="1" t="e">
        <f t="shared" si="281"/>
        <v>#VALUE!</v>
      </c>
      <c r="R1230" s="1" t="e">
        <f t="shared" si="282"/>
        <v>#VALUE!</v>
      </c>
      <c r="S1230" s="1" t="e">
        <f t="shared" si="283"/>
        <v>#VALUE!</v>
      </c>
      <c r="T1230" s="1" t="e">
        <f t="shared" si="284"/>
        <v>#VALUE!</v>
      </c>
      <c r="U1230" s="26" t="e">
        <f t="shared" si="285"/>
        <v>#VALUE!</v>
      </c>
      <c r="V1230" s="26" t="e">
        <f t="shared" si="286"/>
        <v>#VALUE!</v>
      </c>
      <c r="W1230" s="1" t="e">
        <f t="shared" si="287"/>
        <v>#VALUE!</v>
      </c>
      <c r="X1230" s="26" t="e">
        <f t="shared" si="288"/>
        <v>#VALUE!</v>
      </c>
      <c r="Y1230" s="26" t="e">
        <f t="shared" si="289"/>
        <v>#VALUE!</v>
      </c>
      <c r="Z1230" s="1" t="e">
        <f t="shared" si="290"/>
        <v>#VALUE!</v>
      </c>
      <c r="AA1230"/>
      <c r="AB1230"/>
    </row>
    <row r="1231" spans="1:28" x14ac:dyDescent="0.55000000000000004">
      <c r="A1231" s="1">
        <f t="shared" si="277"/>
        <v>1231</v>
      </c>
      <c r="B1231" t="s">
        <v>30</v>
      </c>
      <c r="C1231" t="s">
        <v>118</v>
      </c>
      <c r="D1231" t="s">
        <v>42</v>
      </c>
      <c r="E1231" t="s">
        <v>401</v>
      </c>
      <c r="F1231" t="s">
        <v>380</v>
      </c>
      <c r="G1231" t="s">
        <v>51</v>
      </c>
      <c r="I1231" t="s">
        <v>66</v>
      </c>
      <c r="K1231" t="s">
        <v>53</v>
      </c>
      <c r="M1231" t="s">
        <v>47</v>
      </c>
      <c r="N1231" s="1" t="e">
        <f t="shared" si="278"/>
        <v>#VALUE!</v>
      </c>
      <c r="O1231" s="1" t="e">
        <f t="shared" si="279"/>
        <v>#VALUE!</v>
      </c>
      <c r="P1231" s="1" t="e">
        <f t="shared" si="280"/>
        <v>#VALUE!</v>
      </c>
      <c r="Q1231" s="1" t="e">
        <f t="shared" si="281"/>
        <v>#VALUE!</v>
      </c>
      <c r="R1231" s="1" t="e">
        <f t="shared" si="282"/>
        <v>#VALUE!</v>
      </c>
      <c r="S1231" s="1" t="e">
        <f t="shared" si="283"/>
        <v>#VALUE!</v>
      </c>
      <c r="T1231" s="1" t="e">
        <f t="shared" si="284"/>
        <v>#VALUE!</v>
      </c>
      <c r="U1231" s="26" t="e">
        <f t="shared" si="285"/>
        <v>#VALUE!</v>
      </c>
      <c r="V1231" s="26" t="e">
        <f t="shared" si="286"/>
        <v>#VALUE!</v>
      </c>
      <c r="W1231" s="1" t="e">
        <f t="shared" si="287"/>
        <v>#VALUE!</v>
      </c>
      <c r="X1231" s="26" t="e">
        <f t="shared" si="288"/>
        <v>#VALUE!</v>
      </c>
      <c r="Y1231" s="26" t="e">
        <f t="shared" si="289"/>
        <v>#VALUE!</v>
      </c>
      <c r="Z1231" s="1" t="e">
        <f t="shared" si="290"/>
        <v>#VALUE!</v>
      </c>
      <c r="AA1231"/>
      <c r="AB1231"/>
    </row>
    <row r="1232" spans="1:28" x14ac:dyDescent="0.55000000000000004">
      <c r="A1232" s="1">
        <f t="shared" si="277"/>
        <v>1232</v>
      </c>
      <c r="B1232" t="s">
        <v>30</v>
      </c>
      <c r="C1232" t="s">
        <v>118</v>
      </c>
      <c r="D1232" t="s">
        <v>42</v>
      </c>
      <c r="E1232" t="s">
        <v>401</v>
      </c>
      <c r="F1232" t="s">
        <v>394</v>
      </c>
      <c r="G1232" t="s">
        <v>64</v>
      </c>
      <c r="I1232" t="s">
        <v>44</v>
      </c>
      <c r="K1232" t="s">
        <v>62</v>
      </c>
      <c r="M1232" t="s">
        <v>47</v>
      </c>
      <c r="N1232" s="1" t="e">
        <f t="shared" si="278"/>
        <v>#VALUE!</v>
      </c>
      <c r="O1232" s="1" t="e">
        <f t="shared" si="279"/>
        <v>#VALUE!</v>
      </c>
      <c r="P1232" s="1" t="e">
        <f t="shared" si="280"/>
        <v>#VALUE!</v>
      </c>
      <c r="Q1232" s="1" t="e">
        <f t="shared" si="281"/>
        <v>#VALUE!</v>
      </c>
      <c r="R1232" s="1" t="e">
        <f t="shared" si="282"/>
        <v>#VALUE!</v>
      </c>
      <c r="S1232" s="1" t="e">
        <f t="shared" si="283"/>
        <v>#VALUE!</v>
      </c>
      <c r="T1232" s="1" t="e">
        <f t="shared" si="284"/>
        <v>#VALUE!</v>
      </c>
      <c r="U1232" s="26" t="e">
        <f t="shared" si="285"/>
        <v>#VALUE!</v>
      </c>
      <c r="V1232" s="26" t="e">
        <f t="shared" si="286"/>
        <v>#VALUE!</v>
      </c>
      <c r="W1232" s="1" t="e">
        <f t="shared" si="287"/>
        <v>#VALUE!</v>
      </c>
      <c r="X1232" s="26" t="e">
        <f t="shared" si="288"/>
        <v>#VALUE!</v>
      </c>
      <c r="Y1232" s="26" t="e">
        <f t="shared" si="289"/>
        <v>#VALUE!</v>
      </c>
      <c r="Z1232" s="1" t="e">
        <f t="shared" si="290"/>
        <v>#VALUE!</v>
      </c>
      <c r="AA1232"/>
      <c r="AB1232"/>
    </row>
    <row r="1233" spans="1:28" x14ac:dyDescent="0.55000000000000004">
      <c r="A1233" s="1">
        <f t="shared" si="277"/>
        <v>1233</v>
      </c>
      <c r="B1233" t="s">
        <v>30</v>
      </c>
      <c r="C1233" t="s">
        <v>118</v>
      </c>
      <c r="D1233" t="s">
        <v>42</v>
      </c>
      <c r="E1233" t="s">
        <v>401</v>
      </c>
      <c r="F1233" t="s">
        <v>398</v>
      </c>
      <c r="G1233" t="s">
        <v>63</v>
      </c>
      <c r="I1233" t="s">
        <v>60</v>
      </c>
      <c r="K1233" t="s">
        <v>65</v>
      </c>
      <c r="M1233" t="s">
        <v>47</v>
      </c>
      <c r="N1233" s="1" t="e">
        <f t="shared" si="278"/>
        <v>#VALUE!</v>
      </c>
      <c r="O1233" s="1" t="e">
        <f t="shared" si="279"/>
        <v>#VALUE!</v>
      </c>
      <c r="P1233" s="1" t="e">
        <f t="shared" si="280"/>
        <v>#VALUE!</v>
      </c>
      <c r="Q1233" s="1" t="e">
        <f t="shared" si="281"/>
        <v>#VALUE!</v>
      </c>
      <c r="R1233" s="1" t="e">
        <f t="shared" si="282"/>
        <v>#VALUE!</v>
      </c>
      <c r="S1233" s="1" t="e">
        <f t="shared" si="283"/>
        <v>#VALUE!</v>
      </c>
      <c r="T1233" s="1" t="e">
        <f t="shared" si="284"/>
        <v>#VALUE!</v>
      </c>
      <c r="U1233" s="26" t="e">
        <f t="shared" si="285"/>
        <v>#VALUE!</v>
      </c>
      <c r="V1233" s="26" t="e">
        <f t="shared" si="286"/>
        <v>#VALUE!</v>
      </c>
      <c r="W1233" s="1" t="e">
        <f t="shared" si="287"/>
        <v>#VALUE!</v>
      </c>
      <c r="X1233" s="26" t="e">
        <f t="shared" si="288"/>
        <v>#VALUE!</v>
      </c>
      <c r="Y1233" s="26" t="e">
        <f t="shared" si="289"/>
        <v>#VALUE!</v>
      </c>
      <c r="Z1233" s="1" t="e">
        <f t="shared" si="290"/>
        <v>#VALUE!</v>
      </c>
      <c r="AA1233"/>
      <c r="AB1233"/>
    </row>
    <row r="1234" spans="1:28" x14ac:dyDescent="0.55000000000000004">
      <c r="A1234" s="1">
        <f t="shared" si="277"/>
        <v>1234</v>
      </c>
      <c r="B1234" t="s">
        <v>31</v>
      </c>
      <c r="C1234" t="s">
        <v>196</v>
      </c>
      <c r="D1234" t="s">
        <v>42</v>
      </c>
      <c r="E1234" t="s">
        <v>401</v>
      </c>
      <c r="F1234" t="s">
        <v>181</v>
      </c>
      <c r="G1234" t="s">
        <v>148</v>
      </c>
      <c r="I1234" t="s">
        <v>138</v>
      </c>
      <c r="K1234" t="s">
        <v>157</v>
      </c>
      <c r="M1234" t="s">
        <v>47</v>
      </c>
      <c r="N1234" s="1" t="e">
        <f t="shared" si="278"/>
        <v>#VALUE!</v>
      </c>
      <c r="O1234" s="1" t="e">
        <f t="shared" si="279"/>
        <v>#VALUE!</v>
      </c>
      <c r="P1234" s="1" t="e">
        <f t="shared" si="280"/>
        <v>#VALUE!</v>
      </c>
      <c r="Q1234" s="1" t="e">
        <f t="shared" si="281"/>
        <v>#VALUE!</v>
      </c>
      <c r="R1234" s="1" t="e">
        <f t="shared" si="282"/>
        <v>#VALUE!</v>
      </c>
      <c r="S1234" s="1" t="e">
        <f t="shared" si="283"/>
        <v>#VALUE!</v>
      </c>
      <c r="T1234" s="1" t="e">
        <f t="shared" si="284"/>
        <v>#VALUE!</v>
      </c>
      <c r="U1234" s="26" t="e">
        <f t="shared" si="285"/>
        <v>#VALUE!</v>
      </c>
      <c r="V1234" s="26" t="e">
        <f t="shared" si="286"/>
        <v>#VALUE!</v>
      </c>
      <c r="W1234" s="1" t="e">
        <f t="shared" si="287"/>
        <v>#VALUE!</v>
      </c>
      <c r="X1234" s="26" t="e">
        <f t="shared" si="288"/>
        <v>#VALUE!</v>
      </c>
      <c r="Y1234" s="26" t="e">
        <f t="shared" si="289"/>
        <v>#VALUE!</v>
      </c>
      <c r="Z1234" s="1" t="e">
        <f t="shared" si="290"/>
        <v>#VALUE!</v>
      </c>
      <c r="AA1234"/>
      <c r="AB1234"/>
    </row>
    <row r="1235" spans="1:28" x14ac:dyDescent="0.55000000000000004">
      <c r="A1235" s="1">
        <f t="shared" si="277"/>
        <v>1235</v>
      </c>
      <c r="B1235" t="s">
        <v>33</v>
      </c>
      <c r="C1235" t="s">
        <v>128</v>
      </c>
      <c r="D1235" t="s">
        <v>42</v>
      </c>
      <c r="E1235" t="s">
        <v>401</v>
      </c>
      <c r="F1235" t="s">
        <v>407</v>
      </c>
      <c r="G1235" t="s">
        <v>291</v>
      </c>
      <c r="I1235" t="s">
        <v>285</v>
      </c>
      <c r="K1235" t="s">
        <v>293</v>
      </c>
      <c r="M1235" t="s">
        <v>47</v>
      </c>
      <c r="N1235" s="1" t="e">
        <f t="shared" si="278"/>
        <v>#VALUE!</v>
      </c>
      <c r="O1235" s="1" t="e">
        <f t="shared" si="279"/>
        <v>#VALUE!</v>
      </c>
      <c r="P1235" s="1" t="e">
        <f t="shared" si="280"/>
        <v>#VALUE!</v>
      </c>
      <c r="Q1235" s="1" t="e">
        <f t="shared" si="281"/>
        <v>#VALUE!</v>
      </c>
      <c r="R1235" s="1" t="e">
        <f t="shared" si="282"/>
        <v>#VALUE!</v>
      </c>
      <c r="S1235" s="1" t="e">
        <f t="shared" si="283"/>
        <v>#VALUE!</v>
      </c>
      <c r="T1235" s="1" t="e">
        <f t="shared" si="284"/>
        <v>#VALUE!</v>
      </c>
      <c r="U1235" s="26" t="e">
        <f t="shared" si="285"/>
        <v>#VALUE!</v>
      </c>
      <c r="V1235" s="26" t="e">
        <f t="shared" si="286"/>
        <v>#VALUE!</v>
      </c>
      <c r="W1235" s="1" t="e">
        <f t="shared" si="287"/>
        <v>#VALUE!</v>
      </c>
      <c r="X1235" s="26" t="e">
        <f t="shared" si="288"/>
        <v>#VALUE!</v>
      </c>
      <c r="Y1235" s="26" t="e">
        <f t="shared" si="289"/>
        <v>#VALUE!</v>
      </c>
      <c r="Z1235" s="1" t="e">
        <f t="shared" si="290"/>
        <v>#VALUE!</v>
      </c>
      <c r="AA1235"/>
      <c r="AB1235"/>
    </row>
    <row r="1236" spans="1:28" x14ac:dyDescent="0.55000000000000004">
      <c r="A1236" s="1">
        <f t="shared" si="277"/>
        <v>1236</v>
      </c>
      <c r="B1236" t="s">
        <v>33</v>
      </c>
      <c r="C1236" t="s">
        <v>128</v>
      </c>
      <c r="D1236" t="s">
        <v>42</v>
      </c>
      <c r="E1236" t="s">
        <v>401</v>
      </c>
      <c r="F1236" t="s">
        <v>277</v>
      </c>
      <c r="G1236" t="s">
        <v>362</v>
      </c>
      <c r="I1236" t="s">
        <v>360</v>
      </c>
      <c r="K1236" t="s">
        <v>363</v>
      </c>
      <c r="M1236" t="s">
        <v>47</v>
      </c>
      <c r="N1236" s="1" t="e">
        <f t="shared" si="278"/>
        <v>#VALUE!</v>
      </c>
      <c r="O1236" s="1" t="e">
        <f t="shared" si="279"/>
        <v>#VALUE!</v>
      </c>
      <c r="P1236" s="1" t="e">
        <f t="shared" si="280"/>
        <v>#VALUE!</v>
      </c>
      <c r="Q1236" s="1" t="e">
        <f t="shared" si="281"/>
        <v>#VALUE!</v>
      </c>
      <c r="R1236" s="1" t="e">
        <f t="shared" si="282"/>
        <v>#VALUE!</v>
      </c>
      <c r="S1236" s="1" t="e">
        <f t="shared" si="283"/>
        <v>#VALUE!</v>
      </c>
      <c r="T1236" s="1" t="e">
        <f t="shared" si="284"/>
        <v>#VALUE!</v>
      </c>
      <c r="U1236" s="26" t="e">
        <f t="shared" si="285"/>
        <v>#VALUE!</v>
      </c>
      <c r="V1236" s="26" t="e">
        <f t="shared" si="286"/>
        <v>#VALUE!</v>
      </c>
      <c r="W1236" s="1" t="e">
        <f t="shared" si="287"/>
        <v>#VALUE!</v>
      </c>
      <c r="X1236" s="26" t="e">
        <f t="shared" si="288"/>
        <v>#VALUE!</v>
      </c>
      <c r="Y1236" s="26" t="e">
        <f t="shared" si="289"/>
        <v>#VALUE!</v>
      </c>
      <c r="Z1236" s="1" t="e">
        <f t="shared" si="290"/>
        <v>#VALUE!</v>
      </c>
      <c r="AA1236"/>
      <c r="AB1236"/>
    </row>
    <row r="1237" spans="1:28" x14ac:dyDescent="0.55000000000000004">
      <c r="A1237" s="1">
        <f t="shared" si="277"/>
        <v>1237</v>
      </c>
      <c r="B1237" t="s">
        <v>34</v>
      </c>
      <c r="C1237" t="s">
        <v>197</v>
      </c>
      <c r="D1237" t="s">
        <v>42</v>
      </c>
      <c r="E1237" t="s">
        <v>401</v>
      </c>
      <c r="F1237" t="s">
        <v>380</v>
      </c>
      <c r="G1237" t="s">
        <v>89</v>
      </c>
      <c r="I1237" t="s">
        <v>87</v>
      </c>
      <c r="K1237" t="s">
        <v>91</v>
      </c>
      <c r="M1237" t="s">
        <v>47</v>
      </c>
      <c r="N1237" s="1" t="e">
        <f t="shared" si="278"/>
        <v>#VALUE!</v>
      </c>
      <c r="O1237" s="1" t="e">
        <f t="shared" si="279"/>
        <v>#VALUE!</v>
      </c>
      <c r="P1237" s="1" t="e">
        <f t="shared" si="280"/>
        <v>#VALUE!</v>
      </c>
      <c r="Q1237" s="1" t="e">
        <f t="shared" si="281"/>
        <v>#VALUE!</v>
      </c>
      <c r="R1237" s="1" t="e">
        <f t="shared" si="282"/>
        <v>#VALUE!</v>
      </c>
      <c r="S1237" s="1" t="e">
        <f t="shared" si="283"/>
        <v>#VALUE!</v>
      </c>
      <c r="T1237" s="1" t="e">
        <f t="shared" si="284"/>
        <v>#VALUE!</v>
      </c>
      <c r="U1237" s="26" t="e">
        <f t="shared" si="285"/>
        <v>#VALUE!</v>
      </c>
      <c r="V1237" s="26" t="e">
        <f t="shared" si="286"/>
        <v>#VALUE!</v>
      </c>
      <c r="W1237" s="1" t="e">
        <f t="shared" si="287"/>
        <v>#VALUE!</v>
      </c>
      <c r="X1237" s="26" t="e">
        <f t="shared" si="288"/>
        <v>#VALUE!</v>
      </c>
      <c r="Y1237" s="26" t="e">
        <f t="shared" si="289"/>
        <v>#VALUE!</v>
      </c>
      <c r="Z1237" s="1" t="e">
        <f t="shared" si="290"/>
        <v>#VALUE!</v>
      </c>
      <c r="AA1237"/>
      <c r="AB1237"/>
    </row>
    <row r="1238" spans="1:28" x14ac:dyDescent="0.55000000000000004">
      <c r="A1238" s="1">
        <f t="shared" si="277"/>
        <v>1238</v>
      </c>
      <c r="B1238" t="s">
        <v>34</v>
      </c>
      <c r="C1238" t="s">
        <v>197</v>
      </c>
      <c r="D1238" t="s">
        <v>42</v>
      </c>
      <c r="E1238" t="s">
        <v>401</v>
      </c>
      <c r="F1238" t="s">
        <v>380</v>
      </c>
      <c r="G1238" t="s">
        <v>92</v>
      </c>
      <c r="I1238" t="s">
        <v>101</v>
      </c>
      <c r="K1238" t="s">
        <v>94</v>
      </c>
      <c r="M1238" t="s">
        <v>47</v>
      </c>
      <c r="N1238" s="1" t="e">
        <f t="shared" si="278"/>
        <v>#VALUE!</v>
      </c>
      <c r="O1238" s="1" t="e">
        <f t="shared" si="279"/>
        <v>#VALUE!</v>
      </c>
      <c r="P1238" s="1" t="e">
        <f t="shared" si="280"/>
        <v>#VALUE!</v>
      </c>
      <c r="Q1238" s="1" t="e">
        <f t="shared" si="281"/>
        <v>#VALUE!</v>
      </c>
      <c r="R1238" s="1" t="e">
        <f t="shared" si="282"/>
        <v>#VALUE!</v>
      </c>
      <c r="S1238" s="1" t="e">
        <f t="shared" si="283"/>
        <v>#VALUE!</v>
      </c>
      <c r="T1238" s="1" t="e">
        <f t="shared" si="284"/>
        <v>#VALUE!</v>
      </c>
      <c r="U1238" s="26" t="e">
        <f t="shared" si="285"/>
        <v>#VALUE!</v>
      </c>
      <c r="V1238" s="26" t="e">
        <f t="shared" si="286"/>
        <v>#VALUE!</v>
      </c>
      <c r="W1238" s="1" t="e">
        <f t="shared" si="287"/>
        <v>#VALUE!</v>
      </c>
      <c r="X1238" s="26" t="e">
        <f t="shared" si="288"/>
        <v>#VALUE!</v>
      </c>
      <c r="Y1238" s="26" t="e">
        <f t="shared" si="289"/>
        <v>#VALUE!</v>
      </c>
      <c r="Z1238" s="1" t="e">
        <f t="shared" si="290"/>
        <v>#VALUE!</v>
      </c>
      <c r="AA1238"/>
      <c r="AB1238"/>
    </row>
    <row r="1239" spans="1:28" x14ac:dyDescent="0.55000000000000004">
      <c r="A1239" s="1">
        <f t="shared" si="277"/>
        <v>1239</v>
      </c>
      <c r="B1239" t="s">
        <v>34</v>
      </c>
      <c r="C1239" t="s">
        <v>197</v>
      </c>
      <c r="D1239" t="s">
        <v>42</v>
      </c>
      <c r="E1239" t="s">
        <v>401</v>
      </c>
      <c r="F1239" t="s">
        <v>376</v>
      </c>
      <c r="G1239" t="s">
        <v>90</v>
      </c>
      <c r="I1239" t="s">
        <v>99</v>
      </c>
      <c r="K1239" t="s">
        <v>108</v>
      </c>
      <c r="M1239" t="s">
        <v>47</v>
      </c>
      <c r="N1239" s="1" t="e">
        <f t="shared" si="278"/>
        <v>#VALUE!</v>
      </c>
      <c r="O1239" s="1" t="e">
        <f t="shared" si="279"/>
        <v>#VALUE!</v>
      </c>
      <c r="P1239" s="1" t="e">
        <f t="shared" si="280"/>
        <v>#VALUE!</v>
      </c>
      <c r="Q1239" s="1" t="e">
        <f t="shared" si="281"/>
        <v>#VALUE!</v>
      </c>
      <c r="R1239" s="1" t="e">
        <f t="shared" si="282"/>
        <v>#VALUE!</v>
      </c>
      <c r="S1239" s="1" t="e">
        <f t="shared" si="283"/>
        <v>#VALUE!</v>
      </c>
      <c r="T1239" s="1" t="e">
        <f t="shared" si="284"/>
        <v>#VALUE!</v>
      </c>
      <c r="U1239" s="26" t="e">
        <f t="shared" si="285"/>
        <v>#VALUE!</v>
      </c>
      <c r="V1239" s="26" t="e">
        <f t="shared" si="286"/>
        <v>#VALUE!</v>
      </c>
      <c r="W1239" s="1" t="e">
        <f t="shared" si="287"/>
        <v>#VALUE!</v>
      </c>
      <c r="X1239" s="26" t="e">
        <f t="shared" si="288"/>
        <v>#VALUE!</v>
      </c>
      <c r="Y1239" s="26" t="e">
        <f t="shared" si="289"/>
        <v>#VALUE!</v>
      </c>
      <c r="Z1239" s="1" t="e">
        <f t="shared" si="290"/>
        <v>#VALUE!</v>
      </c>
      <c r="AA1239"/>
      <c r="AB1239"/>
    </row>
    <row r="1240" spans="1:28" x14ac:dyDescent="0.55000000000000004">
      <c r="A1240" s="1">
        <f t="shared" si="277"/>
        <v>1240</v>
      </c>
      <c r="B1240" t="s">
        <v>34</v>
      </c>
      <c r="C1240" t="s">
        <v>197</v>
      </c>
      <c r="D1240" t="s">
        <v>42</v>
      </c>
      <c r="E1240" t="s">
        <v>401</v>
      </c>
      <c r="F1240" t="s">
        <v>375</v>
      </c>
      <c r="G1240" t="s">
        <v>98</v>
      </c>
      <c r="I1240" t="s">
        <v>86</v>
      </c>
      <c r="K1240" t="s">
        <v>100</v>
      </c>
      <c r="M1240" t="s">
        <v>47</v>
      </c>
      <c r="N1240" s="1" t="e">
        <f t="shared" si="278"/>
        <v>#VALUE!</v>
      </c>
      <c r="O1240" s="1" t="e">
        <f t="shared" si="279"/>
        <v>#VALUE!</v>
      </c>
      <c r="P1240" s="1" t="e">
        <f t="shared" si="280"/>
        <v>#VALUE!</v>
      </c>
      <c r="Q1240" s="1" t="e">
        <f t="shared" si="281"/>
        <v>#VALUE!</v>
      </c>
      <c r="R1240" s="1" t="e">
        <f t="shared" si="282"/>
        <v>#VALUE!</v>
      </c>
      <c r="S1240" s="1" t="e">
        <f t="shared" si="283"/>
        <v>#VALUE!</v>
      </c>
      <c r="T1240" s="1" t="e">
        <f t="shared" si="284"/>
        <v>#VALUE!</v>
      </c>
      <c r="U1240" s="26" t="e">
        <f t="shared" si="285"/>
        <v>#VALUE!</v>
      </c>
      <c r="V1240" s="26" t="e">
        <f t="shared" si="286"/>
        <v>#VALUE!</v>
      </c>
      <c r="W1240" s="1" t="e">
        <f t="shared" si="287"/>
        <v>#VALUE!</v>
      </c>
      <c r="X1240" s="26" t="e">
        <f t="shared" si="288"/>
        <v>#VALUE!</v>
      </c>
      <c r="Y1240" s="26" t="e">
        <f t="shared" si="289"/>
        <v>#VALUE!</v>
      </c>
      <c r="Z1240" s="1" t="e">
        <f t="shared" si="290"/>
        <v>#VALUE!</v>
      </c>
      <c r="AA1240"/>
      <c r="AB1240"/>
    </row>
    <row r="1241" spans="1:28" x14ac:dyDescent="0.55000000000000004">
      <c r="A1241" s="1">
        <f t="shared" si="277"/>
        <v>1241</v>
      </c>
      <c r="B1241" t="s">
        <v>35</v>
      </c>
      <c r="C1241" t="s">
        <v>119</v>
      </c>
      <c r="D1241" t="s">
        <v>42</v>
      </c>
      <c r="E1241" t="s">
        <v>401</v>
      </c>
      <c r="F1241" t="s">
        <v>412</v>
      </c>
      <c r="G1241" t="s">
        <v>384</v>
      </c>
      <c r="I1241" t="s">
        <v>210</v>
      </c>
      <c r="K1241" t="s">
        <v>385</v>
      </c>
      <c r="M1241" t="s">
        <v>47</v>
      </c>
      <c r="N1241" s="1" t="e">
        <f t="shared" si="278"/>
        <v>#VALUE!</v>
      </c>
      <c r="O1241" s="1" t="e">
        <f t="shared" si="279"/>
        <v>#VALUE!</v>
      </c>
      <c r="P1241" s="1" t="e">
        <f t="shared" si="280"/>
        <v>#VALUE!</v>
      </c>
      <c r="Q1241" s="1" t="e">
        <f t="shared" si="281"/>
        <v>#VALUE!</v>
      </c>
      <c r="R1241" s="1" t="e">
        <f t="shared" si="282"/>
        <v>#VALUE!</v>
      </c>
      <c r="S1241" s="1" t="e">
        <f t="shared" si="283"/>
        <v>#VALUE!</v>
      </c>
      <c r="T1241" s="1" t="e">
        <f t="shared" si="284"/>
        <v>#VALUE!</v>
      </c>
      <c r="U1241" s="26" t="e">
        <f t="shared" si="285"/>
        <v>#VALUE!</v>
      </c>
      <c r="V1241" s="26" t="e">
        <f t="shared" si="286"/>
        <v>#VALUE!</v>
      </c>
      <c r="W1241" s="1" t="e">
        <f t="shared" si="287"/>
        <v>#VALUE!</v>
      </c>
      <c r="X1241" s="26" t="e">
        <f t="shared" si="288"/>
        <v>#VALUE!</v>
      </c>
      <c r="Y1241" s="26" t="e">
        <f t="shared" si="289"/>
        <v>#VALUE!</v>
      </c>
      <c r="Z1241" s="1" t="e">
        <f t="shared" si="290"/>
        <v>#VALUE!</v>
      </c>
      <c r="AA1241"/>
      <c r="AB1241"/>
    </row>
    <row r="1242" spans="1:28" x14ac:dyDescent="0.55000000000000004">
      <c r="A1242" s="1">
        <f t="shared" si="277"/>
        <v>1242</v>
      </c>
      <c r="B1242" t="s">
        <v>37</v>
      </c>
      <c r="C1242" t="s">
        <v>176</v>
      </c>
      <c r="D1242" t="s">
        <v>42</v>
      </c>
      <c r="E1242" t="s">
        <v>401</v>
      </c>
      <c r="F1242" t="s">
        <v>413</v>
      </c>
      <c r="G1242" t="s">
        <v>321</v>
      </c>
      <c r="I1242" t="s">
        <v>328</v>
      </c>
      <c r="K1242" t="s">
        <v>323</v>
      </c>
      <c r="M1242" t="s">
        <v>47</v>
      </c>
      <c r="N1242" s="1" t="e">
        <f t="shared" si="278"/>
        <v>#VALUE!</v>
      </c>
      <c r="O1242" s="1" t="e">
        <f t="shared" si="279"/>
        <v>#VALUE!</v>
      </c>
      <c r="P1242" s="1" t="e">
        <f t="shared" si="280"/>
        <v>#VALUE!</v>
      </c>
      <c r="Q1242" s="1" t="e">
        <f t="shared" si="281"/>
        <v>#VALUE!</v>
      </c>
      <c r="R1242" s="1" t="e">
        <f t="shared" si="282"/>
        <v>#VALUE!</v>
      </c>
      <c r="S1242" s="1" t="e">
        <f t="shared" si="283"/>
        <v>#VALUE!</v>
      </c>
      <c r="T1242" s="1" t="e">
        <f t="shared" si="284"/>
        <v>#VALUE!</v>
      </c>
      <c r="U1242" s="26" t="e">
        <f t="shared" si="285"/>
        <v>#VALUE!</v>
      </c>
      <c r="V1242" s="26" t="e">
        <f t="shared" si="286"/>
        <v>#VALUE!</v>
      </c>
      <c r="W1242" s="1" t="e">
        <f t="shared" si="287"/>
        <v>#VALUE!</v>
      </c>
      <c r="X1242" s="26" t="e">
        <f t="shared" si="288"/>
        <v>#VALUE!</v>
      </c>
      <c r="Y1242" s="26" t="e">
        <f t="shared" si="289"/>
        <v>#VALUE!</v>
      </c>
      <c r="Z1242" s="1" t="e">
        <f t="shared" si="290"/>
        <v>#VALUE!</v>
      </c>
      <c r="AA1242"/>
      <c r="AB1242"/>
    </row>
    <row r="1243" spans="1:28" x14ac:dyDescent="0.55000000000000004">
      <c r="A1243" s="1">
        <f t="shared" si="277"/>
        <v>1243</v>
      </c>
      <c r="B1243" t="s">
        <v>37</v>
      </c>
      <c r="C1243" t="s">
        <v>176</v>
      </c>
      <c r="D1243" t="s">
        <v>42</v>
      </c>
      <c r="E1243" t="s">
        <v>401</v>
      </c>
      <c r="F1243" t="s">
        <v>388</v>
      </c>
      <c r="G1243" t="s">
        <v>312</v>
      </c>
      <c r="I1243" t="s">
        <v>324</v>
      </c>
      <c r="K1243" t="s">
        <v>314</v>
      </c>
      <c r="M1243" t="s">
        <v>47</v>
      </c>
      <c r="N1243" s="1" t="e">
        <f t="shared" si="278"/>
        <v>#VALUE!</v>
      </c>
      <c r="O1243" s="1" t="e">
        <f t="shared" si="279"/>
        <v>#VALUE!</v>
      </c>
      <c r="P1243" s="1" t="e">
        <f t="shared" si="280"/>
        <v>#VALUE!</v>
      </c>
      <c r="Q1243" s="1" t="e">
        <f t="shared" si="281"/>
        <v>#VALUE!</v>
      </c>
      <c r="R1243" s="1" t="e">
        <f t="shared" si="282"/>
        <v>#VALUE!</v>
      </c>
      <c r="S1243" s="1" t="e">
        <f t="shared" si="283"/>
        <v>#VALUE!</v>
      </c>
      <c r="T1243" s="1" t="e">
        <f t="shared" si="284"/>
        <v>#VALUE!</v>
      </c>
      <c r="U1243" s="26" t="e">
        <f t="shared" si="285"/>
        <v>#VALUE!</v>
      </c>
      <c r="V1243" s="26" t="e">
        <f t="shared" si="286"/>
        <v>#VALUE!</v>
      </c>
      <c r="W1243" s="1" t="e">
        <f t="shared" si="287"/>
        <v>#VALUE!</v>
      </c>
      <c r="X1243" s="26" t="e">
        <f t="shared" si="288"/>
        <v>#VALUE!</v>
      </c>
      <c r="Y1243" s="26" t="e">
        <f t="shared" si="289"/>
        <v>#VALUE!</v>
      </c>
      <c r="Z1243" s="1" t="e">
        <f t="shared" si="290"/>
        <v>#VALUE!</v>
      </c>
      <c r="AA1243"/>
      <c r="AB1243"/>
    </row>
    <row r="1244" spans="1:28" x14ac:dyDescent="0.55000000000000004">
      <c r="A1244" s="1">
        <f t="shared" si="277"/>
        <v>1244</v>
      </c>
      <c r="B1244" t="s">
        <v>37</v>
      </c>
      <c r="C1244" t="s">
        <v>176</v>
      </c>
      <c r="D1244" t="s">
        <v>42</v>
      </c>
      <c r="E1244" t="s">
        <v>401</v>
      </c>
      <c r="F1244" t="s">
        <v>414</v>
      </c>
      <c r="G1244" t="s">
        <v>322</v>
      </c>
      <c r="I1244" t="s">
        <v>326</v>
      </c>
      <c r="K1244" t="s">
        <v>331</v>
      </c>
      <c r="M1244" t="s">
        <v>47</v>
      </c>
      <c r="N1244" s="1" t="e">
        <f t="shared" si="278"/>
        <v>#VALUE!</v>
      </c>
      <c r="O1244" s="1" t="e">
        <f t="shared" si="279"/>
        <v>#VALUE!</v>
      </c>
      <c r="P1244" s="1" t="e">
        <f t="shared" si="280"/>
        <v>#VALUE!</v>
      </c>
      <c r="Q1244" s="1" t="e">
        <f t="shared" si="281"/>
        <v>#VALUE!</v>
      </c>
      <c r="R1244" s="1" t="e">
        <f t="shared" si="282"/>
        <v>#VALUE!</v>
      </c>
      <c r="S1244" s="1" t="e">
        <f t="shared" si="283"/>
        <v>#VALUE!</v>
      </c>
      <c r="T1244" s="1" t="e">
        <f t="shared" si="284"/>
        <v>#VALUE!</v>
      </c>
      <c r="U1244" s="26" t="e">
        <f t="shared" si="285"/>
        <v>#VALUE!</v>
      </c>
      <c r="V1244" s="26" t="e">
        <f t="shared" si="286"/>
        <v>#VALUE!</v>
      </c>
      <c r="W1244" s="1" t="e">
        <f t="shared" si="287"/>
        <v>#VALUE!</v>
      </c>
      <c r="X1244" s="26" t="e">
        <f t="shared" si="288"/>
        <v>#VALUE!</v>
      </c>
      <c r="Y1244" s="26" t="e">
        <f t="shared" si="289"/>
        <v>#VALUE!</v>
      </c>
      <c r="Z1244" s="1" t="e">
        <f t="shared" si="290"/>
        <v>#VALUE!</v>
      </c>
      <c r="AA1244"/>
      <c r="AB1244"/>
    </row>
    <row r="1245" spans="1:28" x14ac:dyDescent="0.55000000000000004">
      <c r="A1245" s="1">
        <f t="shared" si="277"/>
        <v>1245</v>
      </c>
      <c r="B1245" t="s">
        <v>39</v>
      </c>
      <c r="C1245" t="s">
        <v>128</v>
      </c>
      <c r="D1245" t="s">
        <v>42</v>
      </c>
      <c r="E1245" t="s">
        <v>401</v>
      </c>
      <c r="F1245" t="s">
        <v>218</v>
      </c>
      <c r="G1245" t="s">
        <v>222</v>
      </c>
      <c r="I1245" t="s">
        <v>235</v>
      </c>
      <c r="K1245" t="s">
        <v>224</v>
      </c>
      <c r="M1245" t="s">
        <v>47</v>
      </c>
      <c r="N1245" s="1" t="e">
        <f t="shared" si="278"/>
        <v>#VALUE!</v>
      </c>
      <c r="O1245" s="1" t="e">
        <f t="shared" si="279"/>
        <v>#VALUE!</v>
      </c>
      <c r="P1245" s="1" t="e">
        <f t="shared" si="280"/>
        <v>#VALUE!</v>
      </c>
      <c r="Q1245" s="1" t="e">
        <f t="shared" si="281"/>
        <v>#VALUE!</v>
      </c>
      <c r="R1245" s="1" t="e">
        <f t="shared" si="282"/>
        <v>#VALUE!</v>
      </c>
      <c r="S1245" s="1" t="e">
        <f t="shared" si="283"/>
        <v>#VALUE!</v>
      </c>
      <c r="T1245" s="1" t="e">
        <f t="shared" si="284"/>
        <v>#VALUE!</v>
      </c>
      <c r="U1245" s="26" t="e">
        <f t="shared" si="285"/>
        <v>#VALUE!</v>
      </c>
      <c r="V1245" s="26" t="e">
        <f t="shared" si="286"/>
        <v>#VALUE!</v>
      </c>
      <c r="W1245" s="1" t="e">
        <f t="shared" si="287"/>
        <v>#VALUE!</v>
      </c>
      <c r="X1245" s="26" t="e">
        <f t="shared" si="288"/>
        <v>#VALUE!</v>
      </c>
      <c r="Y1245" s="26" t="e">
        <f t="shared" si="289"/>
        <v>#VALUE!</v>
      </c>
      <c r="Z1245" s="1" t="e">
        <f t="shared" si="290"/>
        <v>#VALUE!</v>
      </c>
      <c r="AA1245"/>
      <c r="AB1245"/>
    </row>
    <row r="1246" spans="1:28" x14ac:dyDescent="0.55000000000000004">
      <c r="A1246" s="1">
        <f t="shared" si="277"/>
        <v>1246</v>
      </c>
      <c r="B1246" t="s">
        <v>39</v>
      </c>
      <c r="C1246" t="s">
        <v>128</v>
      </c>
      <c r="D1246" t="s">
        <v>42</v>
      </c>
      <c r="E1246" t="s">
        <v>401</v>
      </c>
      <c r="F1246" t="s">
        <v>218</v>
      </c>
      <c r="G1246" t="s">
        <v>226</v>
      </c>
      <c r="I1246" t="s">
        <v>231</v>
      </c>
      <c r="K1246" t="s">
        <v>241</v>
      </c>
      <c r="M1246" t="s">
        <v>47</v>
      </c>
      <c r="N1246" s="1" t="e">
        <f t="shared" si="278"/>
        <v>#VALUE!</v>
      </c>
      <c r="O1246" s="1" t="e">
        <f t="shared" si="279"/>
        <v>#VALUE!</v>
      </c>
      <c r="P1246" s="1" t="e">
        <f t="shared" si="280"/>
        <v>#VALUE!</v>
      </c>
      <c r="Q1246" s="1" t="e">
        <f t="shared" si="281"/>
        <v>#VALUE!</v>
      </c>
      <c r="R1246" s="1" t="e">
        <f t="shared" si="282"/>
        <v>#VALUE!</v>
      </c>
      <c r="S1246" s="1" t="e">
        <f t="shared" si="283"/>
        <v>#VALUE!</v>
      </c>
      <c r="T1246" s="1" t="e">
        <f t="shared" si="284"/>
        <v>#VALUE!</v>
      </c>
      <c r="U1246" s="26" t="e">
        <f t="shared" si="285"/>
        <v>#VALUE!</v>
      </c>
      <c r="V1246" s="26" t="e">
        <f t="shared" si="286"/>
        <v>#VALUE!</v>
      </c>
      <c r="W1246" s="1" t="e">
        <f t="shared" si="287"/>
        <v>#VALUE!</v>
      </c>
      <c r="X1246" s="26" t="e">
        <f t="shared" si="288"/>
        <v>#VALUE!</v>
      </c>
      <c r="Y1246" s="26" t="e">
        <f t="shared" si="289"/>
        <v>#VALUE!</v>
      </c>
      <c r="Z1246" s="1" t="e">
        <f t="shared" si="290"/>
        <v>#VALUE!</v>
      </c>
      <c r="AA1246"/>
      <c r="AB1246"/>
    </row>
    <row r="1247" spans="1:28" x14ac:dyDescent="0.55000000000000004">
      <c r="A1247" s="1">
        <f t="shared" si="277"/>
        <v>1247</v>
      </c>
      <c r="B1247" t="s">
        <v>39</v>
      </c>
      <c r="C1247" t="s">
        <v>128</v>
      </c>
      <c r="D1247" t="s">
        <v>42</v>
      </c>
      <c r="E1247" t="s">
        <v>401</v>
      </c>
      <c r="F1247" t="s">
        <v>218</v>
      </c>
      <c r="G1247" t="s">
        <v>219</v>
      </c>
      <c r="I1247" t="s">
        <v>223</v>
      </c>
      <c r="K1247" t="s">
        <v>221</v>
      </c>
      <c r="M1247" t="s">
        <v>47</v>
      </c>
      <c r="N1247" s="1" t="e">
        <f t="shared" si="278"/>
        <v>#VALUE!</v>
      </c>
      <c r="O1247" s="1" t="e">
        <f t="shared" si="279"/>
        <v>#VALUE!</v>
      </c>
      <c r="P1247" s="1" t="e">
        <f t="shared" si="280"/>
        <v>#VALUE!</v>
      </c>
      <c r="Q1247" s="1" t="e">
        <f t="shared" si="281"/>
        <v>#VALUE!</v>
      </c>
      <c r="R1247" s="1" t="e">
        <f t="shared" si="282"/>
        <v>#VALUE!</v>
      </c>
      <c r="S1247" s="1" t="e">
        <f t="shared" si="283"/>
        <v>#VALUE!</v>
      </c>
      <c r="T1247" s="1" t="e">
        <f t="shared" si="284"/>
        <v>#VALUE!</v>
      </c>
      <c r="U1247" s="26" t="e">
        <f t="shared" si="285"/>
        <v>#VALUE!</v>
      </c>
      <c r="V1247" s="26" t="e">
        <f t="shared" si="286"/>
        <v>#VALUE!</v>
      </c>
      <c r="W1247" s="1" t="e">
        <f t="shared" si="287"/>
        <v>#VALUE!</v>
      </c>
      <c r="X1247" s="26" t="e">
        <f t="shared" si="288"/>
        <v>#VALUE!</v>
      </c>
      <c r="Y1247" s="26" t="e">
        <f t="shared" si="289"/>
        <v>#VALUE!</v>
      </c>
      <c r="Z1247" s="1" t="e">
        <f t="shared" si="290"/>
        <v>#VALUE!</v>
      </c>
      <c r="AA1247"/>
      <c r="AB1247"/>
    </row>
    <row r="1248" spans="1:28" x14ac:dyDescent="0.55000000000000004">
      <c r="A1248" s="1">
        <f t="shared" si="277"/>
        <v>1248</v>
      </c>
      <c r="B1248" t="s">
        <v>31</v>
      </c>
      <c r="C1248" t="s">
        <v>196</v>
      </c>
      <c r="D1248" t="s">
        <v>42</v>
      </c>
      <c r="E1248" t="s">
        <v>401</v>
      </c>
      <c r="F1248" t="s">
        <v>357</v>
      </c>
      <c r="G1248" t="s">
        <v>151</v>
      </c>
      <c r="I1248" t="s">
        <v>144</v>
      </c>
      <c r="K1248" t="s">
        <v>156</v>
      </c>
      <c r="M1248" t="s">
        <v>47</v>
      </c>
      <c r="N1248" s="1" t="e">
        <f t="shared" si="278"/>
        <v>#VALUE!</v>
      </c>
      <c r="O1248" s="1" t="e">
        <f t="shared" si="279"/>
        <v>#VALUE!</v>
      </c>
      <c r="P1248" s="1" t="e">
        <f t="shared" si="280"/>
        <v>#VALUE!</v>
      </c>
      <c r="Q1248" s="1" t="e">
        <f t="shared" si="281"/>
        <v>#VALUE!</v>
      </c>
      <c r="R1248" s="1" t="e">
        <f t="shared" si="282"/>
        <v>#VALUE!</v>
      </c>
      <c r="S1248" s="1" t="e">
        <f t="shared" si="283"/>
        <v>#VALUE!</v>
      </c>
      <c r="T1248" s="1" t="e">
        <f t="shared" si="284"/>
        <v>#VALUE!</v>
      </c>
      <c r="U1248" s="26" t="e">
        <f t="shared" si="285"/>
        <v>#VALUE!</v>
      </c>
      <c r="V1248" s="26" t="e">
        <f t="shared" si="286"/>
        <v>#VALUE!</v>
      </c>
      <c r="W1248" s="1" t="e">
        <f t="shared" si="287"/>
        <v>#VALUE!</v>
      </c>
      <c r="X1248" s="26" t="e">
        <f t="shared" si="288"/>
        <v>#VALUE!</v>
      </c>
      <c r="Y1248" s="26" t="e">
        <f t="shared" si="289"/>
        <v>#VALUE!</v>
      </c>
      <c r="Z1248" s="1" t="e">
        <f t="shared" si="290"/>
        <v>#VALUE!</v>
      </c>
      <c r="AA1248"/>
      <c r="AB1248"/>
    </row>
    <row r="1249" spans="1:28" x14ac:dyDescent="0.55000000000000004">
      <c r="A1249" s="1">
        <f t="shared" si="277"/>
        <v>1249</v>
      </c>
      <c r="B1249" t="s">
        <v>31</v>
      </c>
      <c r="C1249" t="s">
        <v>196</v>
      </c>
      <c r="D1249" t="s">
        <v>42</v>
      </c>
      <c r="E1249" t="s">
        <v>401</v>
      </c>
      <c r="F1249" t="s">
        <v>357</v>
      </c>
      <c r="G1249" t="s">
        <v>147</v>
      </c>
      <c r="I1249" t="s">
        <v>150</v>
      </c>
      <c r="K1249" t="s">
        <v>149</v>
      </c>
      <c r="M1249" t="s">
        <v>47</v>
      </c>
      <c r="N1249" s="1" t="e">
        <f t="shared" si="278"/>
        <v>#VALUE!</v>
      </c>
      <c r="O1249" s="1" t="e">
        <f t="shared" si="279"/>
        <v>#VALUE!</v>
      </c>
      <c r="P1249" s="1" t="e">
        <f t="shared" si="280"/>
        <v>#VALUE!</v>
      </c>
      <c r="Q1249" s="1" t="e">
        <f t="shared" si="281"/>
        <v>#VALUE!</v>
      </c>
      <c r="R1249" s="1" t="e">
        <f t="shared" si="282"/>
        <v>#VALUE!</v>
      </c>
      <c r="S1249" s="1" t="e">
        <f t="shared" si="283"/>
        <v>#VALUE!</v>
      </c>
      <c r="T1249" s="1" t="e">
        <f t="shared" si="284"/>
        <v>#VALUE!</v>
      </c>
      <c r="U1249" s="26" t="e">
        <f t="shared" si="285"/>
        <v>#VALUE!</v>
      </c>
      <c r="V1249" s="26" t="e">
        <f t="shared" si="286"/>
        <v>#VALUE!</v>
      </c>
      <c r="W1249" s="1" t="e">
        <f t="shared" si="287"/>
        <v>#VALUE!</v>
      </c>
      <c r="X1249" s="26" t="e">
        <f t="shared" si="288"/>
        <v>#VALUE!</v>
      </c>
      <c r="Y1249" s="26" t="e">
        <f t="shared" si="289"/>
        <v>#VALUE!</v>
      </c>
      <c r="Z1249" s="1" t="e">
        <f t="shared" si="290"/>
        <v>#VALUE!</v>
      </c>
      <c r="AA1249"/>
      <c r="AB1249"/>
    </row>
    <row r="1250" spans="1:28" x14ac:dyDescent="0.55000000000000004">
      <c r="A1250" s="1">
        <f t="shared" si="277"/>
        <v>1250</v>
      </c>
      <c r="B1250" t="s">
        <v>35</v>
      </c>
      <c r="C1250" t="s">
        <v>119</v>
      </c>
      <c r="D1250" t="s">
        <v>42</v>
      </c>
      <c r="E1250" t="s">
        <v>401</v>
      </c>
      <c r="F1250" t="s">
        <v>357</v>
      </c>
      <c r="G1250" t="s">
        <v>304</v>
      </c>
      <c r="I1250" t="s">
        <v>377</v>
      </c>
      <c r="K1250" t="s">
        <v>382</v>
      </c>
      <c r="M1250" t="s">
        <v>47</v>
      </c>
      <c r="N1250" s="1" t="e">
        <f t="shared" si="278"/>
        <v>#VALUE!</v>
      </c>
      <c r="O1250" s="1" t="e">
        <f t="shared" si="279"/>
        <v>#VALUE!</v>
      </c>
      <c r="P1250" s="1" t="e">
        <f t="shared" si="280"/>
        <v>#VALUE!</v>
      </c>
      <c r="Q1250" s="1" t="e">
        <f t="shared" si="281"/>
        <v>#VALUE!</v>
      </c>
      <c r="R1250" s="1" t="e">
        <f t="shared" si="282"/>
        <v>#VALUE!</v>
      </c>
      <c r="S1250" s="1" t="e">
        <f t="shared" si="283"/>
        <v>#VALUE!</v>
      </c>
      <c r="T1250" s="1" t="e">
        <f t="shared" si="284"/>
        <v>#VALUE!</v>
      </c>
      <c r="U1250" s="26" t="e">
        <f t="shared" si="285"/>
        <v>#VALUE!</v>
      </c>
      <c r="V1250" s="26" t="e">
        <f t="shared" si="286"/>
        <v>#VALUE!</v>
      </c>
      <c r="W1250" s="1" t="e">
        <f t="shared" si="287"/>
        <v>#VALUE!</v>
      </c>
      <c r="X1250" s="26" t="e">
        <f t="shared" si="288"/>
        <v>#VALUE!</v>
      </c>
      <c r="Y1250" s="26" t="e">
        <f t="shared" si="289"/>
        <v>#VALUE!</v>
      </c>
      <c r="Z1250" s="1" t="e">
        <f t="shared" si="290"/>
        <v>#VALUE!</v>
      </c>
      <c r="AA1250"/>
      <c r="AB1250"/>
    </row>
    <row r="1251" spans="1:28" x14ac:dyDescent="0.55000000000000004">
      <c r="A1251" s="1">
        <f t="shared" si="277"/>
        <v>1251</v>
      </c>
      <c r="B1251" t="s">
        <v>35</v>
      </c>
      <c r="C1251" t="s">
        <v>119</v>
      </c>
      <c r="D1251" t="s">
        <v>42</v>
      </c>
      <c r="E1251" t="s">
        <v>401</v>
      </c>
      <c r="F1251" t="s">
        <v>357</v>
      </c>
      <c r="G1251" t="s">
        <v>383</v>
      </c>
      <c r="I1251" t="s">
        <v>213</v>
      </c>
      <c r="K1251" t="s">
        <v>387</v>
      </c>
      <c r="M1251" t="s">
        <v>47</v>
      </c>
      <c r="N1251" s="1" t="e">
        <f t="shared" si="278"/>
        <v>#VALUE!</v>
      </c>
      <c r="O1251" s="1" t="e">
        <f t="shared" si="279"/>
        <v>#VALUE!</v>
      </c>
      <c r="P1251" s="1" t="e">
        <f t="shared" si="280"/>
        <v>#VALUE!</v>
      </c>
      <c r="Q1251" s="1" t="e">
        <f t="shared" si="281"/>
        <v>#VALUE!</v>
      </c>
      <c r="R1251" s="1" t="e">
        <f t="shared" si="282"/>
        <v>#VALUE!</v>
      </c>
      <c r="S1251" s="1" t="e">
        <f t="shared" si="283"/>
        <v>#VALUE!</v>
      </c>
      <c r="T1251" s="1" t="e">
        <f t="shared" si="284"/>
        <v>#VALUE!</v>
      </c>
      <c r="U1251" s="26" t="e">
        <f t="shared" si="285"/>
        <v>#VALUE!</v>
      </c>
      <c r="V1251" s="26" t="e">
        <f t="shared" si="286"/>
        <v>#VALUE!</v>
      </c>
      <c r="W1251" s="1" t="e">
        <f t="shared" si="287"/>
        <v>#VALUE!</v>
      </c>
      <c r="X1251" s="26" t="e">
        <f t="shared" si="288"/>
        <v>#VALUE!</v>
      </c>
      <c r="Y1251" s="26" t="e">
        <f t="shared" si="289"/>
        <v>#VALUE!</v>
      </c>
      <c r="Z1251" s="1" t="e">
        <f t="shared" si="290"/>
        <v>#VALUE!</v>
      </c>
      <c r="AA1251"/>
      <c r="AB1251"/>
    </row>
    <row r="1252" spans="1:28" x14ac:dyDescent="0.55000000000000004">
      <c r="A1252" s="1">
        <f t="shared" si="277"/>
        <v>1252</v>
      </c>
      <c r="B1252" t="s">
        <v>35</v>
      </c>
      <c r="C1252" t="s">
        <v>119</v>
      </c>
      <c r="D1252" t="s">
        <v>42</v>
      </c>
      <c r="E1252" t="s">
        <v>401</v>
      </c>
      <c r="F1252" t="s">
        <v>357</v>
      </c>
      <c r="G1252" t="s">
        <v>306</v>
      </c>
      <c r="I1252" t="s">
        <v>386</v>
      </c>
      <c r="K1252" t="s">
        <v>308</v>
      </c>
      <c r="M1252" t="s">
        <v>47</v>
      </c>
      <c r="N1252" s="1" t="e">
        <f t="shared" si="278"/>
        <v>#VALUE!</v>
      </c>
      <c r="O1252" s="1" t="e">
        <f t="shared" si="279"/>
        <v>#VALUE!</v>
      </c>
      <c r="P1252" s="1" t="e">
        <f t="shared" si="280"/>
        <v>#VALUE!</v>
      </c>
      <c r="Q1252" s="1" t="e">
        <f t="shared" si="281"/>
        <v>#VALUE!</v>
      </c>
      <c r="R1252" s="1" t="e">
        <f t="shared" si="282"/>
        <v>#VALUE!</v>
      </c>
      <c r="S1252" s="1" t="e">
        <f t="shared" si="283"/>
        <v>#VALUE!</v>
      </c>
      <c r="T1252" s="1" t="e">
        <f t="shared" si="284"/>
        <v>#VALUE!</v>
      </c>
      <c r="U1252" s="26" t="e">
        <f t="shared" si="285"/>
        <v>#VALUE!</v>
      </c>
      <c r="V1252" s="26" t="e">
        <f t="shared" si="286"/>
        <v>#VALUE!</v>
      </c>
      <c r="W1252" s="1" t="e">
        <f t="shared" si="287"/>
        <v>#VALUE!</v>
      </c>
      <c r="X1252" s="26" t="e">
        <f t="shared" si="288"/>
        <v>#VALUE!</v>
      </c>
      <c r="Y1252" s="26" t="e">
        <f t="shared" si="289"/>
        <v>#VALUE!</v>
      </c>
      <c r="Z1252" s="1" t="e">
        <f t="shared" si="290"/>
        <v>#VALUE!</v>
      </c>
      <c r="AA1252"/>
      <c r="AB1252"/>
    </row>
    <row r="1253" spans="1:28" x14ac:dyDescent="0.55000000000000004">
      <c r="A1253" s="1">
        <f t="shared" si="277"/>
        <v>1253</v>
      </c>
      <c r="B1253" t="s">
        <v>30</v>
      </c>
      <c r="C1253" t="s">
        <v>118</v>
      </c>
      <c r="D1253" t="s">
        <v>179</v>
      </c>
      <c r="E1253" t="s">
        <v>184</v>
      </c>
      <c r="F1253" t="s">
        <v>181</v>
      </c>
      <c r="G1253" t="s">
        <v>57</v>
      </c>
      <c r="I1253" t="s">
        <v>48</v>
      </c>
      <c r="K1253" t="s">
        <v>59</v>
      </c>
      <c r="M1253" t="s">
        <v>47</v>
      </c>
      <c r="N1253" s="1" t="e">
        <f t="shared" si="278"/>
        <v>#VALUE!</v>
      </c>
      <c r="O1253" s="1" t="e">
        <f t="shared" si="279"/>
        <v>#VALUE!</v>
      </c>
      <c r="P1253" s="1" t="e">
        <f t="shared" si="280"/>
        <v>#VALUE!</v>
      </c>
      <c r="Q1253" s="1" t="e">
        <f t="shared" si="281"/>
        <v>#VALUE!</v>
      </c>
      <c r="R1253" s="1" t="e">
        <f t="shared" si="282"/>
        <v>#VALUE!</v>
      </c>
      <c r="S1253" s="1" t="e">
        <f t="shared" si="283"/>
        <v>#VALUE!</v>
      </c>
      <c r="T1253" s="1" t="e">
        <f t="shared" si="284"/>
        <v>#VALUE!</v>
      </c>
      <c r="U1253" s="26" t="e">
        <f t="shared" si="285"/>
        <v>#VALUE!</v>
      </c>
      <c r="V1253" s="26" t="e">
        <f t="shared" si="286"/>
        <v>#VALUE!</v>
      </c>
      <c r="W1253" s="1" t="e">
        <f t="shared" si="287"/>
        <v>#VALUE!</v>
      </c>
      <c r="X1253" s="26" t="e">
        <f t="shared" si="288"/>
        <v>#VALUE!</v>
      </c>
      <c r="Y1253" s="26" t="e">
        <f t="shared" si="289"/>
        <v>#VALUE!</v>
      </c>
      <c r="Z1253" s="1" t="e">
        <f t="shared" si="290"/>
        <v>#VALUE!</v>
      </c>
      <c r="AA1253"/>
      <c r="AB1253"/>
    </row>
    <row r="1254" spans="1:28" x14ac:dyDescent="0.55000000000000004">
      <c r="A1254" s="1">
        <f t="shared" si="277"/>
        <v>1254</v>
      </c>
      <c r="B1254" t="s">
        <v>30</v>
      </c>
      <c r="C1254" t="s">
        <v>118</v>
      </c>
      <c r="D1254" t="s">
        <v>179</v>
      </c>
      <c r="E1254" t="s">
        <v>184</v>
      </c>
      <c r="F1254" t="s">
        <v>181</v>
      </c>
      <c r="G1254" t="s">
        <v>52</v>
      </c>
      <c r="I1254" t="s">
        <v>54</v>
      </c>
      <c r="K1254" t="s">
        <v>71</v>
      </c>
      <c r="M1254" t="s">
        <v>47</v>
      </c>
      <c r="N1254" s="1" t="e">
        <f t="shared" si="278"/>
        <v>#VALUE!</v>
      </c>
      <c r="O1254" s="1" t="e">
        <f t="shared" si="279"/>
        <v>#VALUE!</v>
      </c>
      <c r="P1254" s="1" t="e">
        <f t="shared" si="280"/>
        <v>#VALUE!</v>
      </c>
      <c r="Q1254" s="1" t="e">
        <f t="shared" si="281"/>
        <v>#VALUE!</v>
      </c>
      <c r="R1254" s="1" t="e">
        <f t="shared" si="282"/>
        <v>#VALUE!</v>
      </c>
      <c r="S1254" s="1" t="e">
        <f t="shared" si="283"/>
        <v>#VALUE!</v>
      </c>
      <c r="T1254" s="1" t="e">
        <f t="shared" si="284"/>
        <v>#VALUE!</v>
      </c>
      <c r="U1254" s="26" t="e">
        <f t="shared" si="285"/>
        <v>#VALUE!</v>
      </c>
      <c r="V1254" s="26" t="e">
        <f t="shared" si="286"/>
        <v>#VALUE!</v>
      </c>
      <c r="W1254" s="1" t="e">
        <f t="shared" si="287"/>
        <v>#VALUE!</v>
      </c>
      <c r="X1254" s="26" t="e">
        <f t="shared" si="288"/>
        <v>#VALUE!</v>
      </c>
      <c r="Y1254" s="26" t="e">
        <f t="shared" si="289"/>
        <v>#VALUE!</v>
      </c>
      <c r="Z1254" s="1" t="e">
        <f t="shared" si="290"/>
        <v>#VALUE!</v>
      </c>
      <c r="AA1254"/>
      <c r="AB1254"/>
    </row>
    <row r="1255" spans="1:28" x14ac:dyDescent="0.55000000000000004">
      <c r="A1255" s="1">
        <f t="shared" si="277"/>
        <v>1255</v>
      </c>
      <c r="B1255" t="s">
        <v>34</v>
      </c>
      <c r="C1255" t="s">
        <v>197</v>
      </c>
      <c r="D1255" t="s">
        <v>179</v>
      </c>
      <c r="E1255" t="s">
        <v>184</v>
      </c>
      <c r="F1255" t="s">
        <v>181</v>
      </c>
      <c r="G1255" t="s">
        <v>102</v>
      </c>
      <c r="I1255" t="s">
        <v>96</v>
      </c>
      <c r="K1255" t="s">
        <v>106</v>
      </c>
      <c r="M1255" t="s">
        <v>47</v>
      </c>
      <c r="N1255" s="1" t="e">
        <f t="shared" si="278"/>
        <v>#VALUE!</v>
      </c>
      <c r="O1255" s="1" t="e">
        <f t="shared" si="279"/>
        <v>#VALUE!</v>
      </c>
      <c r="P1255" s="1" t="e">
        <f t="shared" si="280"/>
        <v>#VALUE!</v>
      </c>
      <c r="Q1255" s="1" t="e">
        <f t="shared" si="281"/>
        <v>#VALUE!</v>
      </c>
      <c r="R1255" s="1" t="e">
        <f t="shared" si="282"/>
        <v>#VALUE!</v>
      </c>
      <c r="S1255" s="1" t="e">
        <f t="shared" si="283"/>
        <v>#VALUE!</v>
      </c>
      <c r="T1255" s="1" t="e">
        <f t="shared" si="284"/>
        <v>#VALUE!</v>
      </c>
      <c r="U1255" s="26" t="e">
        <f t="shared" si="285"/>
        <v>#VALUE!</v>
      </c>
      <c r="V1255" s="26" t="e">
        <f t="shared" si="286"/>
        <v>#VALUE!</v>
      </c>
      <c r="W1255" s="1" t="e">
        <f t="shared" si="287"/>
        <v>#VALUE!</v>
      </c>
      <c r="X1255" s="26" t="e">
        <f t="shared" si="288"/>
        <v>#VALUE!</v>
      </c>
      <c r="Y1255" s="26" t="e">
        <f t="shared" si="289"/>
        <v>#VALUE!</v>
      </c>
      <c r="Z1255" s="1" t="e">
        <f t="shared" si="290"/>
        <v>#VALUE!</v>
      </c>
      <c r="AA1255"/>
      <c r="AB1255"/>
    </row>
    <row r="1256" spans="1:28" x14ac:dyDescent="0.55000000000000004">
      <c r="A1256" s="1">
        <f t="shared" si="277"/>
        <v>1256</v>
      </c>
      <c r="B1256" t="s">
        <v>40</v>
      </c>
      <c r="C1256" t="s">
        <v>122</v>
      </c>
      <c r="D1256" t="s">
        <v>179</v>
      </c>
      <c r="E1256" t="s">
        <v>184</v>
      </c>
      <c r="F1256" t="s">
        <v>251</v>
      </c>
      <c r="G1256" t="s">
        <v>255</v>
      </c>
      <c r="I1256" t="s">
        <v>256</v>
      </c>
      <c r="K1256" t="s">
        <v>257</v>
      </c>
      <c r="M1256" t="s">
        <v>47</v>
      </c>
      <c r="N1256" s="1" t="e">
        <f t="shared" si="278"/>
        <v>#VALUE!</v>
      </c>
      <c r="O1256" s="1" t="e">
        <f t="shared" si="279"/>
        <v>#VALUE!</v>
      </c>
      <c r="P1256" s="1" t="e">
        <f t="shared" si="280"/>
        <v>#VALUE!</v>
      </c>
      <c r="Q1256" s="1" t="e">
        <f t="shared" si="281"/>
        <v>#VALUE!</v>
      </c>
      <c r="R1256" s="1" t="e">
        <f t="shared" si="282"/>
        <v>#VALUE!</v>
      </c>
      <c r="S1256" s="1" t="e">
        <f t="shared" si="283"/>
        <v>#VALUE!</v>
      </c>
      <c r="T1256" s="1" t="e">
        <f t="shared" si="284"/>
        <v>#VALUE!</v>
      </c>
      <c r="U1256" s="26" t="e">
        <f t="shared" si="285"/>
        <v>#VALUE!</v>
      </c>
      <c r="V1256" s="26" t="e">
        <f t="shared" si="286"/>
        <v>#VALUE!</v>
      </c>
      <c r="W1256" s="1" t="e">
        <f t="shared" si="287"/>
        <v>#VALUE!</v>
      </c>
      <c r="X1256" s="26" t="e">
        <f t="shared" si="288"/>
        <v>#VALUE!</v>
      </c>
      <c r="Y1256" s="26" t="e">
        <f t="shared" si="289"/>
        <v>#VALUE!</v>
      </c>
      <c r="Z1256" s="1" t="e">
        <f t="shared" si="290"/>
        <v>#VALUE!</v>
      </c>
      <c r="AA1256"/>
      <c r="AB1256"/>
    </row>
    <row r="1257" spans="1:28" x14ac:dyDescent="0.55000000000000004">
      <c r="A1257" s="1">
        <f t="shared" si="277"/>
        <v>1257</v>
      </c>
      <c r="B1257" t="s">
        <v>31</v>
      </c>
      <c r="C1257" t="s">
        <v>197</v>
      </c>
      <c r="D1257" t="s">
        <v>174</v>
      </c>
      <c r="E1257" t="s">
        <v>275</v>
      </c>
      <c r="F1257" t="s">
        <v>274</v>
      </c>
      <c r="G1257" t="s">
        <v>138</v>
      </c>
      <c r="I1257" t="s">
        <v>135</v>
      </c>
      <c r="K1257" t="s">
        <v>140</v>
      </c>
      <c r="M1257" t="s">
        <v>47</v>
      </c>
      <c r="N1257" s="1" t="e">
        <f t="shared" si="278"/>
        <v>#VALUE!</v>
      </c>
      <c r="O1257" s="1" t="e">
        <f t="shared" si="279"/>
        <v>#VALUE!</v>
      </c>
      <c r="P1257" s="1" t="e">
        <f t="shared" si="280"/>
        <v>#VALUE!</v>
      </c>
      <c r="Q1257" s="1" t="e">
        <f t="shared" si="281"/>
        <v>#VALUE!</v>
      </c>
      <c r="R1257" s="1" t="e">
        <f t="shared" si="282"/>
        <v>#VALUE!</v>
      </c>
      <c r="S1257" s="1" t="e">
        <f t="shared" si="283"/>
        <v>#VALUE!</v>
      </c>
      <c r="T1257" s="1" t="e">
        <f t="shared" si="284"/>
        <v>#VALUE!</v>
      </c>
      <c r="U1257" s="26" t="e">
        <f t="shared" si="285"/>
        <v>#VALUE!</v>
      </c>
      <c r="V1257" s="26" t="e">
        <f t="shared" si="286"/>
        <v>#VALUE!</v>
      </c>
      <c r="W1257" s="1" t="e">
        <f t="shared" si="287"/>
        <v>#VALUE!</v>
      </c>
      <c r="X1257" s="26" t="e">
        <f t="shared" si="288"/>
        <v>#VALUE!</v>
      </c>
      <c r="Y1257" s="26" t="e">
        <f t="shared" si="289"/>
        <v>#VALUE!</v>
      </c>
      <c r="Z1257" s="1" t="e">
        <f t="shared" si="290"/>
        <v>#VALUE!</v>
      </c>
      <c r="AA1257"/>
      <c r="AB1257"/>
    </row>
    <row r="1258" spans="1:28" x14ac:dyDescent="0.55000000000000004">
      <c r="A1258" s="1">
        <f t="shared" si="277"/>
        <v>1258</v>
      </c>
      <c r="B1258" t="s">
        <v>33</v>
      </c>
      <c r="C1258" t="s">
        <v>130</v>
      </c>
      <c r="D1258" t="s">
        <v>174</v>
      </c>
      <c r="E1258" t="s">
        <v>275</v>
      </c>
      <c r="F1258" t="s">
        <v>277</v>
      </c>
      <c r="G1258" t="s">
        <v>281</v>
      </c>
      <c r="I1258" t="s">
        <v>282</v>
      </c>
      <c r="K1258" t="s">
        <v>283</v>
      </c>
      <c r="M1258" t="s">
        <v>47</v>
      </c>
      <c r="N1258" s="1" t="e">
        <f t="shared" si="278"/>
        <v>#VALUE!</v>
      </c>
      <c r="O1258" s="1" t="e">
        <f t="shared" si="279"/>
        <v>#VALUE!</v>
      </c>
      <c r="P1258" s="1" t="e">
        <f t="shared" si="280"/>
        <v>#VALUE!</v>
      </c>
      <c r="Q1258" s="1" t="e">
        <f t="shared" si="281"/>
        <v>#VALUE!</v>
      </c>
      <c r="R1258" s="1" t="e">
        <f t="shared" si="282"/>
        <v>#VALUE!</v>
      </c>
      <c r="S1258" s="1" t="e">
        <f t="shared" si="283"/>
        <v>#VALUE!</v>
      </c>
      <c r="T1258" s="1" t="e">
        <f t="shared" si="284"/>
        <v>#VALUE!</v>
      </c>
      <c r="U1258" s="26" t="e">
        <f t="shared" si="285"/>
        <v>#VALUE!</v>
      </c>
      <c r="V1258" s="26" t="e">
        <f t="shared" si="286"/>
        <v>#VALUE!</v>
      </c>
      <c r="W1258" s="1" t="e">
        <f t="shared" si="287"/>
        <v>#VALUE!</v>
      </c>
      <c r="X1258" s="26" t="e">
        <f t="shared" si="288"/>
        <v>#VALUE!</v>
      </c>
      <c r="Y1258" s="26" t="e">
        <f t="shared" si="289"/>
        <v>#VALUE!</v>
      </c>
      <c r="Z1258" s="1" t="e">
        <f t="shared" si="290"/>
        <v>#VALUE!</v>
      </c>
      <c r="AA1258"/>
      <c r="AB1258"/>
    </row>
    <row r="1259" spans="1:28" x14ac:dyDescent="0.55000000000000004">
      <c r="A1259" s="1">
        <f t="shared" si="277"/>
        <v>1259</v>
      </c>
      <c r="B1259" t="s">
        <v>34</v>
      </c>
      <c r="C1259" t="s">
        <v>198</v>
      </c>
      <c r="D1259" t="s">
        <v>174</v>
      </c>
      <c r="E1259" t="s">
        <v>275</v>
      </c>
      <c r="F1259" t="s">
        <v>181</v>
      </c>
      <c r="G1259" t="s">
        <v>96</v>
      </c>
      <c r="I1259" t="s">
        <v>99</v>
      </c>
      <c r="K1259" t="s">
        <v>110</v>
      </c>
      <c r="M1259" t="s">
        <v>47</v>
      </c>
      <c r="N1259" s="1" t="e">
        <f t="shared" si="278"/>
        <v>#VALUE!</v>
      </c>
      <c r="O1259" s="1" t="e">
        <f t="shared" si="279"/>
        <v>#VALUE!</v>
      </c>
      <c r="P1259" s="1" t="e">
        <f t="shared" si="280"/>
        <v>#VALUE!</v>
      </c>
      <c r="Q1259" s="1" t="e">
        <f t="shared" si="281"/>
        <v>#VALUE!</v>
      </c>
      <c r="R1259" s="1" t="e">
        <f t="shared" si="282"/>
        <v>#VALUE!</v>
      </c>
      <c r="S1259" s="1" t="e">
        <f t="shared" si="283"/>
        <v>#VALUE!</v>
      </c>
      <c r="T1259" s="1" t="e">
        <f t="shared" si="284"/>
        <v>#VALUE!</v>
      </c>
      <c r="U1259" s="26" t="e">
        <f t="shared" si="285"/>
        <v>#VALUE!</v>
      </c>
      <c r="V1259" s="26" t="e">
        <f t="shared" si="286"/>
        <v>#VALUE!</v>
      </c>
      <c r="W1259" s="1" t="e">
        <f t="shared" si="287"/>
        <v>#VALUE!</v>
      </c>
      <c r="X1259" s="26" t="e">
        <f t="shared" si="288"/>
        <v>#VALUE!</v>
      </c>
      <c r="Y1259" s="26" t="e">
        <f t="shared" si="289"/>
        <v>#VALUE!</v>
      </c>
      <c r="Z1259" s="1" t="e">
        <f t="shared" si="290"/>
        <v>#VALUE!</v>
      </c>
      <c r="AA1259"/>
      <c r="AB1259"/>
    </row>
    <row r="1260" spans="1:28" x14ac:dyDescent="0.55000000000000004">
      <c r="A1260" s="1">
        <f t="shared" si="277"/>
        <v>1260</v>
      </c>
      <c r="B1260" t="s">
        <v>35</v>
      </c>
      <c r="C1260" t="s">
        <v>120</v>
      </c>
      <c r="D1260" t="s">
        <v>174</v>
      </c>
      <c r="E1260" t="s">
        <v>275</v>
      </c>
      <c r="F1260" t="s">
        <v>181</v>
      </c>
      <c r="G1260" t="s">
        <v>303</v>
      </c>
      <c r="I1260" t="s">
        <v>304</v>
      </c>
      <c r="K1260" t="s">
        <v>305</v>
      </c>
      <c r="M1260" t="s">
        <v>47</v>
      </c>
      <c r="N1260" s="1" t="e">
        <f t="shared" si="278"/>
        <v>#VALUE!</v>
      </c>
      <c r="O1260" s="1" t="e">
        <f t="shared" si="279"/>
        <v>#VALUE!</v>
      </c>
      <c r="P1260" s="1" t="e">
        <f t="shared" si="280"/>
        <v>#VALUE!</v>
      </c>
      <c r="Q1260" s="1" t="e">
        <f t="shared" si="281"/>
        <v>#VALUE!</v>
      </c>
      <c r="R1260" s="1" t="e">
        <f t="shared" si="282"/>
        <v>#VALUE!</v>
      </c>
      <c r="S1260" s="1" t="e">
        <f t="shared" si="283"/>
        <v>#VALUE!</v>
      </c>
      <c r="T1260" s="1" t="e">
        <f t="shared" si="284"/>
        <v>#VALUE!</v>
      </c>
      <c r="U1260" s="26" t="e">
        <f t="shared" si="285"/>
        <v>#VALUE!</v>
      </c>
      <c r="V1260" s="26" t="e">
        <f t="shared" si="286"/>
        <v>#VALUE!</v>
      </c>
      <c r="W1260" s="1" t="e">
        <f t="shared" si="287"/>
        <v>#VALUE!</v>
      </c>
      <c r="X1260" s="26" t="e">
        <f t="shared" si="288"/>
        <v>#VALUE!</v>
      </c>
      <c r="Y1260" s="26" t="e">
        <f t="shared" si="289"/>
        <v>#VALUE!</v>
      </c>
      <c r="Z1260" s="1" t="e">
        <f t="shared" si="290"/>
        <v>#VALUE!</v>
      </c>
      <c r="AA1260"/>
      <c r="AB1260"/>
    </row>
    <row r="1261" spans="1:28" x14ac:dyDescent="0.55000000000000004">
      <c r="A1261" s="1">
        <f t="shared" si="277"/>
        <v>1261</v>
      </c>
      <c r="B1261" t="s">
        <v>37</v>
      </c>
      <c r="C1261" t="s">
        <v>76</v>
      </c>
      <c r="D1261" t="s">
        <v>174</v>
      </c>
      <c r="E1261" t="s">
        <v>275</v>
      </c>
      <c r="F1261" t="s">
        <v>315</v>
      </c>
      <c r="G1261" t="s">
        <v>321</v>
      </c>
      <c r="I1261" t="s">
        <v>322</v>
      </c>
      <c r="K1261" t="s">
        <v>323</v>
      </c>
      <c r="M1261" t="s">
        <v>47</v>
      </c>
      <c r="N1261" s="1" t="e">
        <f t="shared" si="278"/>
        <v>#VALUE!</v>
      </c>
      <c r="O1261" s="1" t="e">
        <f t="shared" si="279"/>
        <v>#VALUE!</v>
      </c>
      <c r="P1261" s="1" t="e">
        <f t="shared" si="280"/>
        <v>#VALUE!</v>
      </c>
      <c r="Q1261" s="1" t="e">
        <f t="shared" si="281"/>
        <v>#VALUE!</v>
      </c>
      <c r="R1261" s="1" t="e">
        <f t="shared" si="282"/>
        <v>#VALUE!</v>
      </c>
      <c r="S1261" s="1" t="e">
        <f t="shared" si="283"/>
        <v>#VALUE!</v>
      </c>
      <c r="T1261" s="1" t="e">
        <f t="shared" si="284"/>
        <v>#VALUE!</v>
      </c>
      <c r="U1261" s="26" t="e">
        <f t="shared" si="285"/>
        <v>#VALUE!</v>
      </c>
      <c r="V1261" s="26" t="e">
        <f t="shared" si="286"/>
        <v>#VALUE!</v>
      </c>
      <c r="W1261" s="1" t="e">
        <f t="shared" si="287"/>
        <v>#VALUE!</v>
      </c>
      <c r="X1261" s="26" t="e">
        <f t="shared" si="288"/>
        <v>#VALUE!</v>
      </c>
      <c r="Y1261" s="26" t="e">
        <f t="shared" si="289"/>
        <v>#VALUE!</v>
      </c>
      <c r="Z1261" s="1" t="e">
        <f t="shared" si="290"/>
        <v>#VALUE!</v>
      </c>
      <c r="AA1261"/>
      <c r="AB1261"/>
    </row>
    <row r="1262" spans="1:28" x14ac:dyDescent="0.55000000000000004">
      <c r="A1262" s="1">
        <f t="shared" si="277"/>
        <v>1262</v>
      </c>
      <c r="B1262" t="s">
        <v>37</v>
      </c>
      <c r="C1262" t="s">
        <v>76</v>
      </c>
      <c r="D1262" t="s">
        <v>174</v>
      </c>
      <c r="E1262" t="s">
        <v>275</v>
      </c>
      <c r="F1262" t="s">
        <v>315</v>
      </c>
      <c r="G1262" t="s">
        <v>324</v>
      </c>
      <c r="I1262" t="s">
        <v>316</v>
      </c>
      <c r="K1262" t="s">
        <v>325</v>
      </c>
      <c r="M1262" t="s">
        <v>47</v>
      </c>
      <c r="N1262" s="1" t="e">
        <f t="shared" si="278"/>
        <v>#VALUE!</v>
      </c>
      <c r="O1262" s="1" t="e">
        <f t="shared" si="279"/>
        <v>#VALUE!</v>
      </c>
      <c r="P1262" s="1" t="e">
        <f t="shared" si="280"/>
        <v>#VALUE!</v>
      </c>
      <c r="Q1262" s="1" t="e">
        <f t="shared" si="281"/>
        <v>#VALUE!</v>
      </c>
      <c r="R1262" s="1" t="e">
        <f t="shared" si="282"/>
        <v>#VALUE!</v>
      </c>
      <c r="S1262" s="1" t="e">
        <f t="shared" si="283"/>
        <v>#VALUE!</v>
      </c>
      <c r="T1262" s="1" t="e">
        <f t="shared" si="284"/>
        <v>#VALUE!</v>
      </c>
      <c r="U1262" s="26" t="e">
        <f t="shared" si="285"/>
        <v>#VALUE!</v>
      </c>
      <c r="V1262" s="26" t="e">
        <f t="shared" si="286"/>
        <v>#VALUE!</v>
      </c>
      <c r="W1262" s="1" t="e">
        <f t="shared" si="287"/>
        <v>#VALUE!</v>
      </c>
      <c r="X1262" s="26" t="e">
        <f t="shared" si="288"/>
        <v>#VALUE!</v>
      </c>
      <c r="Y1262" s="26" t="e">
        <f t="shared" si="289"/>
        <v>#VALUE!</v>
      </c>
      <c r="Z1262" s="1" t="e">
        <f t="shared" si="290"/>
        <v>#VALUE!</v>
      </c>
      <c r="AA1262"/>
      <c r="AB1262"/>
    </row>
    <row r="1263" spans="1:28" x14ac:dyDescent="0.55000000000000004">
      <c r="A1263" s="1">
        <f t="shared" si="277"/>
        <v>1263</v>
      </c>
      <c r="B1263" t="s">
        <v>37</v>
      </c>
      <c r="C1263" t="s">
        <v>76</v>
      </c>
      <c r="D1263" t="s">
        <v>174</v>
      </c>
      <c r="E1263" t="s">
        <v>275</v>
      </c>
      <c r="F1263" t="s">
        <v>315</v>
      </c>
      <c r="G1263" t="s">
        <v>326</v>
      </c>
      <c r="I1263" t="s">
        <v>318</v>
      </c>
      <c r="K1263" t="s">
        <v>327</v>
      </c>
      <c r="M1263" t="s">
        <v>47</v>
      </c>
      <c r="N1263" s="1" t="e">
        <f t="shared" si="278"/>
        <v>#VALUE!</v>
      </c>
      <c r="O1263" s="1" t="e">
        <f t="shared" si="279"/>
        <v>#VALUE!</v>
      </c>
      <c r="P1263" s="1" t="e">
        <f t="shared" si="280"/>
        <v>#VALUE!</v>
      </c>
      <c r="Q1263" s="1" t="e">
        <f t="shared" si="281"/>
        <v>#VALUE!</v>
      </c>
      <c r="R1263" s="1" t="e">
        <f t="shared" si="282"/>
        <v>#VALUE!</v>
      </c>
      <c r="S1263" s="1" t="e">
        <f t="shared" si="283"/>
        <v>#VALUE!</v>
      </c>
      <c r="T1263" s="1" t="e">
        <f t="shared" si="284"/>
        <v>#VALUE!</v>
      </c>
      <c r="U1263" s="26" t="e">
        <f t="shared" si="285"/>
        <v>#VALUE!</v>
      </c>
      <c r="V1263" s="26" t="e">
        <f t="shared" si="286"/>
        <v>#VALUE!</v>
      </c>
      <c r="W1263" s="1" t="e">
        <f t="shared" si="287"/>
        <v>#VALUE!</v>
      </c>
      <c r="X1263" s="26" t="e">
        <f t="shared" si="288"/>
        <v>#VALUE!</v>
      </c>
      <c r="Y1263" s="26" t="e">
        <f t="shared" si="289"/>
        <v>#VALUE!</v>
      </c>
      <c r="Z1263" s="1" t="e">
        <f t="shared" si="290"/>
        <v>#VALUE!</v>
      </c>
      <c r="AA1263"/>
      <c r="AB1263"/>
    </row>
    <row r="1264" spans="1:28" x14ac:dyDescent="0.55000000000000004">
      <c r="A1264" s="1">
        <f t="shared" si="277"/>
        <v>1264</v>
      </c>
      <c r="B1264" t="s">
        <v>37</v>
      </c>
      <c r="C1264" t="s">
        <v>76</v>
      </c>
      <c r="D1264" t="s">
        <v>174</v>
      </c>
      <c r="E1264" t="s">
        <v>275</v>
      </c>
      <c r="F1264" t="s">
        <v>315</v>
      </c>
      <c r="G1264" t="s">
        <v>328</v>
      </c>
      <c r="I1264" t="s">
        <v>312</v>
      </c>
      <c r="K1264" t="s">
        <v>329</v>
      </c>
      <c r="M1264" t="s">
        <v>47</v>
      </c>
      <c r="N1264" s="1" t="e">
        <f t="shared" si="278"/>
        <v>#VALUE!</v>
      </c>
      <c r="O1264" s="1" t="e">
        <f t="shared" si="279"/>
        <v>#VALUE!</v>
      </c>
      <c r="P1264" s="1" t="e">
        <f t="shared" si="280"/>
        <v>#VALUE!</v>
      </c>
      <c r="Q1264" s="1" t="e">
        <f t="shared" si="281"/>
        <v>#VALUE!</v>
      </c>
      <c r="R1264" s="1" t="e">
        <f t="shared" si="282"/>
        <v>#VALUE!</v>
      </c>
      <c r="S1264" s="1" t="e">
        <f t="shared" si="283"/>
        <v>#VALUE!</v>
      </c>
      <c r="T1264" s="1" t="e">
        <f t="shared" si="284"/>
        <v>#VALUE!</v>
      </c>
      <c r="U1264" s="26" t="e">
        <f t="shared" si="285"/>
        <v>#VALUE!</v>
      </c>
      <c r="V1264" s="26" t="e">
        <f t="shared" si="286"/>
        <v>#VALUE!</v>
      </c>
      <c r="W1264" s="1" t="e">
        <f t="shared" si="287"/>
        <v>#VALUE!</v>
      </c>
      <c r="X1264" s="26" t="e">
        <f t="shared" si="288"/>
        <v>#VALUE!</v>
      </c>
      <c r="Y1264" s="26" t="e">
        <f t="shared" si="289"/>
        <v>#VALUE!</v>
      </c>
      <c r="Z1264" s="1" t="e">
        <f t="shared" si="290"/>
        <v>#VALUE!</v>
      </c>
      <c r="AA1264"/>
      <c r="AB1264"/>
    </row>
    <row r="1265" spans="1:28" x14ac:dyDescent="0.55000000000000004">
      <c r="A1265" s="1">
        <f t="shared" si="277"/>
        <v>1265</v>
      </c>
      <c r="B1265" t="s">
        <v>37</v>
      </c>
      <c r="C1265" t="s">
        <v>76</v>
      </c>
      <c r="D1265" t="s">
        <v>174</v>
      </c>
      <c r="E1265" t="s">
        <v>275</v>
      </c>
      <c r="F1265" t="s">
        <v>311</v>
      </c>
      <c r="G1265" t="s">
        <v>319</v>
      </c>
      <c r="I1265" t="s">
        <v>313</v>
      </c>
      <c r="K1265" t="s">
        <v>330</v>
      </c>
      <c r="M1265" t="s">
        <v>47</v>
      </c>
      <c r="N1265" s="1" t="e">
        <f t="shared" si="278"/>
        <v>#VALUE!</v>
      </c>
      <c r="O1265" s="1" t="e">
        <f t="shared" si="279"/>
        <v>#VALUE!</v>
      </c>
      <c r="P1265" s="1" t="e">
        <f t="shared" si="280"/>
        <v>#VALUE!</v>
      </c>
      <c r="Q1265" s="1" t="e">
        <f t="shared" si="281"/>
        <v>#VALUE!</v>
      </c>
      <c r="R1265" s="1" t="e">
        <f t="shared" si="282"/>
        <v>#VALUE!</v>
      </c>
      <c r="S1265" s="1" t="e">
        <f t="shared" si="283"/>
        <v>#VALUE!</v>
      </c>
      <c r="T1265" s="1" t="e">
        <f t="shared" si="284"/>
        <v>#VALUE!</v>
      </c>
      <c r="U1265" s="26" t="e">
        <f t="shared" si="285"/>
        <v>#VALUE!</v>
      </c>
      <c r="V1265" s="26" t="e">
        <f t="shared" si="286"/>
        <v>#VALUE!</v>
      </c>
      <c r="W1265" s="1" t="e">
        <f t="shared" si="287"/>
        <v>#VALUE!</v>
      </c>
      <c r="X1265" s="26" t="e">
        <f t="shared" si="288"/>
        <v>#VALUE!</v>
      </c>
      <c r="Y1265" s="26" t="e">
        <f t="shared" si="289"/>
        <v>#VALUE!</v>
      </c>
      <c r="Z1265" s="1" t="e">
        <f t="shared" si="290"/>
        <v>#VALUE!</v>
      </c>
      <c r="AA1265"/>
      <c r="AB1265"/>
    </row>
    <row r="1266" spans="1:28" x14ac:dyDescent="0.55000000000000004">
      <c r="A1266" s="1">
        <f t="shared" si="277"/>
        <v>1266</v>
      </c>
      <c r="B1266" t="s">
        <v>40</v>
      </c>
      <c r="C1266" t="s">
        <v>124</v>
      </c>
      <c r="D1266" t="s">
        <v>174</v>
      </c>
      <c r="E1266" t="s">
        <v>275</v>
      </c>
      <c r="F1266" t="s">
        <v>251</v>
      </c>
      <c r="G1266" t="s">
        <v>255</v>
      </c>
      <c r="I1266" t="s">
        <v>258</v>
      </c>
      <c r="K1266" t="s">
        <v>257</v>
      </c>
      <c r="M1266" t="s">
        <v>47</v>
      </c>
      <c r="N1266" s="1" t="e">
        <f t="shared" si="278"/>
        <v>#VALUE!</v>
      </c>
      <c r="O1266" s="1" t="e">
        <f t="shared" si="279"/>
        <v>#VALUE!</v>
      </c>
      <c r="P1266" s="1" t="e">
        <f t="shared" si="280"/>
        <v>#VALUE!</v>
      </c>
      <c r="Q1266" s="1" t="e">
        <f t="shared" si="281"/>
        <v>#VALUE!</v>
      </c>
      <c r="R1266" s="1" t="e">
        <f t="shared" si="282"/>
        <v>#VALUE!</v>
      </c>
      <c r="S1266" s="1" t="e">
        <f t="shared" si="283"/>
        <v>#VALUE!</v>
      </c>
      <c r="T1266" s="1" t="e">
        <f t="shared" si="284"/>
        <v>#VALUE!</v>
      </c>
      <c r="U1266" s="26" t="e">
        <f t="shared" si="285"/>
        <v>#VALUE!</v>
      </c>
      <c r="V1266" s="26" t="e">
        <f t="shared" si="286"/>
        <v>#VALUE!</v>
      </c>
      <c r="W1266" s="1" t="e">
        <f t="shared" si="287"/>
        <v>#VALUE!</v>
      </c>
      <c r="X1266" s="26" t="e">
        <f t="shared" si="288"/>
        <v>#VALUE!</v>
      </c>
      <c r="Y1266" s="26" t="e">
        <f t="shared" si="289"/>
        <v>#VALUE!</v>
      </c>
      <c r="Z1266" s="1" t="e">
        <f t="shared" si="290"/>
        <v>#VALUE!</v>
      </c>
      <c r="AA1266"/>
      <c r="AB1266"/>
    </row>
    <row r="1267" spans="1:28" x14ac:dyDescent="0.55000000000000004">
      <c r="A1267" s="1">
        <f t="shared" si="277"/>
        <v>1267</v>
      </c>
      <c r="B1267" t="s">
        <v>30</v>
      </c>
      <c r="C1267" t="s">
        <v>119</v>
      </c>
      <c r="D1267" t="s">
        <v>133</v>
      </c>
      <c r="E1267" t="s">
        <v>349</v>
      </c>
      <c r="F1267" t="s">
        <v>350</v>
      </c>
      <c r="G1267" t="s">
        <v>60</v>
      </c>
      <c r="I1267" t="s">
        <v>63</v>
      </c>
      <c r="K1267" t="s">
        <v>62</v>
      </c>
      <c r="M1267" t="s">
        <v>47</v>
      </c>
      <c r="N1267" s="1" t="e">
        <f t="shared" si="278"/>
        <v>#VALUE!</v>
      </c>
      <c r="O1267" s="1" t="e">
        <f t="shared" si="279"/>
        <v>#VALUE!</v>
      </c>
      <c r="P1267" s="1" t="e">
        <f t="shared" si="280"/>
        <v>#VALUE!</v>
      </c>
      <c r="Q1267" s="1" t="e">
        <f t="shared" si="281"/>
        <v>#VALUE!</v>
      </c>
      <c r="R1267" s="1" t="e">
        <f t="shared" si="282"/>
        <v>#VALUE!</v>
      </c>
      <c r="S1267" s="1" t="e">
        <f t="shared" si="283"/>
        <v>#VALUE!</v>
      </c>
      <c r="T1267" s="1" t="e">
        <f t="shared" si="284"/>
        <v>#VALUE!</v>
      </c>
      <c r="U1267" s="26" t="e">
        <f t="shared" si="285"/>
        <v>#VALUE!</v>
      </c>
      <c r="V1267" s="26" t="e">
        <f t="shared" si="286"/>
        <v>#VALUE!</v>
      </c>
      <c r="W1267" s="1" t="e">
        <f t="shared" si="287"/>
        <v>#VALUE!</v>
      </c>
      <c r="X1267" s="26" t="e">
        <f t="shared" si="288"/>
        <v>#VALUE!</v>
      </c>
      <c r="Y1267" s="26" t="e">
        <f t="shared" si="289"/>
        <v>#VALUE!</v>
      </c>
      <c r="Z1267" s="1" t="e">
        <f t="shared" si="290"/>
        <v>#VALUE!</v>
      </c>
      <c r="AA1267"/>
      <c r="AB1267"/>
    </row>
    <row r="1268" spans="1:28" x14ac:dyDescent="0.55000000000000004">
      <c r="A1268" s="1">
        <f t="shared" si="277"/>
        <v>1268</v>
      </c>
      <c r="B1268" t="s">
        <v>30</v>
      </c>
      <c r="C1268" t="s">
        <v>119</v>
      </c>
      <c r="D1268" t="s">
        <v>133</v>
      </c>
      <c r="E1268" t="s">
        <v>349</v>
      </c>
      <c r="F1268" t="s">
        <v>347</v>
      </c>
      <c r="G1268" t="s">
        <v>55</v>
      </c>
      <c r="I1268" t="s">
        <v>49</v>
      </c>
      <c r="K1268" t="s">
        <v>75</v>
      </c>
      <c r="M1268" t="s">
        <v>47</v>
      </c>
      <c r="N1268" s="1" t="e">
        <f t="shared" si="278"/>
        <v>#VALUE!</v>
      </c>
      <c r="O1268" s="1" t="e">
        <f t="shared" si="279"/>
        <v>#VALUE!</v>
      </c>
      <c r="P1268" s="1" t="e">
        <f t="shared" si="280"/>
        <v>#VALUE!</v>
      </c>
      <c r="Q1268" s="1" t="e">
        <f t="shared" si="281"/>
        <v>#VALUE!</v>
      </c>
      <c r="R1268" s="1" t="e">
        <f t="shared" si="282"/>
        <v>#VALUE!</v>
      </c>
      <c r="S1268" s="1" t="e">
        <f t="shared" si="283"/>
        <v>#VALUE!</v>
      </c>
      <c r="T1268" s="1" t="e">
        <f t="shared" si="284"/>
        <v>#VALUE!</v>
      </c>
      <c r="U1268" s="26" t="e">
        <f t="shared" si="285"/>
        <v>#VALUE!</v>
      </c>
      <c r="V1268" s="26" t="e">
        <f t="shared" si="286"/>
        <v>#VALUE!</v>
      </c>
      <c r="W1268" s="1" t="e">
        <f t="shared" si="287"/>
        <v>#VALUE!</v>
      </c>
      <c r="X1268" s="26" t="e">
        <f t="shared" si="288"/>
        <v>#VALUE!</v>
      </c>
      <c r="Y1268" s="26" t="e">
        <f t="shared" si="289"/>
        <v>#VALUE!</v>
      </c>
      <c r="Z1268" s="1" t="e">
        <f t="shared" si="290"/>
        <v>#VALUE!</v>
      </c>
      <c r="AA1268"/>
      <c r="AB1268"/>
    </row>
    <row r="1269" spans="1:28" x14ac:dyDescent="0.55000000000000004">
      <c r="A1269" s="1">
        <f t="shared" si="277"/>
        <v>1269</v>
      </c>
      <c r="B1269" t="s">
        <v>31</v>
      </c>
      <c r="C1269" t="s">
        <v>197</v>
      </c>
      <c r="D1269" t="s">
        <v>133</v>
      </c>
      <c r="E1269" t="s">
        <v>349</v>
      </c>
      <c r="F1269" t="s">
        <v>357</v>
      </c>
      <c r="G1269" t="s">
        <v>139</v>
      </c>
      <c r="I1269" t="s">
        <v>151</v>
      </c>
      <c r="K1269" t="s">
        <v>143</v>
      </c>
      <c r="M1269" t="s">
        <v>47</v>
      </c>
      <c r="N1269" s="1" t="e">
        <f t="shared" si="278"/>
        <v>#VALUE!</v>
      </c>
      <c r="O1269" s="1" t="e">
        <f t="shared" si="279"/>
        <v>#VALUE!</v>
      </c>
      <c r="P1269" s="1" t="e">
        <f t="shared" si="280"/>
        <v>#VALUE!</v>
      </c>
      <c r="Q1269" s="1" t="e">
        <f t="shared" si="281"/>
        <v>#VALUE!</v>
      </c>
      <c r="R1269" s="1" t="e">
        <f t="shared" si="282"/>
        <v>#VALUE!</v>
      </c>
      <c r="S1269" s="1" t="e">
        <f t="shared" si="283"/>
        <v>#VALUE!</v>
      </c>
      <c r="T1269" s="1" t="e">
        <f t="shared" si="284"/>
        <v>#VALUE!</v>
      </c>
      <c r="U1269" s="26" t="e">
        <f t="shared" si="285"/>
        <v>#VALUE!</v>
      </c>
      <c r="V1269" s="26" t="e">
        <f t="shared" si="286"/>
        <v>#VALUE!</v>
      </c>
      <c r="W1269" s="1" t="e">
        <f t="shared" si="287"/>
        <v>#VALUE!</v>
      </c>
      <c r="X1269" s="26" t="e">
        <f t="shared" si="288"/>
        <v>#VALUE!</v>
      </c>
      <c r="Y1269" s="26" t="e">
        <f t="shared" si="289"/>
        <v>#VALUE!</v>
      </c>
      <c r="Z1269" s="1" t="e">
        <f t="shared" si="290"/>
        <v>#VALUE!</v>
      </c>
      <c r="AA1269"/>
      <c r="AB1269"/>
    </row>
    <row r="1270" spans="1:28" x14ac:dyDescent="0.55000000000000004">
      <c r="A1270" s="1">
        <f t="shared" si="277"/>
        <v>1270</v>
      </c>
      <c r="B1270" t="s">
        <v>31</v>
      </c>
      <c r="C1270" t="s">
        <v>197</v>
      </c>
      <c r="D1270" t="s">
        <v>133</v>
      </c>
      <c r="E1270" t="s">
        <v>349</v>
      </c>
      <c r="F1270" t="s">
        <v>274</v>
      </c>
      <c r="G1270" t="s">
        <v>136</v>
      </c>
      <c r="I1270" t="s">
        <v>141</v>
      </c>
      <c r="K1270" t="s">
        <v>158</v>
      </c>
      <c r="M1270" t="s">
        <v>47</v>
      </c>
      <c r="N1270" s="1" t="e">
        <f t="shared" si="278"/>
        <v>#VALUE!</v>
      </c>
      <c r="O1270" s="1" t="e">
        <f t="shared" si="279"/>
        <v>#VALUE!</v>
      </c>
      <c r="P1270" s="1" t="e">
        <f t="shared" si="280"/>
        <v>#VALUE!</v>
      </c>
      <c r="Q1270" s="1" t="e">
        <f t="shared" si="281"/>
        <v>#VALUE!</v>
      </c>
      <c r="R1270" s="1" t="e">
        <f t="shared" si="282"/>
        <v>#VALUE!</v>
      </c>
      <c r="S1270" s="1" t="e">
        <f t="shared" si="283"/>
        <v>#VALUE!</v>
      </c>
      <c r="T1270" s="1" t="e">
        <f t="shared" si="284"/>
        <v>#VALUE!</v>
      </c>
      <c r="U1270" s="26" t="e">
        <f t="shared" si="285"/>
        <v>#VALUE!</v>
      </c>
      <c r="V1270" s="26" t="e">
        <f t="shared" si="286"/>
        <v>#VALUE!</v>
      </c>
      <c r="W1270" s="1" t="e">
        <f t="shared" si="287"/>
        <v>#VALUE!</v>
      </c>
      <c r="X1270" s="26" t="e">
        <f t="shared" si="288"/>
        <v>#VALUE!</v>
      </c>
      <c r="Y1270" s="26" t="e">
        <f t="shared" si="289"/>
        <v>#VALUE!</v>
      </c>
      <c r="Z1270" s="1" t="e">
        <f t="shared" si="290"/>
        <v>#VALUE!</v>
      </c>
      <c r="AA1270"/>
      <c r="AB1270"/>
    </row>
    <row r="1271" spans="1:28" x14ac:dyDescent="0.55000000000000004">
      <c r="A1271" s="1">
        <f t="shared" si="277"/>
        <v>1271</v>
      </c>
      <c r="B1271" t="s">
        <v>33</v>
      </c>
      <c r="C1271" t="s">
        <v>130</v>
      </c>
      <c r="D1271" t="s">
        <v>133</v>
      </c>
      <c r="E1271" t="s">
        <v>349</v>
      </c>
      <c r="F1271" t="s">
        <v>364</v>
      </c>
      <c r="G1271" t="s">
        <v>285</v>
      </c>
      <c r="I1271" t="s">
        <v>360</v>
      </c>
      <c r="K1271" t="s">
        <v>359</v>
      </c>
      <c r="M1271" t="s">
        <v>47</v>
      </c>
      <c r="N1271" s="1" t="e">
        <f t="shared" si="278"/>
        <v>#VALUE!</v>
      </c>
      <c r="O1271" s="1" t="e">
        <f t="shared" si="279"/>
        <v>#VALUE!</v>
      </c>
      <c r="P1271" s="1" t="e">
        <f t="shared" si="280"/>
        <v>#VALUE!</v>
      </c>
      <c r="Q1271" s="1" t="e">
        <f t="shared" si="281"/>
        <v>#VALUE!</v>
      </c>
      <c r="R1271" s="1" t="e">
        <f t="shared" si="282"/>
        <v>#VALUE!</v>
      </c>
      <c r="S1271" s="1" t="e">
        <f t="shared" si="283"/>
        <v>#VALUE!</v>
      </c>
      <c r="T1271" s="1" t="e">
        <f t="shared" si="284"/>
        <v>#VALUE!</v>
      </c>
      <c r="U1271" s="26" t="e">
        <f t="shared" si="285"/>
        <v>#VALUE!</v>
      </c>
      <c r="V1271" s="26" t="e">
        <f t="shared" si="286"/>
        <v>#VALUE!</v>
      </c>
      <c r="W1271" s="1" t="e">
        <f t="shared" si="287"/>
        <v>#VALUE!</v>
      </c>
      <c r="X1271" s="26" t="e">
        <f t="shared" si="288"/>
        <v>#VALUE!</v>
      </c>
      <c r="Y1271" s="26" t="e">
        <f t="shared" si="289"/>
        <v>#VALUE!</v>
      </c>
      <c r="Z1271" s="1" t="e">
        <f t="shared" si="290"/>
        <v>#VALUE!</v>
      </c>
      <c r="AA1271"/>
      <c r="AB1271"/>
    </row>
    <row r="1272" spans="1:28" x14ac:dyDescent="0.55000000000000004">
      <c r="A1272" s="1">
        <f t="shared" si="277"/>
        <v>1272</v>
      </c>
      <c r="B1272" t="s">
        <v>33</v>
      </c>
      <c r="C1272" t="s">
        <v>130</v>
      </c>
      <c r="D1272" t="s">
        <v>133</v>
      </c>
      <c r="E1272" t="s">
        <v>349</v>
      </c>
      <c r="F1272" t="s">
        <v>277</v>
      </c>
      <c r="G1272" t="s">
        <v>296</v>
      </c>
      <c r="I1272" t="s">
        <v>287</v>
      </c>
      <c r="K1272" t="s">
        <v>297</v>
      </c>
      <c r="M1272" t="s">
        <v>47</v>
      </c>
      <c r="N1272" s="1" t="e">
        <f t="shared" si="278"/>
        <v>#VALUE!</v>
      </c>
      <c r="O1272" s="1" t="e">
        <f t="shared" si="279"/>
        <v>#VALUE!</v>
      </c>
      <c r="P1272" s="1" t="e">
        <f t="shared" si="280"/>
        <v>#VALUE!</v>
      </c>
      <c r="Q1272" s="1" t="e">
        <f t="shared" si="281"/>
        <v>#VALUE!</v>
      </c>
      <c r="R1272" s="1" t="e">
        <f t="shared" si="282"/>
        <v>#VALUE!</v>
      </c>
      <c r="S1272" s="1" t="e">
        <f t="shared" si="283"/>
        <v>#VALUE!</v>
      </c>
      <c r="T1272" s="1" t="e">
        <f t="shared" si="284"/>
        <v>#VALUE!</v>
      </c>
      <c r="U1272" s="26" t="e">
        <f t="shared" si="285"/>
        <v>#VALUE!</v>
      </c>
      <c r="V1272" s="26" t="e">
        <f t="shared" si="286"/>
        <v>#VALUE!</v>
      </c>
      <c r="W1272" s="1" t="e">
        <f t="shared" si="287"/>
        <v>#VALUE!</v>
      </c>
      <c r="X1272" s="26" t="e">
        <f t="shared" si="288"/>
        <v>#VALUE!</v>
      </c>
      <c r="Y1272" s="26" t="e">
        <f t="shared" si="289"/>
        <v>#VALUE!</v>
      </c>
      <c r="Z1272" s="1" t="e">
        <f t="shared" si="290"/>
        <v>#VALUE!</v>
      </c>
      <c r="AA1272"/>
      <c r="AB1272"/>
    </row>
    <row r="1273" spans="1:28" x14ac:dyDescent="0.55000000000000004">
      <c r="A1273" s="1">
        <f t="shared" si="277"/>
        <v>1273</v>
      </c>
      <c r="B1273" t="s">
        <v>33</v>
      </c>
      <c r="C1273" t="s">
        <v>130</v>
      </c>
      <c r="D1273" t="s">
        <v>133</v>
      </c>
      <c r="E1273" t="s">
        <v>349</v>
      </c>
      <c r="F1273" t="s">
        <v>277</v>
      </c>
      <c r="G1273" t="s">
        <v>279</v>
      </c>
      <c r="I1273" t="s">
        <v>362</v>
      </c>
      <c r="K1273" t="s">
        <v>294</v>
      </c>
      <c r="M1273" t="s">
        <v>47</v>
      </c>
      <c r="N1273" s="1" t="e">
        <f t="shared" si="278"/>
        <v>#VALUE!</v>
      </c>
      <c r="O1273" s="1" t="e">
        <f t="shared" si="279"/>
        <v>#VALUE!</v>
      </c>
      <c r="P1273" s="1" t="e">
        <f t="shared" si="280"/>
        <v>#VALUE!</v>
      </c>
      <c r="Q1273" s="1" t="e">
        <f t="shared" si="281"/>
        <v>#VALUE!</v>
      </c>
      <c r="R1273" s="1" t="e">
        <f t="shared" si="282"/>
        <v>#VALUE!</v>
      </c>
      <c r="S1273" s="1" t="e">
        <f t="shared" si="283"/>
        <v>#VALUE!</v>
      </c>
      <c r="T1273" s="1" t="e">
        <f t="shared" si="284"/>
        <v>#VALUE!</v>
      </c>
      <c r="U1273" s="26" t="e">
        <f t="shared" si="285"/>
        <v>#VALUE!</v>
      </c>
      <c r="V1273" s="26" t="e">
        <f t="shared" si="286"/>
        <v>#VALUE!</v>
      </c>
      <c r="W1273" s="1" t="e">
        <f t="shared" si="287"/>
        <v>#VALUE!</v>
      </c>
      <c r="X1273" s="26" t="e">
        <f t="shared" si="288"/>
        <v>#VALUE!</v>
      </c>
      <c r="Y1273" s="26" t="e">
        <f t="shared" si="289"/>
        <v>#VALUE!</v>
      </c>
      <c r="Z1273" s="1" t="e">
        <f t="shared" si="290"/>
        <v>#VALUE!</v>
      </c>
      <c r="AA1273"/>
      <c r="AB1273"/>
    </row>
    <row r="1274" spans="1:28" x14ac:dyDescent="0.55000000000000004">
      <c r="A1274" s="1">
        <f t="shared" si="277"/>
        <v>1274</v>
      </c>
      <c r="B1274" t="s">
        <v>33</v>
      </c>
      <c r="C1274" t="s">
        <v>130</v>
      </c>
      <c r="D1274" t="s">
        <v>133</v>
      </c>
      <c r="E1274" t="s">
        <v>349</v>
      </c>
      <c r="F1274" t="s">
        <v>290</v>
      </c>
      <c r="G1274" t="s">
        <v>365</v>
      </c>
      <c r="I1274" t="s">
        <v>367</v>
      </c>
      <c r="K1274" t="s">
        <v>369</v>
      </c>
      <c r="M1274" t="s">
        <v>47</v>
      </c>
      <c r="N1274" s="1" t="e">
        <f t="shared" si="278"/>
        <v>#VALUE!</v>
      </c>
      <c r="O1274" s="1" t="e">
        <f t="shared" si="279"/>
        <v>#VALUE!</v>
      </c>
      <c r="P1274" s="1" t="e">
        <f t="shared" si="280"/>
        <v>#VALUE!</v>
      </c>
      <c r="Q1274" s="1" t="e">
        <f t="shared" si="281"/>
        <v>#VALUE!</v>
      </c>
      <c r="R1274" s="1" t="e">
        <f t="shared" si="282"/>
        <v>#VALUE!</v>
      </c>
      <c r="S1274" s="1" t="e">
        <f t="shared" si="283"/>
        <v>#VALUE!</v>
      </c>
      <c r="T1274" s="1" t="e">
        <f t="shared" si="284"/>
        <v>#VALUE!</v>
      </c>
      <c r="U1274" s="26" t="e">
        <f t="shared" si="285"/>
        <v>#VALUE!</v>
      </c>
      <c r="V1274" s="26" t="e">
        <f t="shared" si="286"/>
        <v>#VALUE!</v>
      </c>
      <c r="W1274" s="1" t="e">
        <f t="shared" si="287"/>
        <v>#VALUE!</v>
      </c>
      <c r="X1274" s="26" t="e">
        <f t="shared" si="288"/>
        <v>#VALUE!</v>
      </c>
      <c r="Y1274" s="26" t="e">
        <f t="shared" si="289"/>
        <v>#VALUE!</v>
      </c>
      <c r="Z1274" s="1" t="e">
        <f t="shared" si="290"/>
        <v>#VALUE!</v>
      </c>
      <c r="AA1274"/>
      <c r="AB1274"/>
    </row>
    <row r="1275" spans="1:28" x14ac:dyDescent="0.55000000000000004">
      <c r="A1275" s="1">
        <f t="shared" si="277"/>
        <v>1275</v>
      </c>
      <c r="B1275" t="s">
        <v>35</v>
      </c>
      <c r="C1275" t="s">
        <v>120</v>
      </c>
      <c r="D1275" t="s">
        <v>133</v>
      </c>
      <c r="E1275" t="s">
        <v>349</v>
      </c>
      <c r="F1275" t="s">
        <v>380</v>
      </c>
      <c r="G1275" t="s">
        <v>214</v>
      </c>
      <c r="I1275" t="s">
        <v>204</v>
      </c>
      <c r="K1275" t="s">
        <v>301</v>
      </c>
      <c r="M1275" t="s">
        <v>47</v>
      </c>
      <c r="N1275" s="1" t="e">
        <f t="shared" si="278"/>
        <v>#VALUE!</v>
      </c>
      <c r="O1275" s="1" t="e">
        <f t="shared" si="279"/>
        <v>#VALUE!</v>
      </c>
      <c r="P1275" s="1" t="e">
        <f t="shared" si="280"/>
        <v>#VALUE!</v>
      </c>
      <c r="Q1275" s="1" t="e">
        <f t="shared" si="281"/>
        <v>#VALUE!</v>
      </c>
      <c r="R1275" s="1" t="e">
        <f t="shared" si="282"/>
        <v>#VALUE!</v>
      </c>
      <c r="S1275" s="1" t="e">
        <f t="shared" si="283"/>
        <v>#VALUE!</v>
      </c>
      <c r="T1275" s="1" t="e">
        <f t="shared" si="284"/>
        <v>#VALUE!</v>
      </c>
      <c r="U1275" s="26" t="e">
        <f t="shared" si="285"/>
        <v>#VALUE!</v>
      </c>
      <c r="V1275" s="26" t="e">
        <f t="shared" si="286"/>
        <v>#VALUE!</v>
      </c>
      <c r="W1275" s="1" t="e">
        <f t="shared" si="287"/>
        <v>#VALUE!</v>
      </c>
      <c r="X1275" s="26" t="e">
        <f t="shared" si="288"/>
        <v>#VALUE!</v>
      </c>
      <c r="Y1275" s="26" t="e">
        <f t="shared" si="289"/>
        <v>#VALUE!</v>
      </c>
      <c r="Z1275" s="1" t="e">
        <f t="shared" si="290"/>
        <v>#VALUE!</v>
      </c>
      <c r="AA1275"/>
      <c r="AB1275"/>
    </row>
    <row r="1276" spans="1:28" x14ac:dyDescent="0.55000000000000004">
      <c r="A1276" s="1">
        <f t="shared" si="277"/>
        <v>1276</v>
      </c>
      <c r="B1276" t="s">
        <v>35</v>
      </c>
      <c r="C1276" t="s">
        <v>120</v>
      </c>
      <c r="D1276" t="s">
        <v>133</v>
      </c>
      <c r="E1276" t="s">
        <v>349</v>
      </c>
      <c r="F1276" t="s">
        <v>376</v>
      </c>
      <c r="G1276" t="s">
        <v>208</v>
      </c>
      <c r="I1276" t="s">
        <v>213</v>
      </c>
      <c r="K1276" t="s">
        <v>381</v>
      </c>
      <c r="M1276" t="s">
        <v>47</v>
      </c>
      <c r="N1276" s="1" t="e">
        <f t="shared" si="278"/>
        <v>#VALUE!</v>
      </c>
      <c r="O1276" s="1" t="e">
        <f t="shared" si="279"/>
        <v>#VALUE!</v>
      </c>
      <c r="P1276" s="1" t="e">
        <f t="shared" si="280"/>
        <v>#VALUE!</v>
      </c>
      <c r="Q1276" s="1" t="e">
        <f t="shared" si="281"/>
        <v>#VALUE!</v>
      </c>
      <c r="R1276" s="1" t="e">
        <f t="shared" si="282"/>
        <v>#VALUE!</v>
      </c>
      <c r="S1276" s="1" t="e">
        <f t="shared" si="283"/>
        <v>#VALUE!</v>
      </c>
      <c r="T1276" s="1" t="e">
        <f t="shared" si="284"/>
        <v>#VALUE!</v>
      </c>
      <c r="U1276" s="26" t="e">
        <f t="shared" si="285"/>
        <v>#VALUE!</v>
      </c>
      <c r="V1276" s="26" t="e">
        <f t="shared" si="286"/>
        <v>#VALUE!</v>
      </c>
      <c r="W1276" s="1" t="e">
        <f t="shared" si="287"/>
        <v>#VALUE!</v>
      </c>
      <c r="X1276" s="26" t="e">
        <f t="shared" si="288"/>
        <v>#VALUE!</v>
      </c>
      <c r="Y1276" s="26" t="e">
        <f t="shared" si="289"/>
        <v>#VALUE!</v>
      </c>
      <c r="Z1276" s="1" t="e">
        <f t="shared" si="290"/>
        <v>#VALUE!</v>
      </c>
      <c r="AA1276"/>
      <c r="AB1276"/>
    </row>
    <row r="1277" spans="1:28" x14ac:dyDescent="0.55000000000000004">
      <c r="A1277" s="1">
        <f t="shared" si="277"/>
        <v>1277</v>
      </c>
      <c r="B1277" t="s">
        <v>35</v>
      </c>
      <c r="C1277" t="s">
        <v>120</v>
      </c>
      <c r="D1277" t="s">
        <v>133</v>
      </c>
      <c r="E1277" t="s">
        <v>349</v>
      </c>
      <c r="F1277" t="s">
        <v>375</v>
      </c>
      <c r="G1277" t="s">
        <v>307</v>
      </c>
      <c r="I1277" t="s">
        <v>211</v>
      </c>
      <c r="K1277" t="s">
        <v>379</v>
      </c>
      <c r="M1277" t="s">
        <v>47</v>
      </c>
      <c r="N1277" s="1" t="e">
        <f t="shared" si="278"/>
        <v>#VALUE!</v>
      </c>
      <c r="O1277" s="1" t="e">
        <f t="shared" si="279"/>
        <v>#VALUE!</v>
      </c>
      <c r="P1277" s="1" t="e">
        <f t="shared" si="280"/>
        <v>#VALUE!</v>
      </c>
      <c r="Q1277" s="1" t="e">
        <f t="shared" si="281"/>
        <v>#VALUE!</v>
      </c>
      <c r="R1277" s="1" t="e">
        <f t="shared" si="282"/>
        <v>#VALUE!</v>
      </c>
      <c r="S1277" s="1" t="e">
        <f t="shared" si="283"/>
        <v>#VALUE!</v>
      </c>
      <c r="T1277" s="1" t="e">
        <f t="shared" si="284"/>
        <v>#VALUE!</v>
      </c>
      <c r="U1277" s="26" t="e">
        <f t="shared" si="285"/>
        <v>#VALUE!</v>
      </c>
      <c r="V1277" s="26" t="e">
        <f t="shared" si="286"/>
        <v>#VALUE!</v>
      </c>
      <c r="W1277" s="1" t="e">
        <f t="shared" si="287"/>
        <v>#VALUE!</v>
      </c>
      <c r="X1277" s="26" t="e">
        <f t="shared" si="288"/>
        <v>#VALUE!</v>
      </c>
      <c r="Y1277" s="26" t="e">
        <f t="shared" si="289"/>
        <v>#VALUE!</v>
      </c>
      <c r="Z1277" s="1" t="e">
        <f t="shared" si="290"/>
        <v>#VALUE!</v>
      </c>
      <c r="AA1277"/>
      <c r="AB1277"/>
    </row>
    <row r="1278" spans="1:28" x14ac:dyDescent="0.55000000000000004">
      <c r="A1278" s="1">
        <f t="shared" si="277"/>
        <v>1278</v>
      </c>
      <c r="B1278" t="s">
        <v>39</v>
      </c>
      <c r="C1278" t="s">
        <v>130</v>
      </c>
      <c r="D1278" t="s">
        <v>133</v>
      </c>
      <c r="E1278" t="s">
        <v>349</v>
      </c>
      <c r="F1278" t="s">
        <v>218</v>
      </c>
      <c r="G1278" t="s">
        <v>234</v>
      </c>
      <c r="I1278" t="s">
        <v>231</v>
      </c>
      <c r="K1278" t="s">
        <v>236</v>
      </c>
      <c r="M1278" t="s">
        <v>47</v>
      </c>
      <c r="N1278" s="1" t="e">
        <f t="shared" si="278"/>
        <v>#VALUE!</v>
      </c>
      <c r="O1278" s="1" t="e">
        <f t="shared" si="279"/>
        <v>#VALUE!</v>
      </c>
      <c r="P1278" s="1" t="e">
        <f t="shared" si="280"/>
        <v>#VALUE!</v>
      </c>
      <c r="Q1278" s="1" t="e">
        <f t="shared" si="281"/>
        <v>#VALUE!</v>
      </c>
      <c r="R1278" s="1" t="e">
        <f t="shared" si="282"/>
        <v>#VALUE!</v>
      </c>
      <c r="S1278" s="1" t="e">
        <f t="shared" si="283"/>
        <v>#VALUE!</v>
      </c>
      <c r="T1278" s="1" t="e">
        <f t="shared" si="284"/>
        <v>#VALUE!</v>
      </c>
      <c r="U1278" s="26" t="e">
        <f t="shared" si="285"/>
        <v>#VALUE!</v>
      </c>
      <c r="V1278" s="26" t="e">
        <f t="shared" si="286"/>
        <v>#VALUE!</v>
      </c>
      <c r="W1278" s="1" t="e">
        <f t="shared" si="287"/>
        <v>#VALUE!</v>
      </c>
      <c r="X1278" s="26" t="e">
        <f t="shared" si="288"/>
        <v>#VALUE!</v>
      </c>
      <c r="Y1278" s="26" t="e">
        <f t="shared" si="289"/>
        <v>#VALUE!</v>
      </c>
      <c r="Z1278" s="1" t="e">
        <f t="shared" si="290"/>
        <v>#VALUE!</v>
      </c>
      <c r="AA1278"/>
      <c r="AB1278"/>
    </row>
    <row r="1279" spans="1:28" x14ac:dyDescent="0.55000000000000004">
      <c r="A1279" s="1">
        <f t="shared" si="277"/>
        <v>1279</v>
      </c>
      <c r="B1279" t="s">
        <v>39</v>
      </c>
      <c r="C1279" t="s">
        <v>130</v>
      </c>
      <c r="D1279" t="s">
        <v>133</v>
      </c>
      <c r="E1279" t="s">
        <v>349</v>
      </c>
      <c r="F1279" t="s">
        <v>218</v>
      </c>
      <c r="G1279" t="s">
        <v>225</v>
      </c>
      <c r="I1279" t="s">
        <v>219</v>
      </c>
      <c r="K1279" t="s">
        <v>227</v>
      </c>
      <c r="M1279" t="s">
        <v>47</v>
      </c>
      <c r="N1279" s="1" t="e">
        <f t="shared" si="278"/>
        <v>#VALUE!</v>
      </c>
      <c r="O1279" s="1" t="e">
        <f t="shared" si="279"/>
        <v>#VALUE!</v>
      </c>
      <c r="P1279" s="1" t="e">
        <f t="shared" si="280"/>
        <v>#VALUE!</v>
      </c>
      <c r="Q1279" s="1" t="e">
        <f t="shared" si="281"/>
        <v>#VALUE!</v>
      </c>
      <c r="R1279" s="1" t="e">
        <f t="shared" si="282"/>
        <v>#VALUE!</v>
      </c>
      <c r="S1279" s="1" t="e">
        <f t="shared" si="283"/>
        <v>#VALUE!</v>
      </c>
      <c r="T1279" s="1" t="e">
        <f t="shared" si="284"/>
        <v>#VALUE!</v>
      </c>
      <c r="U1279" s="26" t="e">
        <f t="shared" si="285"/>
        <v>#VALUE!</v>
      </c>
      <c r="V1279" s="26" t="e">
        <f t="shared" si="286"/>
        <v>#VALUE!</v>
      </c>
      <c r="W1279" s="1" t="e">
        <f t="shared" si="287"/>
        <v>#VALUE!</v>
      </c>
      <c r="X1279" s="26" t="e">
        <f t="shared" si="288"/>
        <v>#VALUE!</v>
      </c>
      <c r="Y1279" s="26" t="e">
        <f t="shared" si="289"/>
        <v>#VALUE!</v>
      </c>
      <c r="Z1279" s="1" t="e">
        <f t="shared" si="290"/>
        <v>#VALUE!</v>
      </c>
      <c r="AA1279"/>
      <c r="AB1279"/>
    </row>
    <row r="1280" spans="1:28" x14ac:dyDescent="0.55000000000000004">
      <c r="A1280" s="1">
        <f t="shared" si="277"/>
        <v>1280</v>
      </c>
      <c r="B1280" t="s">
        <v>39</v>
      </c>
      <c r="C1280" t="s">
        <v>130</v>
      </c>
      <c r="D1280" t="s">
        <v>133</v>
      </c>
      <c r="E1280" t="s">
        <v>349</v>
      </c>
      <c r="F1280" t="s">
        <v>218</v>
      </c>
      <c r="G1280" t="s">
        <v>235</v>
      </c>
      <c r="I1280" t="s">
        <v>226</v>
      </c>
      <c r="K1280" t="s">
        <v>242</v>
      </c>
      <c r="M1280" t="s">
        <v>47</v>
      </c>
      <c r="N1280" s="1" t="e">
        <f t="shared" si="278"/>
        <v>#VALUE!</v>
      </c>
      <c r="O1280" s="1" t="e">
        <f t="shared" si="279"/>
        <v>#VALUE!</v>
      </c>
      <c r="P1280" s="1" t="e">
        <f t="shared" si="280"/>
        <v>#VALUE!</v>
      </c>
      <c r="Q1280" s="1" t="e">
        <f t="shared" si="281"/>
        <v>#VALUE!</v>
      </c>
      <c r="R1280" s="1" t="e">
        <f t="shared" si="282"/>
        <v>#VALUE!</v>
      </c>
      <c r="S1280" s="1" t="e">
        <f t="shared" si="283"/>
        <v>#VALUE!</v>
      </c>
      <c r="T1280" s="1" t="e">
        <f t="shared" si="284"/>
        <v>#VALUE!</v>
      </c>
      <c r="U1280" s="26" t="e">
        <f t="shared" si="285"/>
        <v>#VALUE!</v>
      </c>
      <c r="V1280" s="26" t="e">
        <f t="shared" si="286"/>
        <v>#VALUE!</v>
      </c>
      <c r="W1280" s="1" t="e">
        <f t="shared" si="287"/>
        <v>#VALUE!</v>
      </c>
      <c r="X1280" s="26" t="e">
        <f t="shared" si="288"/>
        <v>#VALUE!</v>
      </c>
      <c r="Y1280" s="26" t="e">
        <f t="shared" si="289"/>
        <v>#VALUE!</v>
      </c>
      <c r="Z1280" s="1" t="e">
        <f t="shared" si="290"/>
        <v>#VALUE!</v>
      </c>
      <c r="AA1280"/>
      <c r="AB1280"/>
    </row>
    <row r="1281" spans="1:28" x14ac:dyDescent="0.55000000000000004">
      <c r="A1281" s="1">
        <f t="shared" si="277"/>
        <v>1281</v>
      </c>
      <c r="B1281" t="s">
        <v>39</v>
      </c>
      <c r="C1281" t="s">
        <v>130</v>
      </c>
      <c r="D1281" t="s">
        <v>133</v>
      </c>
      <c r="E1281" t="s">
        <v>349</v>
      </c>
      <c r="F1281" t="s">
        <v>218</v>
      </c>
      <c r="G1281" t="s">
        <v>232</v>
      </c>
      <c r="I1281" t="s">
        <v>228</v>
      </c>
      <c r="K1281" t="s">
        <v>238</v>
      </c>
      <c r="M1281" t="s">
        <v>47</v>
      </c>
      <c r="N1281" s="1" t="e">
        <f t="shared" si="278"/>
        <v>#VALUE!</v>
      </c>
      <c r="O1281" s="1" t="e">
        <f t="shared" si="279"/>
        <v>#VALUE!</v>
      </c>
      <c r="P1281" s="1" t="e">
        <f t="shared" si="280"/>
        <v>#VALUE!</v>
      </c>
      <c r="Q1281" s="1" t="e">
        <f t="shared" si="281"/>
        <v>#VALUE!</v>
      </c>
      <c r="R1281" s="1" t="e">
        <f t="shared" si="282"/>
        <v>#VALUE!</v>
      </c>
      <c r="S1281" s="1" t="e">
        <f t="shared" si="283"/>
        <v>#VALUE!</v>
      </c>
      <c r="T1281" s="1" t="e">
        <f t="shared" si="284"/>
        <v>#VALUE!</v>
      </c>
      <c r="U1281" s="26" t="e">
        <f t="shared" si="285"/>
        <v>#VALUE!</v>
      </c>
      <c r="V1281" s="26" t="e">
        <f t="shared" si="286"/>
        <v>#VALUE!</v>
      </c>
      <c r="W1281" s="1" t="e">
        <f t="shared" si="287"/>
        <v>#VALUE!</v>
      </c>
      <c r="X1281" s="26" t="e">
        <f t="shared" si="288"/>
        <v>#VALUE!</v>
      </c>
      <c r="Y1281" s="26" t="e">
        <f t="shared" si="289"/>
        <v>#VALUE!</v>
      </c>
      <c r="Z1281" s="1" t="e">
        <f t="shared" si="290"/>
        <v>#VALUE!</v>
      </c>
      <c r="AA1281"/>
      <c r="AB1281"/>
    </row>
    <row r="1282" spans="1:28" x14ac:dyDescent="0.55000000000000004">
      <c r="A1282" s="1">
        <f t="shared" si="277"/>
        <v>1282</v>
      </c>
      <c r="B1282" t="s">
        <v>39</v>
      </c>
      <c r="C1282" t="s">
        <v>130</v>
      </c>
      <c r="D1282" t="s">
        <v>133</v>
      </c>
      <c r="E1282" t="s">
        <v>349</v>
      </c>
      <c r="F1282" t="s">
        <v>218</v>
      </c>
      <c r="G1282" t="s">
        <v>229</v>
      </c>
      <c r="I1282" t="s">
        <v>222</v>
      </c>
      <c r="K1282" t="s">
        <v>246</v>
      </c>
      <c r="M1282" t="s">
        <v>47</v>
      </c>
      <c r="N1282" s="1" t="e">
        <f t="shared" si="278"/>
        <v>#VALUE!</v>
      </c>
      <c r="O1282" s="1" t="e">
        <f t="shared" si="279"/>
        <v>#VALUE!</v>
      </c>
      <c r="P1282" s="1" t="e">
        <f t="shared" si="280"/>
        <v>#VALUE!</v>
      </c>
      <c r="Q1282" s="1" t="e">
        <f t="shared" si="281"/>
        <v>#VALUE!</v>
      </c>
      <c r="R1282" s="1" t="e">
        <f t="shared" si="282"/>
        <v>#VALUE!</v>
      </c>
      <c r="S1282" s="1" t="e">
        <f t="shared" si="283"/>
        <v>#VALUE!</v>
      </c>
      <c r="T1282" s="1" t="e">
        <f t="shared" si="284"/>
        <v>#VALUE!</v>
      </c>
      <c r="U1282" s="26" t="e">
        <f t="shared" si="285"/>
        <v>#VALUE!</v>
      </c>
      <c r="V1282" s="26" t="e">
        <f t="shared" si="286"/>
        <v>#VALUE!</v>
      </c>
      <c r="W1282" s="1" t="e">
        <f t="shared" si="287"/>
        <v>#VALUE!</v>
      </c>
      <c r="X1282" s="26" t="e">
        <f t="shared" si="288"/>
        <v>#VALUE!</v>
      </c>
      <c r="Y1282" s="26" t="e">
        <f t="shared" si="289"/>
        <v>#VALUE!</v>
      </c>
      <c r="Z1282" s="1" t="e">
        <f t="shared" si="290"/>
        <v>#VALUE!</v>
      </c>
      <c r="AA1282"/>
      <c r="AB1282"/>
    </row>
    <row r="1283" spans="1:28" x14ac:dyDescent="0.55000000000000004">
      <c r="A1283" s="1">
        <f t="shared" ref="A1283:A1346" si="291">A1282+1</f>
        <v>1283</v>
      </c>
      <c r="B1283" t="s">
        <v>40</v>
      </c>
      <c r="C1283" t="s">
        <v>124</v>
      </c>
      <c r="D1283" t="s">
        <v>133</v>
      </c>
      <c r="E1283" t="s">
        <v>349</v>
      </c>
      <c r="F1283" t="s">
        <v>394</v>
      </c>
      <c r="G1283" t="s">
        <v>266</v>
      </c>
      <c r="I1283" t="s">
        <v>256</v>
      </c>
      <c r="K1283" t="s">
        <v>267</v>
      </c>
      <c r="M1283" t="s">
        <v>47</v>
      </c>
      <c r="N1283" s="1" t="e">
        <f t="shared" ref="N1283:N1346" si="292">VALUE(LEFT(H1283,1))</f>
        <v>#VALUE!</v>
      </c>
      <c r="O1283" s="1" t="e">
        <f t="shared" ref="O1283:O1346" si="293">VALUE(RIGHT(H1283,1))</f>
        <v>#VALUE!</v>
      </c>
      <c r="P1283" s="1" t="e">
        <f t="shared" ref="P1283:P1346" si="294">SUM(N1283,O1283)</f>
        <v>#VALUE!</v>
      </c>
      <c r="Q1283" s="1" t="e">
        <f t="shared" ref="Q1283:Q1346" si="295">IF(N1283&lt;&gt;O1283, 1, 0)</f>
        <v>#VALUE!</v>
      </c>
      <c r="R1283" s="1" t="e">
        <f t="shared" ref="R1283:R1346" si="296">IF(P1283&lt;=4,1,0)</f>
        <v>#VALUE!</v>
      </c>
      <c r="S1283" s="1" t="e">
        <f t="shared" ref="S1283:S1346" si="297">IF(AND(Q1283=1,R1283=1),1,0)</f>
        <v>#VALUE!</v>
      </c>
      <c r="T1283" s="1" t="e">
        <f t="shared" ref="T1283:T1346" si="298">IF(N1283&lt;=2,1,0)</f>
        <v>#VALUE!</v>
      </c>
      <c r="U1283" s="26" t="e">
        <f t="shared" ref="U1283:U1346" si="299">IF(AND(N1283&gt;=1,N1283&lt;=3),1,0)</f>
        <v>#VALUE!</v>
      </c>
      <c r="V1283" s="26" t="e">
        <f t="shared" ref="V1283:V1346" si="300">IF(AND(N1283&gt;=2,N1283&lt;=5),1,0)</f>
        <v>#VALUE!</v>
      </c>
      <c r="W1283" s="1" t="e">
        <f t="shared" ref="W1283:W1346" si="301">IF(O1283&lt;=2,1,0)</f>
        <v>#VALUE!</v>
      </c>
      <c r="X1283" s="26" t="e">
        <f t="shared" ref="X1283:X1346" si="302">IF(AND(O1283&gt;=1,O1283&lt;=3),1,0)</f>
        <v>#VALUE!</v>
      </c>
      <c r="Y1283" s="26" t="e">
        <f t="shared" ref="Y1283:Y1346" si="303">IF(AND(O1283&gt;=2,O1283&lt;=5),1,0)</f>
        <v>#VALUE!</v>
      </c>
      <c r="Z1283" s="1" t="e">
        <f t="shared" ref="Z1283:Z1346" si="304">IF(P1283&gt;=2,1,0)</f>
        <v>#VALUE!</v>
      </c>
      <c r="AA1283"/>
      <c r="AB1283"/>
    </row>
    <row r="1284" spans="1:28" x14ac:dyDescent="0.55000000000000004">
      <c r="A1284" s="1">
        <f t="shared" si="291"/>
        <v>1284</v>
      </c>
      <c r="B1284" t="s">
        <v>40</v>
      </c>
      <c r="C1284" t="s">
        <v>124</v>
      </c>
      <c r="D1284" t="s">
        <v>133</v>
      </c>
      <c r="E1284" t="s">
        <v>349</v>
      </c>
      <c r="F1284" t="s">
        <v>392</v>
      </c>
      <c r="G1284" t="s">
        <v>260</v>
      </c>
      <c r="I1284" t="s">
        <v>253</v>
      </c>
      <c r="K1284" t="s">
        <v>250</v>
      </c>
      <c r="M1284" t="s">
        <v>47</v>
      </c>
      <c r="N1284" s="1" t="e">
        <f t="shared" si="292"/>
        <v>#VALUE!</v>
      </c>
      <c r="O1284" s="1" t="e">
        <f t="shared" si="293"/>
        <v>#VALUE!</v>
      </c>
      <c r="P1284" s="1" t="e">
        <f t="shared" si="294"/>
        <v>#VALUE!</v>
      </c>
      <c r="Q1284" s="1" t="e">
        <f t="shared" si="295"/>
        <v>#VALUE!</v>
      </c>
      <c r="R1284" s="1" t="e">
        <f t="shared" si="296"/>
        <v>#VALUE!</v>
      </c>
      <c r="S1284" s="1" t="e">
        <f t="shared" si="297"/>
        <v>#VALUE!</v>
      </c>
      <c r="T1284" s="1" t="e">
        <f t="shared" si="298"/>
        <v>#VALUE!</v>
      </c>
      <c r="U1284" s="26" t="e">
        <f t="shared" si="299"/>
        <v>#VALUE!</v>
      </c>
      <c r="V1284" s="26" t="e">
        <f t="shared" si="300"/>
        <v>#VALUE!</v>
      </c>
      <c r="W1284" s="1" t="e">
        <f t="shared" si="301"/>
        <v>#VALUE!</v>
      </c>
      <c r="X1284" s="26" t="e">
        <f t="shared" si="302"/>
        <v>#VALUE!</v>
      </c>
      <c r="Y1284" s="26" t="e">
        <f t="shared" si="303"/>
        <v>#VALUE!</v>
      </c>
      <c r="Z1284" s="1" t="e">
        <f t="shared" si="304"/>
        <v>#VALUE!</v>
      </c>
      <c r="AA1284"/>
      <c r="AB1284"/>
    </row>
    <row r="1285" spans="1:28" x14ac:dyDescent="0.55000000000000004">
      <c r="A1285" s="1">
        <f t="shared" si="291"/>
        <v>1285</v>
      </c>
      <c r="B1285" t="s">
        <v>40</v>
      </c>
      <c r="C1285" t="s">
        <v>124</v>
      </c>
      <c r="D1285" t="s">
        <v>133</v>
      </c>
      <c r="E1285" t="s">
        <v>349</v>
      </c>
      <c r="F1285" t="s">
        <v>392</v>
      </c>
      <c r="G1285" t="s">
        <v>261</v>
      </c>
      <c r="I1285" t="s">
        <v>248</v>
      </c>
      <c r="K1285" t="s">
        <v>393</v>
      </c>
      <c r="M1285" t="s">
        <v>47</v>
      </c>
      <c r="N1285" s="1" t="e">
        <f t="shared" si="292"/>
        <v>#VALUE!</v>
      </c>
      <c r="O1285" s="1" t="e">
        <f t="shared" si="293"/>
        <v>#VALUE!</v>
      </c>
      <c r="P1285" s="1" t="e">
        <f t="shared" si="294"/>
        <v>#VALUE!</v>
      </c>
      <c r="Q1285" s="1" t="e">
        <f t="shared" si="295"/>
        <v>#VALUE!</v>
      </c>
      <c r="R1285" s="1" t="e">
        <f t="shared" si="296"/>
        <v>#VALUE!</v>
      </c>
      <c r="S1285" s="1" t="e">
        <f t="shared" si="297"/>
        <v>#VALUE!</v>
      </c>
      <c r="T1285" s="1" t="e">
        <f t="shared" si="298"/>
        <v>#VALUE!</v>
      </c>
      <c r="U1285" s="26" t="e">
        <f t="shared" si="299"/>
        <v>#VALUE!</v>
      </c>
      <c r="V1285" s="26" t="e">
        <f t="shared" si="300"/>
        <v>#VALUE!</v>
      </c>
      <c r="W1285" s="1" t="e">
        <f t="shared" si="301"/>
        <v>#VALUE!</v>
      </c>
      <c r="X1285" s="26" t="e">
        <f t="shared" si="302"/>
        <v>#VALUE!</v>
      </c>
      <c r="Y1285" s="26" t="e">
        <f t="shared" si="303"/>
        <v>#VALUE!</v>
      </c>
      <c r="Z1285" s="1" t="e">
        <f t="shared" si="304"/>
        <v>#VALUE!</v>
      </c>
      <c r="AA1285"/>
      <c r="AB1285"/>
    </row>
    <row r="1286" spans="1:28" x14ac:dyDescent="0.55000000000000004">
      <c r="A1286" s="1">
        <f t="shared" si="291"/>
        <v>1286</v>
      </c>
      <c r="B1286" t="s">
        <v>40</v>
      </c>
      <c r="C1286" t="s">
        <v>124</v>
      </c>
      <c r="D1286" t="s">
        <v>133</v>
      </c>
      <c r="E1286" t="s">
        <v>349</v>
      </c>
      <c r="F1286" t="s">
        <v>392</v>
      </c>
      <c r="G1286" t="s">
        <v>249</v>
      </c>
      <c r="I1286" t="s">
        <v>252</v>
      </c>
      <c r="K1286" t="s">
        <v>262</v>
      </c>
      <c r="M1286" t="s">
        <v>47</v>
      </c>
      <c r="N1286" s="1" t="e">
        <f t="shared" si="292"/>
        <v>#VALUE!</v>
      </c>
      <c r="O1286" s="1" t="e">
        <f t="shared" si="293"/>
        <v>#VALUE!</v>
      </c>
      <c r="P1286" s="1" t="e">
        <f t="shared" si="294"/>
        <v>#VALUE!</v>
      </c>
      <c r="Q1286" s="1" t="e">
        <f t="shared" si="295"/>
        <v>#VALUE!</v>
      </c>
      <c r="R1286" s="1" t="e">
        <f t="shared" si="296"/>
        <v>#VALUE!</v>
      </c>
      <c r="S1286" s="1" t="e">
        <f t="shared" si="297"/>
        <v>#VALUE!</v>
      </c>
      <c r="T1286" s="1" t="e">
        <f t="shared" si="298"/>
        <v>#VALUE!</v>
      </c>
      <c r="U1286" s="26" t="e">
        <f t="shared" si="299"/>
        <v>#VALUE!</v>
      </c>
      <c r="V1286" s="26" t="e">
        <f t="shared" si="300"/>
        <v>#VALUE!</v>
      </c>
      <c r="W1286" s="1" t="e">
        <f t="shared" si="301"/>
        <v>#VALUE!</v>
      </c>
      <c r="X1286" s="26" t="e">
        <f t="shared" si="302"/>
        <v>#VALUE!</v>
      </c>
      <c r="Y1286" s="26" t="e">
        <f t="shared" si="303"/>
        <v>#VALUE!</v>
      </c>
      <c r="Z1286" s="1" t="e">
        <f t="shared" si="304"/>
        <v>#VALUE!</v>
      </c>
      <c r="AA1286"/>
      <c r="AB1286"/>
    </row>
    <row r="1287" spans="1:28" x14ac:dyDescent="0.55000000000000004">
      <c r="A1287" s="1">
        <f t="shared" si="291"/>
        <v>1287</v>
      </c>
      <c r="B1287" t="s">
        <v>40</v>
      </c>
      <c r="C1287" t="s">
        <v>124</v>
      </c>
      <c r="D1287" t="s">
        <v>133</v>
      </c>
      <c r="E1287" t="s">
        <v>349</v>
      </c>
      <c r="F1287" t="s">
        <v>251</v>
      </c>
      <c r="G1287" t="s">
        <v>265</v>
      </c>
      <c r="I1287" t="s">
        <v>263</v>
      </c>
      <c r="K1287" t="s">
        <v>344</v>
      </c>
      <c r="M1287" t="s">
        <v>47</v>
      </c>
      <c r="N1287" s="1" t="e">
        <f t="shared" si="292"/>
        <v>#VALUE!</v>
      </c>
      <c r="O1287" s="1" t="e">
        <f t="shared" si="293"/>
        <v>#VALUE!</v>
      </c>
      <c r="P1287" s="1" t="e">
        <f t="shared" si="294"/>
        <v>#VALUE!</v>
      </c>
      <c r="Q1287" s="1" t="e">
        <f t="shared" si="295"/>
        <v>#VALUE!</v>
      </c>
      <c r="R1287" s="1" t="e">
        <f t="shared" si="296"/>
        <v>#VALUE!</v>
      </c>
      <c r="S1287" s="1" t="e">
        <f t="shared" si="297"/>
        <v>#VALUE!</v>
      </c>
      <c r="T1287" s="1" t="e">
        <f t="shared" si="298"/>
        <v>#VALUE!</v>
      </c>
      <c r="U1287" s="26" t="e">
        <f t="shared" si="299"/>
        <v>#VALUE!</v>
      </c>
      <c r="V1287" s="26" t="e">
        <f t="shared" si="300"/>
        <v>#VALUE!</v>
      </c>
      <c r="W1287" s="1" t="e">
        <f t="shared" si="301"/>
        <v>#VALUE!</v>
      </c>
      <c r="X1287" s="26" t="e">
        <f t="shared" si="302"/>
        <v>#VALUE!</v>
      </c>
      <c r="Y1287" s="26" t="e">
        <f t="shared" si="303"/>
        <v>#VALUE!</v>
      </c>
      <c r="Z1287" s="1" t="e">
        <f t="shared" si="304"/>
        <v>#VALUE!</v>
      </c>
      <c r="AA1287"/>
      <c r="AB1287"/>
    </row>
    <row r="1288" spans="1:28" x14ac:dyDescent="0.55000000000000004">
      <c r="A1288" s="1">
        <f t="shared" si="291"/>
        <v>1288</v>
      </c>
      <c r="B1288" t="s">
        <v>30</v>
      </c>
      <c r="C1288" t="s">
        <v>119</v>
      </c>
      <c r="D1288" t="s">
        <v>42</v>
      </c>
      <c r="E1288" t="s">
        <v>402</v>
      </c>
      <c r="F1288" t="s">
        <v>380</v>
      </c>
      <c r="G1288" t="s">
        <v>66</v>
      </c>
      <c r="I1288" t="s">
        <v>44</v>
      </c>
      <c r="K1288" t="s">
        <v>68</v>
      </c>
      <c r="M1288" t="s">
        <v>47</v>
      </c>
      <c r="N1288" s="1" t="e">
        <f t="shared" si="292"/>
        <v>#VALUE!</v>
      </c>
      <c r="O1288" s="1" t="e">
        <f t="shared" si="293"/>
        <v>#VALUE!</v>
      </c>
      <c r="P1288" s="1" t="e">
        <f t="shared" si="294"/>
        <v>#VALUE!</v>
      </c>
      <c r="Q1288" s="1" t="e">
        <f t="shared" si="295"/>
        <v>#VALUE!</v>
      </c>
      <c r="R1288" s="1" t="e">
        <f t="shared" si="296"/>
        <v>#VALUE!</v>
      </c>
      <c r="S1288" s="1" t="e">
        <f t="shared" si="297"/>
        <v>#VALUE!</v>
      </c>
      <c r="T1288" s="1" t="e">
        <f t="shared" si="298"/>
        <v>#VALUE!</v>
      </c>
      <c r="U1288" s="26" t="e">
        <f t="shared" si="299"/>
        <v>#VALUE!</v>
      </c>
      <c r="V1288" s="26" t="e">
        <f t="shared" si="300"/>
        <v>#VALUE!</v>
      </c>
      <c r="W1288" s="1" t="e">
        <f t="shared" si="301"/>
        <v>#VALUE!</v>
      </c>
      <c r="X1288" s="26" t="e">
        <f t="shared" si="302"/>
        <v>#VALUE!</v>
      </c>
      <c r="Y1288" s="26" t="e">
        <f t="shared" si="303"/>
        <v>#VALUE!</v>
      </c>
      <c r="Z1288" s="1" t="e">
        <f t="shared" si="304"/>
        <v>#VALUE!</v>
      </c>
      <c r="AA1288"/>
      <c r="AB1288"/>
    </row>
    <row r="1289" spans="1:28" x14ac:dyDescent="0.55000000000000004">
      <c r="A1289" s="1">
        <f t="shared" si="291"/>
        <v>1289</v>
      </c>
      <c r="B1289" t="s">
        <v>30</v>
      </c>
      <c r="C1289" t="s">
        <v>119</v>
      </c>
      <c r="D1289" t="s">
        <v>42</v>
      </c>
      <c r="E1289" t="s">
        <v>402</v>
      </c>
      <c r="F1289" t="s">
        <v>380</v>
      </c>
      <c r="G1289" t="s">
        <v>58</v>
      </c>
      <c r="I1289" t="s">
        <v>67</v>
      </c>
      <c r="K1289" t="s">
        <v>71</v>
      </c>
      <c r="M1289" t="s">
        <v>47</v>
      </c>
      <c r="N1289" s="1" t="e">
        <f t="shared" si="292"/>
        <v>#VALUE!</v>
      </c>
      <c r="O1289" s="1" t="e">
        <f t="shared" si="293"/>
        <v>#VALUE!</v>
      </c>
      <c r="P1289" s="1" t="e">
        <f t="shared" si="294"/>
        <v>#VALUE!</v>
      </c>
      <c r="Q1289" s="1" t="e">
        <f t="shared" si="295"/>
        <v>#VALUE!</v>
      </c>
      <c r="R1289" s="1" t="e">
        <f t="shared" si="296"/>
        <v>#VALUE!</v>
      </c>
      <c r="S1289" s="1" t="e">
        <f t="shared" si="297"/>
        <v>#VALUE!</v>
      </c>
      <c r="T1289" s="1" t="e">
        <f t="shared" si="298"/>
        <v>#VALUE!</v>
      </c>
      <c r="U1289" s="26" t="e">
        <f t="shared" si="299"/>
        <v>#VALUE!</v>
      </c>
      <c r="V1289" s="26" t="e">
        <f t="shared" si="300"/>
        <v>#VALUE!</v>
      </c>
      <c r="W1289" s="1" t="e">
        <f t="shared" si="301"/>
        <v>#VALUE!</v>
      </c>
      <c r="X1289" s="26" t="e">
        <f t="shared" si="302"/>
        <v>#VALUE!</v>
      </c>
      <c r="Y1289" s="26" t="e">
        <f t="shared" si="303"/>
        <v>#VALUE!</v>
      </c>
      <c r="Z1289" s="1" t="e">
        <f t="shared" si="304"/>
        <v>#VALUE!</v>
      </c>
      <c r="AA1289"/>
      <c r="AB1289"/>
    </row>
    <row r="1290" spans="1:28" x14ac:dyDescent="0.55000000000000004">
      <c r="A1290" s="1">
        <f t="shared" si="291"/>
        <v>1290</v>
      </c>
      <c r="B1290" t="s">
        <v>30</v>
      </c>
      <c r="C1290" t="s">
        <v>119</v>
      </c>
      <c r="D1290" t="s">
        <v>42</v>
      </c>
      <c r="E1290" t="s">
        <v>402</v>
      </c>
      <c r="F1290" t="s">
        <v>398</v>
      </c>
      <c r="G1290" t="s">
        <v>57</v>
      </c>
      <c r="I1290" t="s">
        <v>61</v>
      </c>
      <c r="K1290" t="s">
        <v>59</v>
      </c>
      <c r="M1290" t="s">
        <v>47</v>
      </c>
      <c r="N1290" s="1" t="e">
        <f t="shared" si="292"/>
        <v>#VALUE!</v>
      </c>
      <c r="O1290" s="1" t="e">
        <f t="shared" si="293"/>
        <v>#VALUE!</v>
      </c>
      <c r="P1290" s="1" t="e">
        <f t="shared" si="294"/>
        <v>#VALUE!</v>
      </c>
      <c r="Q1290" s="1" t="e">
        <f t="shared" si="295"/>
        <v>#VALUE!</v>
      </c>
      <c r="R1290" s="1" t="e">
        <f t="shared" si="296"/>
        <v>#VALUE!</v>
      </c>
      <c r="S1290" s="1" t="e">
        <f t="shared" si="297"/>
        <v>#VALUE!</v>
      </c>
      <c r="T1290" s="1" t="e">
        <f t="shared" si="298"/>
        <v>#VALUE!</v>
      </c>
      <c r="U1290" s="26" t="e">
        <f t="shared" si="299"/>
        <v>#VALUE!</v>
      </c>
      <c r="V1290" s="26" t="e">
        <f t="shared" si="300"/>
        <v>#VALUE!</v>
      </c>
      <c r="W1290" s="1" t="e">
        <f t="shared" si="301"/>
        <v>#VALUE!</v>
      </c>
      <c r="X1290" s="26" t="e">
        <f t="shared" si="302"/>
        <v>#VALUE!</v>
      </c>
      <c r="Y1290" s="26" t="e">
        <f t="shared" si="303"/>
        <v>#VALUE!</v>
      </c>
      <c r="Z1290" s="1" t="e">
        <f t="shared" si="304"/>
        <v>#VALUE!</v>
      </c>
      <c r="AA1290"/>
      <c r="AB1290"/>
    </row>
    <row r="1291" spans="1:28" x14ac:dyDescent="0.55000000000000004">
      <c r="A1291" s="1">
        <f t="shared" si="291"/>
        <v>1291</v>
      </c>
      <c r="B1291" t="s">
        <v>30</v>
      </c>
      <c r="C1291" t="s">
        <v>119</v>
      </c>
      <c r="D1291" t="s">
        <v>42</v>
      </c>
      <c r="E1291" t="s">
        <v>402</v>
      </c>
      <c r="F1291" t="s">
        <v>400</v>
      </c>
      <c r="G1291" t="s">
        <v>64</v>
      </c>
      <c r="I1291" t="s">
        <v>45</v>
      </c>
      <c r="K1291" t="s">
        <v>62</v>
      </c>
      <c r="M1291" t="s">
        <v>47</v>
      </c>
      <c r="N1291" s="1" t="e">
        <f t="shared" si="292"/>
        <v>#VALUE!</v>
      </c>
      <c r="O1291" s="1" t="e">
        <f t="shared" si="293"/>
        <v>#VALUE!</v>
      </c>
      <c r="P1291" s="1" t="e">
        <f t="shared" si="294"/>
        <v>#VALUE!</v>
      </c>
      <c r="Q1291" s="1" t="e">
        <f t="shared" si="295"/>
        <v>#VALUE!</v>
      </c>
      <c r="R1291" s="1" t="e">
        <f t="shared" si="296"/>
        <v>#VALUE!</v>
      </c>
      <c r="S1291" s="1" t="e">
        <f t="shared" si="297"/>
        <v>#VALUE!</v>
      </c>
      <c r="T1291" s="1" t="e">
        <f t="shared" si="298"/>
        <v>#VALUE!</v>
      </c>
      <c r="U1291" s="26" t="e">
        <f t="shared" si="299"/>
        <v>#VALUE!</v>
      </c>
      <c r="V1291" s="26" t="e">
        <f t="shared" si="300"/>
        <v>#VALUE!</v>
      </c>
      <c r="W1291" s="1" t="e">
        <f t="shared" si="301"/>
        <v>#VALUE!</v>
      </c>
      <c r="X1291" s="26" t="e">
        <f t="shared" si="302"/>
        <v>#VALUE!</v>
      </c>
      <c r="Y1291" s="26" t="e">
        <f t="shared" si="303"/>
        <v>#VALUE!</v>
      </c>
      <c r="Z1291" s="1" t="e">
        <f t="shared" si="304"/>
        <v>#VALUE!</v>
      </c>
      <c r="AA1291"/>
      <c r="AB1291"/>
    </row>
    <row r="1292" spans="1:28" x14ac:dyDescent="0.55000000000000004">
      <c r="A1292" s="1">
        <f t="shared" si="291"/>
        <v>1292</v>
      </c>
      <c r="B1292" t="s">
        <v>31</v>
      </c>
      <c r="C1292" t="s">
        <v>197</v>
      </c>
      <c r="D1292" t="s">
        <v>42</v>
      </c>
      <c r="E1292" t="s">
        <v>402</v>
      </c>
      <c r="F1292" t="s">
        <v>181</v>
      </c>
      <c r="G1292" t="s">
        <v>150</v>
      </c>
      <c r="I1292" t="s">
        <v>142</v>
      </c>
      <c r="K1292" t="s">
        <v>152</v>
      </c>
      <c r="M1292" t="s">
        <v>47</v>
      </c>
      <c r="N1292" s="1" t="e">
        <f t="shared" si="292"/>
        <v>#VALUE!</v>
      </c>
      <c r="O1292" s="1" t="e">
        <f t="shared" si="293"/>
        <v>#VALUE!</v>
      </c>
      <c r="P1292" s="1" t="e">
        <f t="shared" si="294"/>
        <v>#VALUE!</v>
      </c>
      <c r="Q1292" s="1" t="e">
        <f t="shared" si="295"/>
        <v>#VALUE!</v>
      </c>
      <c r="R1292" s="1" t="e">
        <f t="shared" si="296"/>
        <v>#VALUE!</v>
      </c>
      <c r="S1292" s="1" t="e">
        <f t="shared" si="297"/>
        <v>#VALUE!</v>
      </c>
      <c r="T1292" s="1" t="e">
        <f t="shared" si="298"/>
        <v>#VALUE!</v>
      </c>
      <c r="U1292" s="26" t="e">
        <f t="shared" si="299"/>
        <v>#VALUE!</v>
      </c>
      <c r="V1292" s="26" t="e">
        <f t="shared" si="300"/>
        <v>#VALUE!</v>
      </c>
      <c r="W1292" s="1" t="e">
        <f t="shared" si="301"/>
        <v>#VALUE!</v>
      </c>
      <c r="X1292" s="26" t="e">
        <f t="shared" si="302"/>
        <v>#VALUE!</v>
      </c>
      <c r="Y1292" s="26" t="e">
        <f t="shared" si="303"/>
        <v>#VALUE!</v>
      </c>
      <c r="Z1292" s="1" t="e">
        <f t="shared" si="304"/>
        <v>#VALUE!</v>
      </c>
      <c r="AA1292"/>
      <c r="AB1292"/>
    </row>
    <row r="1293" spans="1:28" x14ac:dyDescent="0.55000000000000004">
      <c r="A1293" s="1">
        <f t="shared" si="291"/>
        <v>1293</v>
      </c>
      <c r="B1293" t="s">
        <v>33</v>
      </c>
      <c r="C1293" t="s">
        <v>130</v>
      </c>
      <c r="D1293" t="s">
        <v>42</v>
      </c>
      <c r="E1293" t="s">
        <v>402</v>
      </c>
      <c r="F1293" t="s">
        <v>364</v>
      </c>
      <c r="G1293" t="s">
        <v>278</v>
      </c>
      <c r="I1293" t="s">
        <v>291</v>
      </c>
      <c r="K1293" t="s">
        <v>280</v>
      </c>
      <c r="M1293" t="s">
        <v>47</v>
      </c>
      <c r="N1293" s="1" t="e">
        <f t="shared" si="292"/>
        <v>#VALUE!</v>
      </c>
      <c r="O1293" s="1" t="e">
        <f t="shared" si="293"/>
        <v>#VALUE!</v>
      </c>
      <c r="P1293" s="1" t="e">
        <f t="shared" si="294"/>
        <v>#VALUE!</v>
      </c>
      <c r="Q1293" s="1" t="e">
        <f t="shared" si="295"/>
        <v>#VALUE!</v>
      </c>
      <c r="R1293" s="1" t="e">
        <f t="shared" si="296"/>
        <v>#VALUE!</v>
      </c>
      <c r="S1293" s="1" t="e">
        <f t="shared" si="297"/>
        <v>#VALUE!</v>
      </c>
      <c r="T1293" s="1" t="e">
        <f t="shared" si="298"/>
        <v>#VALUE!</v>
      </c>
      <c r="U1293" s="26" t="e">
        <f t="shared" si="299"/>
        <v>#VALUE!</v>
      </c>
      <c r="V1293" s="26" t="e">
        <f t="shared" si="300"/>
        <v>#VALUE!</v>
      </c>
      <c r="W1293" s="1" t="e">
        <f t="shared" si="301"/>
        <v>#VALUE!</v>
      </c>
      <c r="X1293" s="26" t="e">
        <f t="shared" si="302"/>
        <v>#VALUE!</v>
      </c>
      <c r="Y1293" s="26" t="e">
        <f t="shared" si="303"/>
        <v>#VALUE!</v>
      </c>
      <c r="Z1293" s="1" t="e">
        <f t="shared" si="304"/>
        <v>#VALUE!</v>
      </c>
      <c r="AA1293"/>
      <c r="AB1293"/>
    </row>
    <row r="1294" spans="1:28" x14ac:dyDescent="0.55000000000000004">
      <c r="A1294" s="1">
        <f t="shared" si="291"/>
        <v>1294</v>
      </c>
      <c r="B1294" t="s">
        <v>33</v>
      </c>
      <c r="C1294" t="s">
        <v>130</v>
      </c>
      <c r="D1294" t="s">
        <v>42</v>
      </c>
      <c r="E1294" t="s">
        <v>402</v>
      </c>
      <c r="F1294" t="s">
        <v>277</v>
      </c>
      <c r="G1294" t="s">
        <v>292</v>
      </c>
      <c r="I1294" t="s">
        <v>288</v>
      </c>
      <c r="K1294" t="s">
        <v>408</v>
      </c>
      <c r="M1294" t="s">
        <v>47</v>
      </c>
      <c r="N1294" s="1" t="e">
        <f t="shared" si="292"/>
        <v>#VALUE!</v>
      </c>
      <c r="O1294" s="1" t="e">
        <f t="shared" si="293"/>
        <v>#VALUE!</v>
      </c>
      <c r="P1294" s="1" t="e">
        <f t="shared" si="294"/>
        <v>#VALUE!</v>
      </c>
      <c r="Q1294" s="1" t="e">
        <f t="shared" si="295"/>
        <v>#VALUE!</v>
      </c>
      <c r="R1294" s="1" t="e">
        <f t="shared" si="296"/>
        <v>#VALUE!</v>
      </c>
      <c r="S1294" s="1" t="e">
        <f t="shared" si="297"/>
        <v>#VALUE!</v>
      </c>
      <c r="T1294" s="1" t="e">
        <f t="shared" si="298"/>
        <v>#VALUE!</v>
      </c>
      <c r="U1294" s="26" t="e">
        <f t="shared" si="299"/>
        <v>#VALUE!</v>
      </c>
      <c r="V1294" s="26" t="e">
        <f t="shared" si="300"/>
        <v>#VALUE!</v>
      </c>
      <c r="W1294" s="1" t="e">
        <f t="shared" si="301"/>
        <v>#VALUE!</v>
      </c>
      <c r="X1294" s="26" t="e">
        <f t="shared" si="302"/>
        <v>#VALUE!</v>
      </c>
      <c r="Y1294" s="26" t="e">
        <f t="shared" si="303"/>
        <v>#VALUE!</v>
      </c>
      <c r="Z1294" s="1" t="e">
        <f t="shared" si="304"/>
        <v>#VALUE!</v>
      </c>
      <c r="AA1294"/>
      <c r="AB1294"/>
    </row>
    <row r="1295" spans="1:28" x14ac:dyDescent="0.55000000000000004">
      <c r="A1295" s="1">
        <f t="shared" si="291"/>
        <v>1295</v>
      </c>
      <c r="B1295" t="s">
        <v>33</v>
      </c>
      <c r="C1295" t="s">
        <v>130</v>
      </c>
      <c r="D1295" t="s">
        <v>42</v>
      </c>
      <c r="E1295" t="s">
        <v>402</v>
      </c>
      <c r="F1295" t="s">
        <v>290</v>
      </c>
      <c r="G1295" t="s">
        <v>284</v>
      </c>
      <c r="I1295" t="s">
        <v>299</v>
      </c>
      <c r="K1295" t="s">
        <v>286</v>
      </c>
      <c r="M1295" t="s">
        <v>47</v>
      </c>
      <c r="N1295" s="1" t="e">
        <f t="shared" si="292"/>
        <v>#VALUE!</v>
      </c>
      <c r="O1295" s="1" t="e">
        <f t="shared" si="293"/>
        <v>#VALUE!</v>
      </c>
      <c r="P1295" s="1" t="e">
        <f t="shared" si="294"/>
        <v>#VALUE!</v>
      </c>
      <c r="Q1295" s="1" t="e">
        <f t="shared" si="295"/>
        <v>#VALUE!</v>
      </c>
      <c r="R1295" s="1" t="e">
        <f t="shared" si="296"/>
        <v>#VALUE!</v>
      </c>
      <c r="S1295" s="1" t="e">
        <f t="shared" si="297"/>
        <v>#VALUE!</v>
      </c>
      <c r="T1295" s="1" t="e">
        <f t="shared" si="298"/>
        <v>#VALUE!</v>
      </c>
      <c r="U1295" s="26" t="e">
        <f t="shared" si="299"/>
        <v>#VALUE!</v>
      </c>
      <c r="V1295" s="26" t="e">
        <f t="shared" si="300"/>
        <v>#VALUE!</v>
      </c>
      <c r="W1295" s="1" t="e">
        <f t="shared" si="301"/>
        <v>#VALUE!</v>
      </c>
      <c r="X1295" s="26" t="e">
        <f t="shared" si="302"/>
        <v>#VALUE!</v>
      </c>
      <c r="Y1295" s="26" t="e">
        <f t="shared" si="303"/>
        <v>#VALUE!</v>
      </c>
      <c r="Z1295" s="1" t="e">
        <f t="shared" si="304"/>
        <v>#VALUE!</v>
      </c>
      <c r="AA1295"/>
      <c r="AB1295"/>
    </row>
    <row r="1296" spans="1:28" x14ac:dyDescent="0.55000000000000004">
      <c r="A1296" s="1">
        <f t="shared" si="291"/>
        <v>1296</v>
      </c>
      <c r="B1296" t="s">
        <v>34</v>
      </c>
      <c r="C1296" t="s">
        <v>198</v>
      </c>
      <c r="D1296" t="s">
        <v>42</v>
      </c>
      <c r="E1296" t="s">
        <v>402</v>
      </c>
      <c r="F1296" t="s">
        <v>376</v>
      </c>
      <c r="G1296" t="s">
        <v>101</v>
      </c>
      <c r="I1296" t="s">
        <v>95</v>
      </c>
      <c r="K1296" t="s">
        <v>103</v>
      </c>
      <c r="M1296" t="s">
        <v>47</v>
      </c>
      <c r="N1296" s="1" t="e">
        <f t="shared" si="292"/>
        <v>#VALUE!</v>
      </c>
      <c r="O1296" s="1" t="e">
        <f t="shared" si="293"/>
        <v>#VALUE!</v>
      </c>
      <c r="P1296" s="1" t="e">
        <f t="shared" si="294"/>
        <v>#VALUE!</v>
      </c>
      <c r="Q1296" s="1" t="e">
        <f t="shared" si="295"/>
        <v>#VALUE!</v>
      </c>
      <c r="R1296" s="1" t="e">
        <f t="shared" si="296"/>
        <v>#VALUE!</v>
      </c>
      <c r="S1296" s="1" t="e">
        <f t="shared" si="297"/>
        <v>#VALUE!</v>
      </c>
      <c r="T1296" s="1" t="e">
        <f t="shared" si="298"/>
        <v>#VALUE!</v>
      </c>
      <c r="U1296" s="26" t="e">
        <f t="shared" si="299"/>
        <v>#VALUE!</v>
      </c>
      <c r="V1296" s="26" t="e">
        <f t="shared" si="300"/>
        <v>#VALUE!</v>
      </c>
      <c r="W1296" s="1" t="e">
        <f t="shared" si="301"/>
        <v>#VALUE!</v>
      </c>
      <c r="X1296" s="26" t="e">
        <f t="shared" si="302"/>
        <v>#VALUE!</v>
      </c>
      <c r="Y1296" s="26" t="e">
        <f t="shared" si="303"/>
        <v>#VALUE!</v>
      </c>
      <c r="Z1296" s="1" t="e">
        <f t="shared" si="304"/>
        <v>#VALUE!</v>
      </c>
      <c r="AA1296"/>
      <c r="AB1296"/>
    </row>
    <row r="1297" spans="1:28" x14ac:dyDescent="0.55000000000000004">
      <c r="A1297" s="1">
        <f t="shared" si="291"/>
        <v>1297</v>
      </c>
      <c r="B1297" t="s">
        <v>34</v>
      </c>
      <c r="C1297" t="s">
        <v>198</v>
      </c>
      <c r="D1297" t="s">
        <v>42</v>
      </c>
      <c r="E1297" t="s">
        <v>402</v>
      </c>
      <c r="F1297" t="s">
        <v>375</v>
      </c>
      <c r="G1297" t="s">
        <v>87</v>
      </c>
      <c r="I1297" t="s">
        <v>90</v>
      </c>
      <c r="K1297" t="s">
        <v>109</v>
      </c>
      <c r="M1297" t="s">
        <v>47</v>
      </c>
      <c r="N1297" s="1" t="e">
        <f t="shared" si="292"/>
        <v>#VALUE!</v>
      </c>
      <c r="O1297" s="1" t="e">
        <f t="shared" si="293"/>
        <v>#VALUE!</v>
      </c>
      <c r="P1297" s="1" t="e">
        <f t="shared" si="294"/>
        <v>#VALUE!</v>
      </c>
      <c r="Q1297" s="1" t="e">
        <f t="shared" si="295"/>
        <v>#VALUE!</v>
      </c>
      <c r="R1297" s="1" t="e">
        <f t="shared" si="296"/>
        <v>#VALUE!</v>
      </c>
      <c r="S1297" s="1" t="e">
        <f t="shared" si="297"/>
        <v>#VALUE!</v>
      </c>
      <c r="T1297" s="1" t="e">
        <f t="shared" si="298"/>
        <v>#VALUE!</v>
      </c>
      <c r="U1297" s="26" t="e">
        <f t="shared" si="299"/>
        <v>#VALUE!</v>
      </c>
      <c r="V1297" s="26" t="e">
        <f t="shared" si="300"/>
        <v>#VALUE!</v>
      </c>
      <c r="W1297" s="1" t="e">
        <f t="shared" si="301"/>
        <v>#VALUE!</v>
      </c>
      <c r="X1297" s="26" t="e">
        <f t="shared" si="302"/>
        <v>#VALUE!</v>
      </c>
      <c r="Y1297" s="26" t="e">
        <f t="shared" si="303"/>
        <v>#VALUE!</v>
      </c>
      <c r="Z1297" s="1" t="e">
        <f t="shared" si="304"/>
        <v>#VALUE!</v>
      </c>
      <c r="AA1297"/>
      <c r="AB1297"/>
    </row>
    <row r="1298" spans="1:28" x14ac:dyDescent="0.55000000000000004">
      <c r="A1298" s="1">
        <f t="shared" si="291"/>
        <v>1298</v>
      </c>
      <c r="B1298" t="s">
        <v>35</v>
      </c>
      <c r="C1298" t="s">
        <v>120</v>
      </c>
      <c r="D1298" t="s">
        <v>42</v>
      </c>
      <c r="E1298" t="s">
        <v>402</v>
      </c>
      <c r="F1298" t="s">
        <v>411</v>
      </c>
      <c r="G1298" t="s">
        <v>207</v>
      </c>
      <c r="I1298" t="s">
        <v>210</v>
      </c>
      <c r="K1298" t="s">
        <v>209</v>
      </c>
      <c r="M1298" t="s">
        <v>47</v>
      </c>
      <c r="N1298" s="1" t="e">
        <f t="shared" si="292"/>
        <v>#VALUE!</v>
      </c>
      <c r="O1298" s="1" t="e">
        <f t="shared" si="293"/>
        <v>#VALUE!</v>
      </c>
      <c r="P1298" s="1" t="e">
        <f t="shared" si="294"/>
        <v>#VALUE!</v>
      </c>
      <c r="Q1298" s="1" t="e">
        <f t="shared" si="295"/>
        <v>#VALUE!</v>
      </c>
      <c r="R1298" s="1" t="e">
        <f t="shared" si="296"/>
        <v>#VALUE!</v>
      </c>
      <c r="S1298" s="1" t="e">
        <f t="shared" si="297"/>
        <v>#VALUE!</v>
      </c>
      <c r="T1298" s="1" t="e">
        <f t="shared" si="298"/>
        <v>#VALUE!</v>
      </c>
      <c r="U1298" s="26" t="e">
        <f t="shared" si="299"/>
        <v>#VALUE!</v>
      </c>
      <c r="V1298" s="26" t="e">
        <f t="shared" si="300"/>
        <v>#VALUE!</v>
      </c>
      <c r="W1298" s="1" t="e">
        <f t="shared" si="301"/>
        <v>#VALUE!</v>
      </c>
      <c r="X1298" s="26" t="e">
        <f t="shared" si="302"/>
        <v>#VALUE!</v>
      </c>
      <c r="Y1298" s="26" t="e">
        <f t="shared" si="303"/>
        <v>#VALUE!</v>
      </c>
      <c r="Z1298" s="1" t="e">
        <f t="shared" si="304"/>
        <v>#VALUE!</v>
      </c>
      <c r="AA1298"/>
      <c r="AB1298"/>
    </row>
    <row r="1299" spans="1:28" x14ac:dyDescent="0.55000000000000004">
      <c r="A1299" s="1">
        <f t="shared" si="291"/>
        <v>1299</v>
      </c>
      <c r="B1299" t="s">
        <v>35</v>
      </c>
      <c r="C1299" t="s">
        <v>120</v>
      </c>
      <c r="D1299" t="s">
        <v>42</v>
      </c>
      <c r="E1299" t="s">
        <v>402</v>
      </c>
      <c r="F1299" t="s">
        <v>412</v>
      </c>
      <c r="G1299" t="s">
        <v>377</v>
      </c>
      <c r="I1299" t="s">
        <v>383</v>
      </c>
      <c r="K1299" t="s">
        <v>378</v>
      </c>
      <c r="M1299" t="s">
        <v>47</v>
      </c>
      <c r="N1299" s="1" t="e">
        <f t="shared" si="292"/>
        <v>#VALUE!</v>
      </c>
      <c r="O1299" s="1" t="e">
        <f t="shared" si="293"/>
        <v>#VALUE!</v>
      </c>
      <c r="P1299" s="1" t="e">
        <f t="shared" si="294"/>
        <v>#VALUE!</v>
      </c>
      <c r="Q1299" s="1" t="e">
        <f t="shared" si="295"/>
        <v>#VALUE!</v>
      </c>
      <c r="R1299" s="1" t="e">
        <f t="shared" si="296"/>
        <v>#VALUE!</v>
      </c>
      <c r="S1299" s="1" t="e">
        <f t="shared" si="297"/>
        <v>#VALUE!</v>
      </c>
      <c r="T1299" s="1" t="e">
        <f t="shared" si="298"/>
        <v>#VALUE!</v>
      </c>
      <c r="U1299" s="26" t="e">
        <f t="shared" si="299"/>
        <v>#VALUE!</v>
      </c>
      <c r="V1299" s="26" t="e">
        <f t="shared" si="300"/>
        <v>#VALUE!</v>
      </c>
      <c r="W1299" s="1" t="e">
        <f t="shared" si="301"/>
        <v>#VALUE!</v>
      </c>
      <c r="X1299" s="26" t="e">
        <f t="shared" si="302"/>
        <v>#VALUE!</v>
      </c>
      <c r="Y1299" s="26" t="e">
        <f t="shared" si="303"/>
        <v>#VALUE!</v>
      </c>
      <c r="Z1299" s="1" t="e">
        <f t="shared" si="304"/>
        <v>#VALUE!</v>
      </c>
      <c r="AA1299"/>
      <c r="AB1299"/>
    </row>
    <row r="1300" spans="1:28" x14ac:dyDescent="0.55000000000000004">
      <c r="A1300" s="1">
        <f t="shared" si="291"/>
        <v>1300</v>
      </c>
      <c r="B1300" t="s">
        <v>31</v>
      </c>
      <c r="C1300" t="s">
        <v>197</v>
      </c>
      <c r="D1300" t="s">
        <v>42</v>
      </c>
      <c r="E1300" t="s">
        <v>402</v>
      </c>
      <c r="F1300" t="s">
        <v>357</v>
      </c>
      <c r="G1300" t="s">
        <v>147</v>
      </c>
      <c r="I1300" t="s">
        <v>145</v>
      </c>
      <c r="K1300" t="s">
        <v>149</v>
      </c>
      <c r="M1300" t="s">
        <v>47</v>
      </c>
      <c r="N1300" s="1" t="e">
        <f t="shared" si="292"/>
        <v>#VALUE!</v>
      </c>
      <c r="O1300" s="1" t="e">
        <f t="shared" si="293"/>
        <v>#VALUE!</v>
      </c>
      <c r="P1300" s="1" t="e">
        <f t="shared" si="294"/>
        <v>#VALUE!</v>
      </c>
      <c r="Q1300" s="1" t="e">
        <f t="shared" si="295"/>
        <v>#VALUE!</v>
      </c>
      <c r="R1300" s="1" t="e">
        <f t="shared" si="296"/>
        <v>#VALUE!</v>
      </c>
      <c r="S1300" s="1" t="e">
        <f t="shared" si="297"/>
        <v>#VALUE!</v>
      </c>
      <c r="T1300" s="1" t="e">
        <f t="shared" si="298"/>
        <v>#VALUE!</v>
      </c>
      <c r="U1300" s="26" t="e">
        <f t="shared" si="299"/>
        <v>#VALUE!</v>
      </c>
      <c r="V1300" s="26" t="e">
        <f t="shared" si="300"/>
        <v>#VALUE!</v>
      </c>
      <c r="W1300" s="1" t="e">
        <f t="shared" si="301"/>
        <v>#VALUE!</v>
      </c>
      <c r="X1300" s="26" t="e">
        <f t="shared" si="302"/>
        <v>#VALUE!</v>
      </c>
      <c r="Y1300" s="26" t="e">
        <f t="shared" si="303"/>
        <v>#VALUE!</v>
      </c>
      <c r="Z1300" s="1" t="e">
        <f t="shared" si="304"/>
        <v>#VALUE!</v>
      </c>
      <c r="AA1300"/>
      <c r="AB1300"/>
    </row>
    <row r="1301" spans="1:28" x14ac:dyDescent="0.55000000000000004">
      <c r="A1301" s="1">
        <f t="shared" si="291"/>
        <v>1301</v>
      </c>
      <c r="B1301" t="s">
        <v>31</v>
      </c>
      <c r="C1301" t="s">
        <v>197</v>
      </c>
      <c r="D1301" t="s">
        <v>42</v>
      </c>
      <c r="E1301" t="s">
        <v>402</v>
      </c>
      <c r="F1301" t="s">
        <v>357</v>
      </c>
      <c r="G1301" t="s">
        <v>144</v>
      </c>
      <c r="I1301" t="s">
        <v>148</v>
      </c>
      <c r="K1301" t="s">
        <v>146</v>
      </c>
      <c r="M1301" t="s">
        <v>47</v>
      </c>
      <c r="N1301" s="1" t="e">
        <f t="shared" si="292"/>
        <v>#VALUE!</v>
      </c>
      <c r="O1301" s="1" t="e">
        <f t="shared" si="293"/>
        <v>#VALUE!</v>
      </c>
      <c r="P1301" s="1" t="e">
        <f t="shared" si="294"/>
        <v>#VALUE!</v>
      </c>
      <c r="Q1301" s="1" t="e">
        <f t="shared" si="295"/>
        <v>#VALUE!</v>
      </c>
      <c r="R1301" s="1" t="e">
        <f t="shared" si="296"/>
        <v>#VALUE!</v>
      </c>
      <c r="S1301" s="1" t="e">
        <f t="shared" si="297"/>
        <v>#VALUE!</v>
      </c>
      <c r="T1301" s="1" t="e">
        <f t="shared" si="298"/>
        <v>#VALUE!</v>
      </c>
      <c r="U1301" s="26" t="e">
        <f t="shared" si="299"/>
        <v>#VALUE!</v>
      </c>
      <c r="V1301" s="26" t="e">
        <f t="shared" si="300"/>
        <v>#VALUE!</v>
      </c>
      <c r="W1301" s="1" t="e">
        <f t="shared" si="301"/>
        <v>#VALUE!</v>
      </c>
      <c r="X1301" s="26" t="e">
        <f t="shared" si="302"/>
        <v>#VALUE!</v>
      </c>
      <c r="Y1301" s="26" t="e">
        <f t="shared" si="303"/>
        <v>#VALUE!</v>
      </c>
      <c r="Z1301" s="1" t="e">
        <f t="shared" si="304"/>
        <v>#VALUE!</v>
      </c>
      <c r="AA1301"/>
      <c r="AB1301"/>
    </row>
    <row r="1302" spans="1:28" x14ac:dyDescent="0.55000000000000004">
      <c r="A1302" s="1">
        <f t="shared" si="291"/>
        <v>1302</v>
      </c>
      <c r="B1302" t="s">
        <v>35</v>
      </c>
      <c r="C1302" t="s">
        <v>120</v>
      </c>
      <c r="D1302" t="s">
        <v>42</v>
      </c>
      <c r="E1302" t="s">
        <v>402</v>
      </c>
      <c r="F1302" t="s">
        <v>357</v>
      </c>
      <c r="G1302" t="s">
        <v>205</v>
      </c>
      <c r="I1302" t="s">
        <v>306</v>
      </c>
      <c r="K1302" t="s">
        <v>417</v>
      </c>
      <c r="M1302" t="s">
        <v>47</v>
      </c>
      <c r="N1302" s="1" t="e">
        <f t="shared" si="292"/>
        <v>#VALUE!</v>
      </c>
      <c r="O1302" s="1" t="e">
        <f t="shared" si="293"/>
        <v>#VALUE!</v>
      </c>
      <c r="P1302" s="1" t="e">
        <f t="shared" si="294"/>
        <v>#VALUE!</v>
      </c>
      <c r="Q1302" s="1" t="e">
        <f t="shared" si="295"/>
        <v>#VALUE!</v>
      </c>
      <c r="R1302" s="1" t="e">
        <f t="shared" si="296"/>
        <v>#VALUE!</v>
      </c>
      <c r="S1302" s="1" t="e">
        <f t="shared" si="297"/>
        <v>#VALUE!</v>
      </c>
      <c r="T1302" s="1" t="e">
        <f t="shared" si="298"/>
        <v>#VALUE!</v>
      </c>
      <c r="U1302" s="26" t="e">
        <f t="shared" si="299"/>
        <v>#VALUE!</v>
      </c>
      <c r="V1302" s="26" t="e">
        <f t="shared" si="300"/>
        <v>#VALUE!</v>
      </c>
      <c r="W1302" s="1" t="e">
        <f t="shared" si="301"/>
        <v>#VALUE!</v>
      </c>
      <c r="X1302" s="26" t="e">
        <f t="shared" si="302"/>
        <v>#VALUE!</v>
      </c>
      <c r="Y1302" s="26" t="e">
        <f t="shared" si="303"/>
        <v>#VALUE!</v>
      </c>
      <c r="Z1302" s="1" t="e">
        <f t="shared" si="304"/>
        <v>#VALUE!</v>
      </c>
      <c r="AA1302"/>
      <c r="AB1302"/>
    </row>
    <row r="1303" spans="1:28" x14ac:dyDescent="0.55000000000000004">
      <c r="A1303" s="1">
        <f t="shared" si="291"/>
        <v>1303</v>
      </c>
      <c r="B1303" t="s">
        <v>30</v>
      </c>
      <c r="C1303" t="s">
        <v>119</v>
      </c>
      <c r="D1303" t="s">
        <v>179</v>
      </c>
      <c r="E1303" t="s">
        <v>185</v>
      </c>
      <c r="F1303" t="s">
        <v>181</v>
      </c>
      <c r="G1303" t="s">
        <v>54</v>
      </c>
      <c r="I1303" t="s">
        <v>52</v>
      </c>
      <c r="K1303" t="s">
        <v>56</v>
      </c>
      <c r="M1303" t="s">
        <v>47</v>
      </c>
      <c r="N1303" s="1" t="e">
        <f t="shared" si="292"/>
        <v>#VALUE!</v>
      </c>
      <c r="O1303" s="1" t="e">
        <f t="shared" si="293"/>
        <v>#VALUE!</v>
      </c>
      <c r="P1303" s="1" t="e">
        <f t="shared" si="294"/>
        <v>#VALUE!</v>
      </c>
      <c r="Q1303" s="1" t="e">
        <f t="shared" si="295"/>
        <v>#VALUE!</v>
      </c>
      <c r="R1303" s="1" t="e">
        <f t="shared" si="296"/>
        <v>#VALUE!</v>
      </c>
      <c r="S1303" s="1" t="e">
        <f t="shared" si="297"/>
        <v>#VALUE!</v>
      </c>
      <c r="T1303" s="1" t="e">
        <f t="shared" si="298"/>
        <v>#VALUE!</v>
      </c>
      <c r="U1303" s="26" t="e">
        <f t="shared" si="299"/>
        <v>#VALUE!</v>
      </c>
      <c r="V1303" s="26" t="e">
        <f t="shared" si="300"/>
        <v>#VALUE!</v>
      </c>
      <c r="W1303" s="1" t="e">
        <f t="shared" si="301"/>
        <v>#VALUE!</v>
      </c>
      <c r="X1303" s="26" t="e">
        <f t="shared" si="302"/>
        <v>#VALUE!</v>
      </c>
      <c r="Y1303" s="26" t="e">
        <f t="shared" si="303"/>
        <v>#VALUE!</v>
      </c>
      <c r="Z1303" s="1" t="e">
        <f t="shared" si="304"/>
        <v>#VALUE!</v>
      </c>
      <c r="AA1303"/>
      <c r="AB1303"/>
    </row>
    <row r="1304" spans="1:28" x14ac:dyDescent="0.55000000000000004">
      <c r="A1304" s="1">
        <f t="shared" si="291"/>
        <v>1304</v>
      </c>
      <c r="B1304" t="s">
        <v>30</v>
      </c>
      <c r="C1304" t="s">
        <v>119</v>
      </c>
      <c r="D1304" t="s">
        <v>179</v>
      </c>
      <c r="E1304" t="s">
        <v>185</v>
      </c>
      <c r="F1304" t="s">
        <v>181</v>
      </c>
      <c r="G1304" t="s">
        <v>48</v>
      </c>
      <c r="I1304" t="s">
        <v>51</v>
      </c>
      <c r="K1304" t="s">
        <v>50</v>
      </c>
      <c r="M1304" t="s">
        <v>47</v>
      </c>
      <c r="N1304" s="1" t="e">
        <f t="shared" si="292"/>
        <v>#VALUE!</v>
      </c>
      <c r="O1304" s="1" t="e">
        <f t="shared" si="293"/>
        <v>#VALUE!</v>
      </c>
      <c r="P1304" s="1" t="e">
        <f t="shared" si="294"/>
        <v>#VALUE!</v>
      </c>
      <c r="Q1304" s="1" t="e">
        <f t="shared" si="295"/>
        <v>#VALUE!</v>
      </c>
      <c r="R1304" s="1" t="e">
        <f t="shared" si="296"/>
        <v>#VALUE!</v>
      </c>
      <c r="S1304" s="1" t="e">
        <f t="shared" si="297"/>
        <v>#VALUE!</v>
      </c>
      <c r="T1304" s="1" t="e">
        <f t="shared" si="298"/>
        <v>#VALUE!</v>
      </c>
      <c r="U1304" s="26" t="e">
        <f t="shared" si="299"/>
        <v>#VALUE!</v>
      </c>
      <c r="V1304" s="26" t="e">
        <f t="shared" si="300"/>
        <v>#VALUE!</v>
      </c>
      <c r="W1304" s="1" t="e">
        <f t="shared" si="301"/>
        <v>#VALUE!</v>
      </c>
      <c r="X1304" s="26" t="e">
        <f t="shared" si="302"/>
        <v>#VALUE!</v>
      </c>
      <c r="Y1304" s="26" t="e">
        <f t="shared" si="303"/>
        <v>#VALUE!</v>
      </c>
      <c r="Z1304" s="1" t="e">
        <f t="shared" si="304"/>
        <v>#VALUE!</v>
      </c>
      <c r="AA1304"/>
      <c r="AB1304"/>
    </row>
    <row r="1305" spans="1:28" x14ac:dyDescent="0.55000000000000004">
      <c r="A1305" s="1">
        <f t="shared" si="291"/>
        <v>1305</v>
      </c>
      <c r="B1305" t="s">
        <v>34</v>
      </c>
      <c r="C1305" t="s">
        <v>198</v>
      </c>
      <c r="D1305" t="s">
        <v>179</v>
      </c>
      <c r="E1305" t="s">
        <v>185</v>
      </c>
      <c r="F1305" t="s">
        <v>181</v>
      </c>
      <c r="G1305" t="s">
        <v>98</v>
      </c>
      <c r="I1305" t="s">
        <v>102</v>
      </c>
      <c r="K1305" t="s">
        <v>100</v>
      </c>
      <c r="M1305" t="s">
        <v>47</v>
      </c>
      <c r="N1305" s="1" t="e">
        <f t="shared" si="292"/>
        <v>#VALUE!</v>
      </c>
      <c r="O1305" s="1" t="e">
        <f t="shared" si="293"/>
        <v>#VALUE!</v>
      </c>
      <c r="P1305" s="1" t="e">
        <f t="shared" si="294"/>
        <v>#VALUE!</v>
      </c>
      <c r="Q1305" s="1" t="e">
        <f t="shared" si="295"/>
        <v>#VALUE!</v>
      </c>
      <c r="R1305" s="1" t="e">
        <f t="shared" si="296"/>
        <v>#VALUE!</v>
      </c>
      <c r="S1305" s="1" t="e">
        <f t="shared" si="297"/>
        <v>#VALUE!</v>
      </c>
      <c r="T1305" s="1" t="e">
        <f t="shared" si="298"/>
        <v>#VALUE!</v>
      </c>
      <c r="U1305" s="26" t="e">
        <f t="shared" si="299"/>
        <v>#VALUE!</v>
      </c>
      <c r="V1305" s="26" t="e">
        <f t="shared" si="300"/>
        <v>#VALUE!</v>
      </c>
      <c r="W1305" s="1" t="e">
        <f t="shared" si="301"/>
        <v>#VALUE!</v>
      </c>
      <c r="X1305" s="26" t="e">
        <f t="shared" si="302"/>
        <v>#VALUE!</v>
      </c>
      <c r="Y1305" s="26" t="e">
        <f t="shared" si="303"/>
        <v>#VALUE!</v>
      </c>
      <c r="Z1305" s="1" t="e">
        <f t="shared" si="304"/>
        <v>#VALUE!</v>
      </c>
      <c r="AA1305"/>
      <c r="AB1305"/>
    </row>
    <row r="1306" spans="1:28" x14ac:dyDescent="0.55000000000000004">
      <c r="A1306" s="1">
        <f t="shared" si="291"/>
        <v>1306</v>
      </c>
      <c r="B1306" t="s">
        <v>30</v>
      </c>
      <c r="C1306" t="s">
        <v>120</v>
      </c>
      <c r="D1306" t="s">
        <v>174</v>
      </c>
      <c r="E1306" t="s">
        <v>269</v>
      </c>
      <c r="F1306" t="s">
        <v>181</v>
      </c>
      <c r="G1306" t="s">
        <v>49</v>
      </c>
      <c r="I1306" t="s">
        <v>54</v>
      </c>
      <c r="K1306" t="s">
        <v>72</v>
      </c>
      <c r="M1306" t="s">
        <v>47</v>
      </c>
      <c r="N1306" s="1" t="e">
        <f t="shared" si="292"/>
        <v>#VALUE!</v>
      </c>
      <c r="O1306" s="1" t="e">
        <f t="shared" si="293"/>
        <v>#VALUE!</v>
      </c>
      <c r="P1306" s="1" t="e">
        <f t="shared" si="294"/>
        <v>#VALUE!</v>
      </c>
      <c r="Q1306" s="1" t="e">
        <f t="shared" si="295"/>
        <v>#VALUE!</v>
      </c>
      <c r="R1306" s="1" t="e">
        <f t="shared" si="296"/>
        <v>#VALUE!</v>
      </c>
      <c r="S1306" s="1" t="e">
        <f t="shared" si="297"/>
        <v>#VALUE!</v>
      </c>
      <c r="T1306" s="1" t="e">
        <f t="shared" si="298"/>
        <v>#VALUE!</v>
      </c>
      <c r="U1306" s="26" t="e">
        <f t="shared" si="299"/>
        <v>#VALUE!</v>
      </c>
      <c r="V1306" s="26" t="e">
        <f t="shared" si="300"/>
        <v>#VALUE!</v>
      </c>
      <c r="W1306" s="1" t="e">
        <f t="shared" si="301"/>
        <v>#VALUE!</v>
      </c>
      <c r="X1306" s="26" t="e">
        <f t="shared" si="302"/>
        <v>#VALUE!</v>
      </c>
      <c r="Y1306" s="26" t="e">
        <f t="shared" si="303"/>
        <v>#VALUE!</v>
      </c>
      <c r="Z1306" s="1" t="e">
        <f t="shared" si="304"/>
        <v>#VALUE!</v>
      </c>
      <c r="AA1306"/>
      <c r="AB1306"/>
    </row>
    <row r="1307" spans="1:28" x14ac:dyDescent="0.55000000000000004">
      <c r="A1307" s="1">
        <f t="shared" si="291"/>
        <v>1307</v>
      </c>
      <c r="B1307" t="s">
        <v>31</v>
      </c>
      <c r="C1307" t="s">
        <v>198</v>
      </c>
      <c r="D1307" t="s">
        <v>174</v>
      </c>
      <c r="E1307" t="s">
        <v>269</v>
      </c>
      <c r="F1307" t="s">
        <v>274</v>
      </c>
      <c r="G1307" t="s">
        <v>142</v>
      </c>
      <c r="I1307" t="s">
        <v>144</v>
      </c>
      <c r="K1307" t="s">
        <v>160</v>
      </c>
      <c r="M1307" t="s">
        <v>47</v>
      </c>
      <c r="N1307" s="1" t="e">
        <f t="shared" si="292"/>
        <v>#VALUE!</v>
      </c>
      <c r="O1307" s="1" t="e">
        <f t="shared" si="293"/>
        <v>#VALUE!</v>
      </c>
      <c r="P1307" s="1" t="e">
        <f t="shared" si="294"/>
        <v>#VALUE!</v>
      </c>
      <c r="Q1307" s="1" t="e">
        <f t="shared" si="295"/>
        <v>#VALUE!</v>
      </c>
      <c r="R1307" s="1" t="e">
        <f t="shared" si="296"/>
        <v>#VALUE!</v>
      </c>
      <c r="S1307" s="1" t="e">
        <f t="shared" si="297"/>
        <v>#VALUE!</v>
      </c>
      <c r="T1307" s="1" t="e">
        <f t="shared" si="298"/>
        <v>#VALUE!</v>
      </c>
      <c r="U1307" s="26" t="e">
        <f t="shared" si="299"/>
        <v>#VALUE!</v>
      </c>
      <c r="V1307" s="26" t="e">
        <f t="shared" si="300"/>
        <v>#VALUE!</v>
      </c>
      <c r="W1307" s="1" t="e">
        <f t="shared" si="301"/>
        <v>#VALUE!</v>
      </c>
      <c r="X1307" s="26" t="e">
        <f t="shared" si="302"/>
        <v>#VALUE!</v>
      </c>
      <c r="Y1307" s="26" t="e">
        <f t="shared" si="303"/>
        <v>#VALUE!</v>
      </c>
      <c r="Z1307" s="1" t="e">
        <f t="shared" si="304"/>
        <v>#VALUE!</v>
      </c>
      <c r="AA1307"/>
      <c r="AB1307"/>
    </row>
    <row r="1308" spans="1:28" x14ac:dyDescent="0.55000000000000004">
      <c r="A1308" s="1">
        <f t="shared" si="291"/>
        <v>1308</v>
      </c>
      <c r="B1308" t="s">
        <v>33</v>
      </c>
      <c r="C1308" t="s">
        <v>194</v>
      </c>
      <c r="D1308" t="s">
        <v>174</v>
      </c>
      <c r="E1308" t="s">
        <v>269</v>
      </c>
      <c r="F1308" t="s">
        <v>277</v>
      </c>
      <c r="G1308" t="s">
        <v>284</v>
      </c>
      <c r="I1308" t="s">
        <v>285</v>
      </c>
      <c r="K1308" t="s">
        <v>286</v>
      </c>
      <c r="M1308" t="s">
        <v>47</v>
      </c>
      <c r="N1308" s="1" t="e">
        <f t="shared" si="292"/>
        <v>#VALUE!</v>
      </c>
      <c r="O1308" s="1" t="e">
        <f t="shared" si="293"/>
        <v>#VALUE!</v>
      </c>
      <c r="P1308" s="1" t="e">
        <f t="shared" si="294"/>
        <v>#VALUE!</v>
      </c>
      <c r="Q1308" s="1" t="e">
        <f t="shared" si="295"/>
        <v>#VALUE!</v>
      </c>
      <c r="R1308" s="1" t="e">
        <f t="shared" si="296"/>
        <v>#VALUE!</v>
      </c>
      <c r="S1308" s="1" t="e">
        <f t="shared" si="297"/>
        <v>#VALUE!</v>
      </c>
      <c r="T1308" s="1" t="e">
        <f t="shared" si="298"/>
        <v>#VALUE!</v>
      </c>
      <c r="U1308" s="26" t="e">
        <f t="shared" si="299"/>
        <v>#VALUE!</v>
      </c>
      <c r="V1308" s="26" t="e">
        <f t="shared" si="300"/>
        <v>#VALUE!</v>
      </c>
      <c r="W1308" s="1" t="e">
        <f t="shared" si="301"/>
        <v>#VALUE!</v>
      </c>
      <c r="X1308" s="26" t="e">
        <f t="shared" si="302"/>
        <v>#VALUE!</v>
      </c>
      <c r="Y1308" s="26" t="e">
        <f t="shared" si="303"/>
        <v>#VALUE!</v>
      </c>
      <c r="Z1308" s="1" t="e">
        <f t="shared" si="304"/>
        <v>#VALUE!</v>
      </c>
      <c r="AA1308"/>
      <c r="AB1308"/>
    </row>
    <row r="1309" spans="1:28" x14ac:dyDescent="0.55000000000000004">
      <c r="A1309" s="1">
        <f t="shared" si="291"/>
        <v>1309</v>
      </c>
      <c r="B1309" t="s">
        <v>33</v>
      </c>
      <c r="C1309" t="s">
        <v>194</v>
      </c>
      <c r="D1309" t="s">
        <v>174</v>
      </c>
      <c r="E1309" t="s">
        <v>269</v>
      </c>
      <c r="F1309" t="s">
        <v>277</v>
      </c>
      <c r="G1309" t="s">
        <v>287</v>
      </c>
      <c r="I1309" t="s">
        <v>288</v>
      </c>
      <c r="K1309" t="s">
        <v>289</v>
      </c>
      <c r="M1309" t="s">
        <v>47</v>
      </c>
      <c r="N1309" s="1" t="e">
        <f t="shared" si="292"/>
        <v>#VALUE!</v>
      </c>
      <c r="O1309" s="1" t="e">
        <f t="shared" si="293"/>
        <v>#VALUE!</v>
      </c>
      <c r="P1309" s="1" t="e">
        <f t="shared" si="294"/>
        <v>#VALUE!</v>
      </c>
      <c r="Q1309" s="1" t="e">
        <f t="shared" si="295"/>
        <v>#VALUE!</v>
      </c>
      <c r="R1309" s="1" t="e">
        <f t="shared" si="296"/>
        <v>#VALUE!</v>
      </c>
      <c r="S1309" s="1" t="e">
        <f t="shared" si="297"/>
        <v>#VALUE!</v>
      </c>
      <c r="T1309" s="1" t="e">
        <f t="shared" si="298"/>
        <v>#VALUE!</v>
      </c>
      <c r="U1309" s="26" t="e">
        <f t="shared" si="299"/>
        <v>#VALUE!</v>
      </c>
      <c r="V1309" s="26" t="e">
        <f t="shared" si="300"/>
        <v>#VALUE!</v>
      </c>
      <c r="W1309" s="1" t="e">
        <f t="shared" si="301"/>
        <v>#VALUE!</v>
      </c>
      <c r="X1309" s="26" t="e">
        <f t="shared" si="302"/>
        <v>#VALUE!</v>
      </c>
      <c r="Y1309" s="26" t="e">
        <f t="shared" si="303"/>
        <v>#VALUE!</v>
      </c>
      <c r="Z1309" s="1" t="e">
        <f t="shared" si="304"/>
        <v>#VALUE!</v>
      </c>
      <c r="AA1309"/>
      <c r="AB1309"/>
    </row>
    <row r="1310" spans="1:28" x14ac:dyDescent="0.55000000000000004">
      <c r="A1310" s="1">
        <f t="shared" si="291"/>
        <v>1310</v>
      </c>
      <c r="B1310" t="s">
        <v>33</v>
      </c>
      <c r="C1310" t="s">
        <v>194</v>
      </c>
      <c r="D1310" t="s">
        <v>174</v>
      </c>
      <c r="E1310" t="s">
        <v>269</v>
      </c>
      <c r="F1310" t="s">
        <v>290</v>
      </c>
      <c r="G1310" t="s">
        <v>291</v>
      </c>
      <c r="I1310" t="s">
        <v>292</v>
      </c>
      <c r="K1310" t="s">
        <v>293</v>
      </c>
      <c r="M1310" t="s">
        <v>47</v>
      </c>
      <c r="N1310" s="1" t="e">
        <f t="shared" si="292"/>
        <v>#VALUE!</v>
      </c>
      <c r="O1310" s="1" t="e">
        <f t="shared" si="293"/>
        <v>#VALUE!</v>
      </c>
      <c r="P1310" s="1" t="e">
        <f t="shared" si="294"/>
        <v>#VALUE!</v>
      </c>
      <c r="Q1310" s="1" t="e">
        <f t="shared" si="295"/>
        <v>#VALUE!</v>
      </c>
      <c r="R1310" s="1" t="e">
        <f t="shared" si="296"/>
        <v>#VALUE!</v>
      </c>
      <c r="S1310" s="1" t="e">
        <f t="shared" si="297"/>
        <v>#VALUE!</v>
      </c>
      <c r="T1310" s="1" t="e">
        <f t="shared" si="298"/>
        <v>#VALUE!</v>
      </c>
      <c r="U1310" s="26" t="e">
        <f t="shared" si="299"/>
        <v>#VALUE!</v>
      </c>
      <c r="V1310" s="26" t="e">
        <f t="shared" si="300"/>
        <v>#VALUE!</v>
      </c>
      <c r="W1310" s="1" t="e">
        <f t="shared" si="301"/>
        <v>#VALUE!</v>
      </c>
      <c r="X1310" s="26" t="e">
        <f t="shared" si="302"/>
        <v>#VALUE!</v>
      </c>
      <c r="Y1310" s="26" t="e">
        <f t="shared" si="303"/>
        <v>#VALUE!</v>
      </c>
      <c r="Z1310" s="1" t="e">
        <f t="shared" si="304"/>
        <v>#VALUE!</v>
      </c>
      <c r="AA1310"/>
      <c r="AB1310"/>
    </row>
    <row r="1311" spans="1:28" x14ac:dyDescent="0.55000000000000004">
      <c r="A1311" s="1">
        <f t="shared" si="291"/>
        <v>1311</v>
      </c>
      <c r="B1311" t="s">
        <v>34</v>
      </c>
      <c r="C1311" t="s">
        <v>199</v>
      </c>
      <c r="D1311" t="s">
        <v>174</v>
      </c>
      <c r="E1311" t="s">
        <v>269</v>
      </c>
      <c r="F1311" t="s">
        <v>181</v>
      </c>
      <c r="G1311" t="s">
        <v>99</v>
      </c>
      <c r="I1311" t="s">
        <v>93</v>
      </c>
      <c r="K1311" t="s">
        <v>107</v>
      </c>
      <c r="M1311" t="s">
        <v>47</v>
      </c>
      <c r="N1311" s="1" t="e">
        <f t="shared" si="292"/>
        <v>#VALUE!</v>
      </c>
      <c r="O1311" s="1" t="e">
        <f t="shared" si="293"/>
        <v>#VALUE!</v>
      </c>
      <c r="P1311" s="1" t="e">
        <f t="shared" si="294"/>
        <v>#VALUE!</v>
      </c>
      <c r="Q1311" s="1" t="e">
        <f t="shared" si="295"/>
        <v>#VALUE!</v>
      </c>
      <c r="R1311" s="1" t="e">
        <f t="shared" si="296"/>
        <v>#VALUE!</v>
      </c>
      <c r="S1311" s="1" t="e">
        <f t="shared" si="297"/>
        <v>#VALUE!</v>
      </c>
      <c r="T1311" s="1" t="e">
        <f t="shared" si="298"/>
        <v>#VALUE!</v>
      </c>
      <c r="U1311" s="26" t="e">
        <f t="shared" si="299"/>
        <v>#VALUE!</v>
      </c>
      <c r="V1311" s="26" t="e">
        <f t="shared" si="300"/>
        <v>#VALUE!</v>
      </c>
      <c r="W1311" s="1" t="e">
        <f t="shared" si="301"/>
        <v>#VALUE!</v>
      </c>
      <c r="X1311" s="26" t="e">
        <f t="shared" si="302"/>
        <v>#VALUE!</v>
      </c>
      <c r="Y1311" s="26" t="e">
        <f t="shared" si="303"/>
        <v>#VALUE!</v>
      </c>
      <c r="Z1311" s="1" t="e">
        <f t="shared" si="304"/>
        <v>#VALUE!</v>
      </c>
      <c r="AA1311"/>
      <c r="AB1311"/>
    </row>
    <row r="1312" spans="1:28" x14ac:dyDescent="0.55000000000000004">
      <c r="A1312" s="1">
        <f t="shared" si="291"/>
        <v>1312</v>
      </c>
      <c r="B1312" t="s">
        <v>35</v>
      </c>
      <c r="C1312" t="s">
        <v>122</v>
      </c>
      <c r="D1312" t="s">
        <v>174</v>
      </c>
      <c r="E1312" t="s">
        <v>269</v>
      </c>
      <c r="F1312" t="s">
        <v>181</v>
      </c>
      <c r="G1312" t="s">
        <v>210</v>
      </c>
      <c r="I1312" t="s">
        <v>208</v>
      </c>
      <c r="K1312" t="s">
        <v>212</v>
      </c>
      <c r="M1312" t="s">
        <v>47</v>
      </c>
      <c r="N1312" s="1" t="e">
        <f t="shared" si="292"/>
        <v>#VALUE!</v>
      </c>
      <c r="O1312" s="1" t="e">
        <f t="shared" si="293"/>
        <v>#VALUE!</v>
      </c>
      <c r="P1312" s="1" t="e">
        <f t="shared" si="294"/>
        <v>#VALUE!</v>
      </c>
      <c r="Q1312" s="1" t="e">
        <f t="shared" si="295"/>
        <v>#VALUE!</v>
      </c>
      <c r="R1312" s="1" t="e">
        <f t="shared" si="296"/>
        <v>#VALUE!</v>
      </c>
      <c r="S1312" s="1" t="e">
        <f t="shared" si="297"/>
        <v>#VALUE!</v>
      </c>
      <c r="T1312" s="1" t="e">
        <f t="shared" si="298"/>
        <v>#VALUE!</v>
      </c>
      <c r="U1312" s="26" t="e">
        <f t="shared" si="299"/>
        <v>#VALUE!</v>
      </c>
      <c r="V1312" s="26" t="e">
        <f t="shared" si="300"/>
        <v>#VALUE!</v>
      </c>
      <c r="W1312" s="1" t="e">
        <f t="shared" si="301"/>
        <v>#VALUE!</v>
      </c>
      <c r="X1312" s="26" t="e">
        <f t="shared" si="302"/>
        <v>#VALUE!</v>
      </c>
      <c r="Y1312" s="26" t="e">
        <f t="shared" si="303"/>
        <v>#VALUE!</v>
      </c>
      <c r="Z1312" s="1" t="e">
        <f t="shared" si="304"/>
        <v>#VALUE!</v>
      </c>
      <c r="AA1312"/>
      <c r="AB1312"/>
    </row>
    <row r="1313" spans="1:28" x14ac:dyDescent="0.55000000000000004">
      <c r="A1313" s="1">
        <f t="shared" si="291"/>
        <v>1313</v>
      </c>
      <c r="B1313" t="s">
        <v>40</v>
      </c>
      <c r="C1313" t="s">
        <v>126</v>
      </c>
      <c r="D1313" t="s">
        <v>174</v>
      </c>
      <c r="E1313" t="s">
        <v>269</v>
      </c>
      <c r="F1313" t="s">
        <v>247</v>
      </c>
      <c r="G1313" t="s">
        <v>263</v>
      </c>
      <c r="I1313" t="s">
        <v>248</v>
      </c>
      <c r="K1313" t="s">
        <v>264</v>
      </c>
      <c r="M1313" t="s">
        <v>47</v>
      </c>
      <c r="N1313" s="1" t="e">
        <f t="shared" si="292"/>
        <v>#VALUE!</v>
      </c>
      <c r="O1313" s="1" t="e">
        <f t="shared" si="293"/>
        <v>#VALUE!</v>
      </c>
      <c r="P1313" s="1" t="e">
        <f t="shared" si="294"/>
        <v>#VALUE!</v>
      </c>
      <c r="Q1313" s="1" t="e">
        <f t="shared" si="295"/>
        <v>#VALUE!</v>
      </c>
      <c r="R1313" s="1" t="e">
        <f t="shared" si="296"/>
        <v>#VALUE!</v>
      </c>
      <c r="S1313" s="1" t="e">
        <f t="shared" si="297"/>
        <v>#VALUE!</v>
      </c>
      <c r="T1313" s="1" t="e">
        <f t="shared" si="298"/>
        <v>#VALUE!</v>
      </c>
      <c r="U1313" s="26" t="e">
        <f t="shared" si="299"/>
        <v>#VALUE!</v>
      </c>
      <c r="V1313" s="26" t="e">
        <f t="shared" si="300"/>
        <v>#VALUE!</v>
      </c>
      <c r="W1313" s="1" t="e">
        <f t="shared" si="301"/>
        <v>#VALUE!</v>
      </c>
      <c r="X1313" s="26" t="e">
        <f t="shared" si="302"/>
        <v>#VALUE!</v>
      </c>
      <c r="Y1313" s="26" t="e">
        <f t="shared" si="303"/>
        <v>#VALUE!</v>
      </c>
      <c r="Z1313" s="1" t="e">
        <f t="shared" si="304"/>
        <v>#VALUE!</v>
      </c>
      <c r="AA1313"/>
      <c r="AB1313"/>
    </row>
    <row r="1314" spans="1:28" x14ac:dyDescent="0.55000000000000004">
      <c r="A1314" s="1">
        <f t="shared" si="291"/>
        <v>1314</v>
      </c>
      <c r="B1314" t="s">
        <v>30</v>
      </c>
      <c r="C1314" t="s">
        <v>120</v>
      </c>
      <c r="D1314" t="s">
        <v>133</v>
      </c>
      <c r="E1314" t="s">
        <v>351</v>
      </c>
      <c r="F1314" t="s">
        <v>346</v>
      </c>
      <c r="G1314" t="s">
        <v>55</v>
      </c>
      <c r="I1314" t="s">
        <v>48</v>
      </c>
      <c r="K1314" t="s">
        <v>75</v>
      </c>
      <c r="M1314" t="s">
        <v>47</v>
      </c>
      <c r="N1314" s="1" t="e">
        <f t="shared" si="292"/>
        <v>#VALUE!</v>
      </c>
      <c r="O1314" s="1" t="e">
        <f t="shared" si="293"/>
        <v>#VALUE!</v>
      </c>
      <c r="P1314" s="1" t="e">
        <f t="shared" si="294"/>
        <v>#VALUE!</v>
      </c>
      <c r="Q1314" s="1" t="e">
        <f t="shared" si="295"/>
        <v>#VALUE!</v>
      </c>
      <c r="R1314" s="1" t="e">
        <f t="shared" si="296"/>
        <v>#VALUE!</v>
      </c>
      <c r="S1314" s="1" t="e">
        <f t="shared" si="297"/>
        <v>#VALUE!</v>
      </c>
      <c r="T1314" s="1" t="e">
        <f t="shared" si="298"/>
        <v>#VALUE!</v>
      </c>
      <c r="U1314" s="26" t="e">
        <f t="shared" si="299"/>
        <v>#VALUE!</v>
      </c>
      <c r="V1314" s="26" t="e">
        <f t="shared" si="300"/>
        <v>#VALUE!</v>
      </c>
      <c r="W1314" s="1" t="e">
        <f t="shared" si="301"/>
        <v>#VALUE!</v>
      </c>
      <c r="X1314" s="26" t="e">
        <f t="shared" si="302"/>
        <v>#VALUE!</v>
      </c>
      <c r="Y1314" s="26" t="e">
        <f t="shared" si="303"/>
        <v>#VALUE!</v>
      </c>
      <c r="Z1314" s="1" t="e">
        <f t="shared" si="304"/>
        <v>#VALUE!</v>
      </c>
      <c r="AA1314"/>
      <c r="AB1314"/>
    </row>
    <row r="1315" spans="1:28" x14ac:dyDescent="0.55000000000000004">
      <c r="A1315" s="1">
        <f t="shared" si="291"/>
        <v>1315</v>
      </c>
      <c r="B1315" t="s">
        <v>31</v>
      </c>
      <c r="C1315" t="s">
        <v>198</v>
      </c>
      <c r="D1315" t="s">
        <v>133</v>
      </c>
      <c r="E1315" t="s">
        <v>351</v>
      </c>
      <c r="F1315" t="s">
        <v>357</v>
      </c>
      <c r="G1315" t="s">
        <v>151</v>
      </c>
      <c r="I1315" t="s">
        <v>147</v>
      </c>
      <c r="K1315" t="s">
        <v>156</v>
      </c>
      <c r="M1315" t="s">
        <v>47</v>
      </c>
      <c r="N1315" s="1" t="e">
        <f t="shared" si="292"/>
        <v>#VALUE!</v>
      </c>
      <c r="O1315" s="1" t="e">
        <f t="shared" si="293"/>
        <v>#VALUE!</v>
      </c>
      <c r="P1315" s="1" t="e">
        <f t="shared" si="294"/>
        <v>#VALUE!</v>
      </c>
      <c r="Q1315" s="1" t="e">
        <f t="shared" si="295"/>
        <v>#VALUE!</v>
      </c>
      <c r="R1315" s="1" t="e">
        <f t="shared" si="296"/>
        <v>#VALUE!</v>
      </c>
      <c r="S1315" s="1" t="e">
        <f t="shared" si="297"/>
        <v>#VALUE!</v>
      </c>
      <c r="T1315" s="1" t="e">
        <f t="shared" si="298"/>
        <v>#VALUE!</v>
      </c>
      <c r="U1315" s="26" t="e">
        <f t="shared" si="299"/>
        <v>#VALUE!</v>
      </c>
      <c r="V1315" s="26" t="e">
        <f t="shared" si="300"/>
        <v>#VALUE!</v>
      </c>
      <c r="W1315" s="1" t="e">
        <f t="shared" si="301"/>
        <v>#VALUE!</v>
      </c>
      <c r="X1315" s="26" t="e">
        <f t="shared" si="302"/>
        <v>#VALUE!</v>
      </c>
      <c r="Y1315" s="26" t="e">
        <f t="shared" si="303"/>
        <v>#VALUE!</v>
      </c>
      <c r="Z1315" s="1" t="e">
        <f t="shared" si="304"/>
        <v>#VALUE!</v>
      </c>
      <c r="AA1315"/>
      <c r="AB1315"/>
    </row>
    <row r="1316" spans="1:28" x14ac:dyDescent="0.55000000000000004">
      <c r="A1316" s="1">
        <f t="shared" si="291"/>
        <v>1316</v>
      </c>
      <c r="B1316" t="s">
        <v>31</v>
      </c>
      <c r="C1316" t="s">
        <v>198</v>
      </c>
      <c r="D1316" t="s">
        <v>133</v>
      </c>
      <c r="E1316" t="s">
        <v>351</v>
      </c>
      <c r="F1316" t="s">
        <v>357</v>
      </c>
      <c r="G1316" t="s">
        <v>141</v>
      </c>
      <c r="I1316" t="s">
        <v>138</v>
      </c>
      <c r="K1316" t="s">
        <v>143</v>
      </c>
      <c r="M1316" t="s">
        <v>47</v>
      </c>
      <c r="N1316" s="1" t="e">
        <f t="shared" si="292"/>
        <v>#VALUE!</v>
      </c>
      <c r="O1316" s="1" t="e">
        <f t="shared" si="293"/>
        <v>#VALUE!</v>
      </c>
      <c r="P1316" s="1" t="e">
        <f t="shared" si="294"/>
        <v>#VALUE!</v>
      </c>
      <c r="Q1316" s="1" t="e">
        <f t="shared" si="295"/>
        <v>#VALUE!</v>
      </c>
      <c r="R1316" s="1" t="e">
        <f t="shared" si="296"/>
        <v>#VALUE!</v>
      </c>
      <c r="S1316" s="1" t="e">
        <f t="shared" si="297"/>
        <v>#VALUE!</v>
      </c>
      <c r="T1316" s="1" t="e">
        <f t="shared" si="298"/>
        <v>#VALUE!</v>
      </c>
      <c r="U1316" s="26" t="e">
        <f t="shared" si="299"/>
        <v>#VALUE!</v>
      </c>
      <c r="V1316" s="26" t="e">
        <f t="shared" si="300"/>
        <v>#VALUE!</v>
      </c>
      <c r="W1316" s="1" t="e">
        <f t="shared" si="301"/>
        <v>#VALUE!</v>
      </c>
      <c r="X1316" s="26" t="e">
        <f t="shared" si="302"/>
        <v>#VALUE!</v>
      </c>
      <c r="Y1316" s="26" t="e">
        <f t="shared" si="303"/>
        <v>#VALUE!</v>
      </c>
      <c r="Z1316" s="1" t="e">
        <f t="shared" si="304"/>
        <v>#VALUE!</v>
      </c>
      <c r="AA1316"/>
      <c r="AB1316"/>
    </row>
    <row r="1317" spans="1:28" x14ac:dyDescent="0.55000000000000004">
      <c r="A1317" s="1">
        <f t="shared" si="291"/>
        <v>1317</v>
      </c>
      <c r="B1317" t="s">
        <v>33</v>
      </c>
      <c r="C1317" t="s">
        <v>194</v>
      </c>
      <c r="D1317" t="s">
        <v>133</v>
      </c>
      <c r="E1317" t="s">
        <v>351</v>
      </c>
      <c r="F1317" t="s">
        <v>364</v>
      </c>
      <c r="G1317" t="s">
        <v>362</v>
      </c>
      <c r="I1317" t="s">
        <v>282</v>
      </c>
      <c r="K1317" t="s">
        <v>363</v>
      </c>
      <c r="M1317" t="s">
        <v>47</v>
      </c>
      <c r="N1317" s="1" t="e">
        <f t="shared" si="292"/>
        <v>#VALUE!</v>
      </c>
      <c r="O1317" s="1" t="e">
        <f t="shared" si="293"/>
        <v>#VALUE!</v>
      </c>
      <c r="P1317" s="1" t="e">
        <f t="shared" si="294"/>
        <v>#VALUE!</v>
      </c>
      <c r="Q1317" s="1" t="e">
        <f t="shared" si="295"/>
        <v>#VALUE!</v>
      </c>
      <c r="R1317" s="1" t="e">
        <f t="shared" si="296"/>
        <v>#VALUE!</v>
      </c>
      <c r="S1317" s="1" t="e">
        <f t="shared" si="297"/>
        <v>#VALUE!</v>
      </c>
      <c r="T1317" s="1" t="e">
        <f t="shared" si="298"/>
        <v>#VALUE!</v>
      </c>
      <c r="U1317" s="26" t="e">
        <f t="shared" si="299"/>
        <v>#VALUE!</v>
      </c>
      <c r="V1317" s="26" t="e">
        <f t="shared" si="300"/>
        <v>#VALUE!</v>
      </c>
      <c r="W1317" s="1" t="e">
        <f t="shared" si="301"/>
        <v>#VALUE!</v>
      </c>
      <c r="X1317" s="26" t="e">
        <f t="shared" si="302"/>
        <v>#VALUE!</v>
      </c>
      <c r="Y1317" s="26" t="e">
        <f t="shared" si="303"/>
        <v>#VALUE!</v>
      </c>
      <c r="Z1317" s="1" t="e">
        <f t="shared" si="304"/>
        <v>#VALUE!</v>
      </c>
      <c r="AA1317"/>
      <c r="AB1317"/>
    </row>
    <row r="1318" spans="1:28" x14ac:dyDescent="0.55000000000000004">
      <c r="A1318" s="1">
        <f t="shared" si="291"/>
        <v>1318</v>
      </c>
      <c r="B1318" t="s">
        <v>33</v>
      </c>
      <c r="C1318" t="s">
        <v>194</v>
      </c>
      <c r="D1318" t="s">
        <v>133</v>
      </c>
      <c r="E1318" t="s">
        <v>351</v>
      </c>
      <c r="F1318" t="s">
        <v>277</v>
      </c>
      <c r="G1318" t="s">
        <v>296</v>
      </c>
      <c r="I1318" t="s">
        <v>367</v>
      </c>
      <c r="K1318" t="s">
        <v>297</v>
      </c>
      <c r="M1318" t="s">
        <v>47</v>
      </c>
      <c r="N1318" s="1" t="e">
        <f t="shared" si="292"/>
        <v>#VALUE!</v>
      </c>
      <c r="O1318" s="1" t="e">
        <f t="shared" si="293"/>
        <v>#VALUE!</v>
      </c>
      <c r="P1318" s="1" t="e">
        <f t="shared" si="294"/>
        <v>#VALUE!</v>
      </c>
      <c r="Q1318" s="1" t="e">
        <f t="shared" si="295"/>
        <v>#VALUE!</v>
      </c>
      <c r="R1318" s="1" t="e">
        <f t="shared" si="296"/>
        <v>#VALUE!</v>
      </c>
      <c r="S1318" s="1" t="e">
        <f t="shared" si="297"/>
        <v>#VALUE!</v>
      </c>
      <c r="T1318" s="1" t="e">
        <f t="shared" si="298"/>
        <v>#VALUE!</v>
      </c>
      <c r="U1318" s="26" t="e">
        <f t="shared" si="299"/>
        <v>#VALUE!</v>
      </c>
      <c r="V1318" s="26" t="e">
        <f t="shared" si="300"/>
        <v>#VALUE!</v>
      </c>
      <c r="W1318" s="1" t="e">
        <f t="shared" si="301"/>
        <v>#VALUE!</v>
      </c>
      <c r="X1318" s="26" t="e">
        <f t="shared" si="302"/>
        <v>#VALUE!</v>
      </c>
      <c r="Y1318" s="26" t="e">
        <f t="shared" si="303"/>
        <v>#VALUE!</v>
      </c>
      <c r="Z1318" s="1" t="e">
        <f t="shared" si="304"/>
        <v>#VALUE!</v>
      </c>
      <c r="AA1318"/>
      <c r="AB1318"/>
    </row>
    <row r="1319" spans="1:28" x14ac:dyDescent="0.55000000000000004">
      <c r="A1319" s="1">
        <f t="shared" si="291"/>
        <v>1319</v>
      </c>
      <c r="B1319" t="s">
        <v>33</v>
      </c>
      <c r="C1319" t="s">
        <v>194</v>
      </c>
      <c r="D1319" t="s">
        <v>133</v>
      </c>
      <c r="E1319" t="s">
        <v>351</v>
      </c>
      <c r="F1319" t="s">
        <v>277</v>
      </c>
      <c r="G1319" t="s">
        <v>299</v>
      </c>
      <c r="I1319" t="s">
        <v>281</v>
      </c>
      <c r="K1319" t="s">
        <v>370</v>
      </c>
      <c r="M1319" t="s">
        <v>47</v>
      </c>
      <c r="N1319" s="1" t="e">
        <f t="shared" si="292"/>
        <v>#VALUE!</v>
      </c>
      <c r="O1319" s="1" t="e">
        <f t="shared" si="293"/>
        <v>#VALUE!</v>
      </c>
      <c r="P1319" s="1" t="e">
        <f t="shared" si="294"/>
        <v>#VALUE!</v>
      </c>
      <c r="Q1319" s="1" t="e">
        <f t="shared" si="295"/>
        <v>#VALUE!</v>
      </c>
      <c r="R1319" s="1" t="e">
        <f t="shared" si="296"/>
        <v>#VALUE!</v>
      </c>
      <c r="S1319" s="1" t="e">
        <f t="shared" si="297"/>
        <v>#VALUE!</v>
      </c>
      <c r="T1319" s="1" t="e">
        <f t="shared" si="298"/>
        <v>#VALUE!</v>
      </c>
      <c r="U1319" s="26" t="e">
        <f t="shared" si="299"/>
        <v>#VALUE!</v>
      </c>
      <c r="V1319" s="26" t="e">
        <f t="shared" si="300"/>
        <v>#VALUE!</v>
      </c>
      <c r="W1319" s="1" t="e">
        <f t="shared" si="301"/>
        <v>#VALUE!</v>
      </c>
      <c r="X1319" s="26" t="e">
        <f t="shared" si="302"/>
        <v>#VALUE!</v>
      </c>
      <c r="Y1319" s="26" t="e">
        <f t="shared" si="303"/>
        <v>#VALUE!</v>
      </c>
      <c r="Z1319" s="1" t="e">
        <f t="shared" si="304"/>
        <v>#VALUE!</v>
      </c>
      <c r="AA1319"/>
      <c r="AB1319"/>
    </row>
    <row r="1320" spans="1:28" x14ac:dyDescent="0.55000000000000004">
      <c r="A1320" s="1">
        <f t="shared" si="291"/>
        <v>1320</v>
      </c>
      <c r="B1320" t="s">
        <v>33</v>
      </c>
      <c r="C1320" t="s">
        <v>194</v>
      </c>
      <c r="D1320" t="s">
        <v>133</v>
      </c>
      <c r="E1320" t="s">
        <v>351</v>
      </c>
      <c r="F1320" t="s">
        <v>290</v>
      </c>
      <c r="G1320" t="s">
        <v>365</v>
      </c>
      <c r="I1320" t="s">
        <v>279</v>
      </c>
      <c r="K1320" t="s">
        <v>369</v>
      </c>
      <c r="M1320" t="s">
        <v>47</v>
      </c>
      <c r="N1320" s="1" t="e">
        <f t="shared" si="292"/>
        <v>#VALUE!</v>
      </c>
      <c r="O1320" s="1" t="e">
        <f t="shared" si="293"/>
        <v>#VALUE!</v>
      </c>
      <c r="P1320" s="1" t="e">
        <f t="shared" si="294"/>
        <v>#VALUE!</v>
      </c>
      <c r="Q1320" s="1" t="e">
        <f t="shared" si="295"/>
        <v>#VALUE!</v>
      </c>
      <c r="R1320" s="1" t="e">
        <f t="shared" si="296"/>
        <v>#VALUE!</v>
      </c>
      <c r="S1320" s="1" t="e">
        <f t="shared" si="297"/>
        <v>#VALUE!</v>
      </c>
      <c r="T1320" s="1" t="e">
        <f t="shared" si="298"/>
        <v>#VALUE!</v>
      </c>
      <c r="U1320" s="26" t="e">
        <f t="shared" si="299"/>
        <v>#VALUE!</v>
      </c>
      <c r="V1320" s="26" t="e">
        <f t="shared" si="300"/>
        <v>#VALUE!</v>
      </c>
      <c r="W1320" s="1" t="e">
        <f t="shared" si="301"/>
        <v>#VALUE!</v>
      </c>
      <c r="X1320" s="26" t="e">
        <f t="shared" si="302"/>
        <v>#VALUE!</v>
      </c>
      <c r="Y1320" s="26" t="e">
        <f t="shared" si="303"/>
        <v>#VALUE!</v>
      </c>
      <c r="Z1320" s="1" t="e">
        <f t="shared" si="304"/>
        <v>#VALUE!</v>
      </c>
      <c r="AA1320"/>
      <c r="AB1320"/>
    </row>
    <row r="1321" spans="1:28" x14ac:dyDescent="0.55000000000000004">
      <c r="A1321" s="1">
        <f t="shared" si="291"/>
        <v>1321</v>
      </c>
      <c r="B1321" t="s">
        <v>33</v>
      </c>
      <c r="C1321" t="s">
        <v>194</v>
      </c>
      <c r="D1321" t="s">
        <v>133</v>
      </c>
      <c r="E1321" t="s">
        <v>351</v>
      </c>
      <c r="F1321" t="s">
        <v>290</v>
      </c>
      <c r="G1321" t="s">
        <v>360</v>
      </c>
      <c r="I1321" t="s">
        <v>278</v>
      </c>
      <c r="K1321" t="s">
        <v>371</v>
      </c>
      <c r="M1321" t="s">
        <v>47</v>
      </c>
      <c r="N1321" s="1" t="e">
        <f t="shared" si="292"/>
        <v>#VALUE!</v>
      </c>
      <c r="O1321" s="1" t="e">
        <f t="shared" si="293"/>
        <v>#VALUE!</v>
      </c>
      <c r="P1321" s="1" t="e">
        <f t="shared" si="294"/>
        <v>#VALUE!</v>
      </c>
      <c r="Q1321" s="1" t="e">
        <f t="shared" si="295"/>
        <v>#VALUE!</v>
      </c>
      <c r="R1321" s="1" t="e">
        <f t="shared" si="296"/>
        <v>#VALUE!</v>
      </c>
      <c r="S1321" s="1" t="e">
        <f t="shared" si="297"/>
        <v>#VALUE!</v>
      </c>
      <c r="T1321" s="1" t="e">
        <f t="shared" si="298"/>
        <v>#VALUE!</v>
      </c>
      <c r="U1321" s="26" t="e">
        <f t="shared" si="299"/>
        <v>#VALUE!</v>
      </c>
      <c r="V1321" s="26" t="e">
        <f t="shared" si="300"/>
        <v>#VALUE!</v>
      </c>
      <c r="W1321" s="1" t="e">
        <f t="shared" si="301"/>
        <v>#VALUE!</v>
      </c>
      <c r="X1321" s="26" t="e">
        <f t="shared" si="302"/>
        <v>#VALUE!</v>
      </c>
      <c r="Y1321" s="26" t="e">
        <f t="shared" si="303"/>
        <v>#VALUE!</v>
      </c>
      <c r="Z1321" s="1" t="e">
        <f t="shared" si="304"/>
        <v>#VALUE!</v>
      </c>
      <c r="AA1321"/>
      <c r="AB1321"/>
    </row>
    <row r="1322" spans="1:28" x14ac:dyDescent="0.55000000000000004">
      <c r="A1322" s="1">
        <f t="shared" si="291"/>
        <v>1322</v>
      </c>
      <c r="B1322" t="s">
        <v>35</v>
      </c>
      <c r="C1322" t="s">
        <v>122</v>
      </c>
      <c r="D1322" t="s">
        <v>133</v>
      </c>
      <c r="E1322" t="s">
        <v>351</v>
      </c>
      <c r="F1322" t="s">
        <v>376</v>
      </c>
      <c r="G1322" t="s">
        <v>304</v>
      </c>
      <c r="I1322" t="s">
        <v>207</v>
      </c>
      <c r="K1322" t="s">
        <v>382</v>
      </c>
      <c r="M1322" t="s">
        <v>47</v>
      </c>
      <c r="N1322" s="1" t="e">
        <f t="shared" si="292"/>
        <v>#VALUE!</v>
      </c>
      <c r="O1322" s="1" t="e">
        <f t="shared" si="293"/>
        <v>#VALUE!</v>
      </c>
      <c r="P1322" s="1" t="e">
        <f t="shared" si="294"/>
        <v>#VALUE!</v>
      </c>
      <c r="Q1322" s="1" t="e">
        <f t="shared" si="295"/>
        <v>#VALUE!</v>
      </c>
      <c r="R1322" s="1" t="e">
        <f t="shared" si="296"/>
        <v>#VALUE!</v>
      </c>
      <c r="S1322" s="1" t="e">
        <f t="shared" si="297"/>
        <v>#VALUE!</v>
      </c>
      <c r="T1322" s="1" t="e">
        <f t="shared" si="298"/>
        <v>#VALUE!</v>
      </c>
      <c r="U1322" s="26" t="e">
        <f t="shared" si="299"/>
        <v>#VALUE!</v>
      </c>
      <c r="V1322" s="26" t="e">
        <f t="shared" si="300"/>
        <v>#VALUE!</v>
      </c>
      <c r="W1322" s="1" t="e">
        <f t="shared" si="301"/>
        <v>#VALUE!</v>
      </c>
      <c r="X1322" s="26" t="e">
        <f t="shared" si="302"/>
        <v>#VALUE!</v>
      </c>
      <c r="Y1322" s="26" t="e">
        <f t="shared" si="303"/>
        <v>#VALUE!</v>
      </c>
      <c r="Z1322" s="1" t="e">
        <f t="shared" si="304"/>
        <v>#VALUE!</v>
      </c>
      <c r="AA1322"/>
      <c r="AB1322"/>
    </row>
    <row r="1323" spans="1:28" x14ac:dyDescent="0.55000000000000004">
      <c r="A1323" s="1">
        <f t="shared" si="291"/>
        <v>1323</v>
      </c>
      <c r="B1323" t="s">
        <v>39</v>
      </c>
      <c r="C1323" t="s">
        <v>194</v>
      </c>
      <c r="D1323" t="s">
        <v>133</v>
      </c>
      <c r="E1323" t="s">
        <v>351</v>
      </c>
      <c r="F1323" t="s">
        <v>218</v>
      </c>
      <c r="G1323" t="s">
        <v>219</v>
      </c>
      <c r="I1323" t="s">
        <v>235</v>
      </c>
      <c r="K1323" t="s">
        <v>221</v>
      </c>
      <c r="M1323" t="s">
        <v>47</v>
      </c>
      <c r="N1323" s="1" t="e">
        <f t="shared" si="292"/>
        <v>#VALUE!</v>
      </c>
      <c r="O1323" s="1" t="e">
        <f t="shared" si="293"/>
        <v>#VALUE!</v>
      </c>
      <c r="P1323" s="1" t="e">
        <f t="shared" si="294"/>
        <v>#VALUE!</v>
      </c>
      <c r="Q1323" s="1" t="e">
        <f t="shared" si="295"/>
        <v>#VALUE!</v>
      </c>
      <c r="R1323" s="1" t="e">
        <f t="shared" si="296"/>
        <v>#VALUE!</v>
      </c>
      <c r="S1323" s="1" t="e">
        <f t="shared" si="297"/>
        <v>#VALUE!</v>
      </c>
      <c r="T1323" s="1" t="e">
        <f t="shared" si="298"/>
        <v>#VALUE!</v>
      </c>
      <c r="U1323" s="26" t="e">
        <f t="shared" si="299"/>
        <v>#VALUE!</v>
      </c>
      <c r="V1323" s="26" t="e">
        <f t="shared" si="300"/>
        <v>#VALUE!</v>
      </c>
      <c r="W1323" s="1" t="e">
        <f t="shared" si="301"/>
        <v>#VALUE!</v>
      </c>
      <c r="X1323" s="26" t="e">
        <f t="shared" si="302"/>
        <v>#VALUE!</v>
      </c>
      <c r="Y1323" s="26" t="e">
        <f t="shared" si="303"/>
        <v>#VALUE!</v>
      </c>
      <c r="Z1323" s="1" t="e">
        <f t="shared" si="304"/>
        <v>#VALUE!</v>
      </c>
      <c r="AA1323"/>
      <c r="AB1323"/>
    </row>
    <row r="1324" spans="1:28" x14ac:dyDescent="0.55000000000000004">
      <c r="A1324" s="1">
        <f t="shared" si="291"/>
        <v>1324</v>
      </c>
      <c r="B1324" t="s">
        <v>39</v>
      </c>
      <c r="C1324" t="s">
        <v>194</v>
      </c>
      <c r="D1324" t="s">
        <v>133</v>
      </c>
      <c r="E1324" t="s">
        <v>351</v>
      </c>
      <c r="F1324" t="s">
        <v>218</v>
      </c>
      <c r="G1324" t="s">
        <v>228</v>
      </c>
      <c r="I1324" t="s">
        <v>226</v>
      </c>
      <c r="K1324" t="s">
        <v>230</v>
      </c>
      <c r="M1324" t="s">
        <v>47</v>
      </c>
      <c r="N1324" s="1" t="e">
        <f t="shared" si="292"/>
        <v>#VALUE!</v>
      </c>
      <c r="O1324" s="1" t="e">
        <f t="shared" si="293"/>
        <v>#VALUE!</v>
      </c>
      <c r="P1324" s="1" t="e">
        <f t="shared" si="294"/>
        <v>#VALUE!</v>
      </c>
      <c r="Q1324" s="1" t="e">
        <f t="shared" si="295"/>
        <v>#VALUE!</v>
      </c>
      <c r="R1324" s="1" t="e">
        <f t="shared" si="296"/>
        <v>#VALUE!</v>
      </c>
      <c r="S1324" s="1" t="e">
        <f t="shared" si="297"/>
        <v>#VALUE!</v>
      </c>
      <c r="T1324" s="1" t="e">
        <f t="shared" si="298"/>
        <v>#VALUE!</v>
      </c>
      <c r="U1324" s="26" t="e">
        <f t="shared" si="299"/>
        <v>#VALUE!</v>
      </c>
      <c r="V1324" s="26" t="e">
        <f t="shared" si="300"/>
        <v>#VALUE!</v>
      </c>
      <c r="W1324" s="1" t="e">
        <f t="shared" si="301"/>
        <v>#VALUE!</v>
      </c>
      <c r="X1324" s="26" t="e">
        <f t="shared" si="302"/>
        <v>#VALUE!</v>
      </c>
      <c r="Y1324" s="26" t="e">
        <f t="shared" si="303"/>
        <v>#VALUE!</v>
      </c>
      <c r="Z1324" s="1" t="e">
        <f t="shared" si="304"/>
        <v>#VALUE!</v>
      </c>
      <c r="AA1324"/>
      <c r="AB1324"/>
    </row>
    <row r="1325" spans="1:28" x14ac:dyDescent="0.55000000000000004">
      <c r="A1325" s="1">
        <f t="shared" si="291"/>
        <v>1325</v>
      </c>
      <c r="B1325" t="s">
        <v>39</v>
      </c>
      <c r="C1325" t="s">
        <v>194</v>
      </c>
      <c r="D1325" t="s">
        <v>133</v>
      </c>
      <c r="E1325" t="s">
        <v>351</v>
      </c>
      <c r="F1325" t="s">
        <v>218</v>
      </c>
      <c r="G1325" t="s">
        <v>231</v>
      </c>
      <c r="I1325" t="s">
        <v>229</v>
      </c>
      <c r="K1325" t="s">
        <v>233</v>
      </c>
      <c r="M1325" t="s">
        <v>47</v>
      </c>
      <c r="N1325" s="1" t="e">
        <f t="shared" si="292"/>
        <v>#VALUE!</v>
      </c>
      <c r="O1325" s="1" t="e">
        <f t="shared" si="293"/>
        <v>#VALUE!</v>
      </c>
      <c r="P1325" s="1" t="e">
        <f t="shared" si="294"/>
        <v>#VALUE!</v>
      </c>
      <c r="Q1325" s="1" t="e">
        <f t="shared" si="295"/>
        <v>#VALUE!</v>
      </c>
      <c r="R1325" s="1" t="e">
        <f t="shared" si="296"/>
        <v>#VALUE!</v>
      </c>
      <c r="S1325" s="1" t="e">
        <f t="shared" si="297"/>
        <v>#VALUE!</v>
      </c>
      <c r="T1325" s="1" t="e">
        <f t="shared" si="298"/>
        <v>#VALUE!</v>
      </c>
      <c r="U1325" s="26" t="e">
        <f t="shared" si="299"/>
        <v>#VALUE!</v>
      </c>
      <c r="V1325" s="26" t="e">
        <f t="shared" si="300"/>
        <v>#VALUE!</v>
      </c>
      <c r="W1325" s="1" t="e">
        <f t="shared" si="301"/>
        <v>#VALUE!</v>
      </c>
      <c r="X1325" s="26" t="e">
        <f t="shared" si="302"/>
        <v>#VALUE!</v>
      </c>
      <c r="Y1325" s="26" t="e">
        <f t="shared" si="303"/>
        <v>#VALUE!</v>
      </c>
      <c r="Z1325" s="1" t="e">
        <f t="shared" si="304"/>
        <v>#VALUE!</v>
      </c>
      <c r="AA1325"/>
      <c r="AB1325"/>
    </row>
    <row r="1326" spans="1:28" x14ac:dyDescent="0.55000000000000004">
      <c r="A1326" s="1">
        <f t="shared" si="291"/>
        <v>1326</v>
      </c>
      <c r="B1326" t="s">
        <v>40</v>
      </c>
      <c r="C1326" t="s">
        <v>126</v>
      </c>
      <c r="D1326" t="s">
        <v>133</v>
      </c>
      <c r="E1326" t="s">
        <v>351</v>
      </c>
      <c r="F1326" t="s">
        <v>394</v>
      </c>
      <c r="G1326" t="s">
        <v>253</v>
      </c>
      <c r="I1326" t="s">
        <v>261</v>
      </c>
      <c r="K1326" t="s">
        <v>395</v>
      </c>
      <c r="M1326" t="s">
        <v>47</v>
      </c>
      <c r="N1326" s="1" t="e">
        <f t="shared" si="292"/>
        <v>#VALUE!</v>
      </c>
      <c r="O1326" s="1" t="e">
        <f t="shared" si="293"/>
        <v>#VALUE!</v>
      </c>
      <c r="P1326" s="1" t="e">
        <f t="shared" si="294"/>
        <v>#VALUE!</v>
      </c>
      <c r="Q1326" s="1" t="e">
        <f t="shared" si="295"/>
        <v>#VALUE!</v>
      </c>
      <c r="R1326" s="1" t="e">
        <f t="shared" si="296"/>
        <v>#VALUE!</v>
      </c>
      <c r="S1326" s="1" t="e">
        <f t="shared" si="297"/>
        <v>#VALUE!</v>
      </c>
      <c r="T1326" s="1" t="e">
        <f t="shared" si="298"/>
        <v>#VALUE!</v>
      </c>
      <c r="U1326" s="26" t="e">
        <f t="shared" si="299"/>
        <v>#VALUE!</v>
      </c>
      <c r="V1326" s="26" t="e">
        <f t="shared" si="300"/>
        <v>#VALUE!</v>
      </c>
      <c r="W1326" s="1" t="e">
        <f t="shared" si="301"/>
        <v>#VALUE!</v>
      </c>
      <c r="X1326" s="26" t="e">
        <f t="shared" si="302"/>
        <v>#VALUE!</v>
      </c>
      <c r="Y1326" s="26" t="e">
        <f t="shared" si="303"/>
        <v>#VALUE!</v>
      </c>
      <c r="Z1326" s="1" t="e">
        <f t="shared" si="304"/>
        <v>#VALUE!</v>
      </c>
      <c r="AA1326"/>
      <c r="AB1326"/>
    </row>
    <row r="1327" spans="1:28" x14ac:dyDescent="0.55000000000000004">
      <c r="A1327" s="1">
        <f t="shared" si="291"/>
        <v>1327</v>
      </c>
      <c r="B1327" t="s">
        <v>40</v>
      </c>
      <c r="C1327" t="s">
        <v>126</v>
      </c>
      <c r="D1327" t="s">
        <v>133</v>
      </c>
      <c r="E1327" t="s">
        <v>351</v>
      </c>
      <c r="F1327" t="s">
        <v>392</v>
      </c>
      <c r="G1327" t="s">
        <v>266</v>
      </c>
      <c r="I1327" t="s">
        <v>260</v>
      </c>
      <c r="K1327" t="s">
        <v>267</v>
      </c>
      <c r="M1327" t="s">
        <v>47</v>
      </c>
      <c r="N1327" s="1" t="e">
        <f t="shared" si="292"/>
        <v>#VALUE!</v>
      </c>
      <c r="O1327" s="1" t="e">
        <f t="shared" si="293"/>
        <v>#VALUE!</v>
      </c>
      <c r="P1327" s="1" t="e">
        <f t="shared" si="294"/>
        <v>#VALUE!</v>
      </c>
      <c r="Q1327" s="1" t="e">
        <f t="shared" si="295"/>
        <v>#VALUE!</v>
      </c>
      <c r="R1327" s="1" t="e">
        <f t="shared" si="296"/>
        <v>#VALUE!</v>
      </c>
      <c r="S1327" s="1" t="e">
        <f t="shared" si="297"/>
        <v>#VALUE!</v>
      </c>
      <c r="T1327" s="1" t="e">
        <f t="shared" si="298"/>
        <v>#VALUE!</v>
      </c>
      <c r="U1327" s="26" t="e">
        <f t="shared" si="299"/>
        <v>#VALUE!</v>
      </c>
      <c r="V1327" s="26" t="e">
        <f t="shared" si="300"/>
        <v>#VALUE!</v>
      </c>
      <c r="W1327" s="1" t="e">
        <f t="shared" si="301"/>
        <v>#VALUE!</v>
      </c>
      <c r="X1327" s="26" t="e">
        <f t="shared" si="302"/>
        <v>#VALUE!</v>
      </c>
      <c r="Y1327" s="26" t="e">
        <f t="shared" si="303"/>
        <v>#VALUE!</v>
      </c>
      <c r="Z1327" s="1" t="e">
        <f t="shared" si="304"/>
        <v>#VALUE!</v>
      </c>
      <c r="AA1327"/>
      <c r="AB1327"/>
    </row>
    <row r="1328" spans="1:28" x14ac:dyDescent="0.55000000000000004">
      <c r="A1328" s="1">
        <f t="shared" si="291"/>
        <v>1328</v>
      </c>
      <c r="B1328" t="s">
        <v>40</v>
      </c>
      <c r="C1328" t="s">
        <v>126</v>
      </c>
      <c r="D1328" t="s">
        <v>133</v>
      </c>
      <c r="E1328" t="s">
        <v>351</v>
      </c>
      <c r="F1328" t="s">
        <v>251</v>
      </c>
      <c r="G1328" t="s">
        <v>252</v>
      </c>
      <c r="I1328" t="s">
        <v>255</v>
      </c>
      <c r="K1328" t="s">
        <v>254</v>
      </c>
      <c r="M1328" t="s">
        <v>47</v>
      </c>
      <c r="N1328" s="1" t="e">
        <f t="shared" si="292"/>
        <v>#VALUE!</v>
      </c>
      <c r="O1328" s="1" t="e">
        <f t="shared" si="293"/>
        <v>#VALUE!</v>
      </c>
      <c r="P1328" s="1" t="e">
        <f t="shared" si="294"/>
        <v>#VALUE!</v>
      </c>
      <c r="Q1328" s="1" t="e">
        <f t="shared" si="295"/>
        <v>#VALUE!</v>
      </c>
      <c r="R1328" s="1" t="e">
        <f t="shared" si="296"/>
        <v>#VALUE!</v>
      </c>
      <c r="S1328" s="1" t="e">
        <f t="shared" si="297"/>
        <v>#VALUE!</v>
      </c>
      <c r="T1328" s="1" t="e">
        <f t="shared" si="298"/>
        <v>#VALUE!</v>
      </c>
      <c r="U1328" s="26" t="e">
        <f t="shared" si="299"/>
        <v>#VALUE!</v>
      </c>
      <c r="V1328" s="26" t="e">
        <f t="shared" si="300"/>
        <v>#VALUE!</v>
      </c>
      <c r="W1328" s="1" t="e">
        <f t="shared" si="301"/>
        <v>#VALUE!</v>
      </c>
      <c r="X1328" s="26" t="e">
        <f t="shared" si="302"/>
        <v>#VALUE!</v>
      </c>
      <c r="Y1328" s="26" t="e">
        <f t="shared" si="303"/>
        <v>#VALUE!</v>
      </c>
      <c r="Z1328" s="1" t="e">
        <f t="shared" si="304"/>
        <v>#VALUE!</v>
      </c>
      <c r="AA1328"/>
      <c r="AB1328"/>
    </row>
    <row r="1329" spans="1:28" x14ac:dyDescent="0.55000000000000004">
      <c r="A1329" s="1">
        <f t="shared" si="291"/>
        <v>1329</v>
      </c>
      <c r="B1329" t="s">
        <v>30</v>
      </c>
      <c r="C1329" t="s">
        <v>120</v>
      </c>
      <c r="D1329" t="s">
        <v>42</v>
      </c>
      <c r="E1329" t="s">
        <v>403</v>
      </c>
      <c r="F1329" t="s">
        <v>380</v>
      </c>
      <c r="G1329" t="s">
        <v>51</v>
      </c>
      <c r="I1329" t="s">
        <v>60</v>
      </c>
      <c r="K1329" t="s">
        <v>53</v>
      </c>
      <c r="M1329" t="s">
        <v>47</v>
      </c>
      <c r="N1329" s="1" t="e">
        <f t="shared" si="292"/>
        <v>#VALUE!</v>
      </c>
      <c r="O1329" s="1" t="e">
        <f t="shared" si="293"/>
        <v>#VALUE!</v>
      </c>
      <c r="P1329" s="1" t="e">
        <f t="shared" si="294"/>
        <v>#VALUE!</v>
      </c>
      <c r="Q1329" s="1" t="e">
        <f t="shared" si="295"/>
        <v>#VALUE!</v>
      </c>
      <c r="R1329" s="1" t="e">
        <f t="shared" si="296"/>
        <v>#VALUE!</v>
      </c>
      <c r="S1329" s="1" t="e">
        <f t="shared" si="297"/>
        <v>#VALUE!</v>
      </c>
      <c r="T1329" s="1" t="e">
        <f t="shared" si="298"/>
        <v>#VALUE!</v>
      </c>
      <c r="U1329" s="26" t="e">
        <f t="shared" si="299"/>
        <v>#VALUE!</v>
      </c>
      <c r="V1329" s="26" t="e">
        <f t="shared" si="300"/>
        <v>#VALUE!</v>
      </c>
      <c r="W1329" s="1" t="e">
        <f t="shared" si="301"/>
        <v>#VALUE!</v>
      </c>
      <c r="X1329" s="26" t="e">
        <f t="shared" si="302"/>
        <v>#VALUE!</v>
      </c>
      <c r="Y1329" s="26" t="e">
        <f t="shared" si="303"/>
        <v>#VALUE!</v>
      </c>
      <c r="Z1329" s="1" t="e">
        <f t="shared" si="304"/>
        <v>#VALUE!</v>
      </c>
      <c r="AA1329"/>
      <c r="AB1329"/>
    </row>
    <row r="1330" spans="1:28" x14ac:dyDescent="0.55000000000000004">
      <c r="A1330" s="1">
        <f t="shared" si="291"/>
        <v>1330</v>
      </c>
      <c r="B1330" t="s">
        <v>30</v>
      </c>
      <c r="C1330" t="s">
        <v>120</v>
      </c>
      <c r="D1330" t="s">
        <v>42</v>
      </c>
      <c r="E1330" t="s">
        <v>403</v>
      </c>
      <c r="F1330" t="s">
        <v>380</v>
      </c>
      <c r="G1330" t="s">
        <v>44</v>
      </c>
      <c r="I1330" t="s">
        <v>64</v>
      </c>
      <c r="K1330" t="s">
        <v>46</v>
      </c>
      <c r="M1330" t="s">
        <v>47</v>
      </c>
      <c r="N1330" s="1" t="e">
        <f t="shared" si="292"/>
        <v>#VALUE!</v>
      </c>
      <c r="O1330" s="1" t="e">
        <f t="shared" si="293"/>
        <v>#VALUE!</v>
      </c>
      <c r="P1330" s="1" t="e">
        <f t="shared" si="294"/>
        <v>#VALUE!</v>
      </c>
      <c r="Q1330" s="1" t="e">
        <f t="shared" si="295"/>
        <v>#VALUE!</v>
      </c>
      <c r="R1330" s="1" t="e">
        <f t="shared" si="296"/>
        <v>#VALUE!</v>
      </c>
      <c r="S1330" s="1" t="e">
        <f t="shared" si="297"/>
        <v>#VALUE!</v>
      </c>
      <c r="T1330" s="1" t="e">
        <f t="shared" si="298"/>
        <v>#VALUE!</v>
      </c>
      <c r="U1330" s="26" t="e">
        <f t="shared" si="299"/>
        <v>#VALUE!</v>
      </c>
      <c r="V1330" s="26" t="e">
        <f t="shared" si="300"/>
        <v>#VALUE!</v>
      </c>
      <c r="W1330" s="1" t="e">
        <f t="shared" si="301"/>
        <v>#VALUE!</v>
      </c>
      <c r="X1330" s="26" t="e">
        <f t="shared" si="302"/>
        <v>#VALUE!</v>
      </c>
      <c r="Y1330" s="26" t="e">
        <f t="shared" si="303"/>
        <v>#VALUE!</v>
      </c>
      <c r="Z1330" s="1" t="e">
        <f t="shared" si="304"/>
        <v>#VALUE!</v>
      </c>
      <c r="AA1330"/>
      <c r="AB1330"/>
    </row>
    <row r="1331" spans="1:28" x14ac:dyDescent="0.55000000000000004">
      <c r="A1331" s="1">
        <f t="shared" si="291"/>
        <v>1331</v>
      </c>
      <c r="B1331" t="s">
        <v>30</v>
      </c>
      <c r="C1331" t="s">
        <v>120</v>
      </c>
      <c r="D1331" t="s">
        <v>42</v>
      </c>
      <c r="E1331" t="s">
        <v>403</v>
      </c>
      <c r="F1331" t="s">
        <v>380</v>
      </c>
      <c r="G1331" t="s">
        <v>52</v>
      </c>
      <c r="I1331" t="s">
        <v>63</v>
      </c>
      <c r="K1331" t="s">
        <v>71</v>
      </c>
      <c r="M1331" t="s">
        <v>47</v>
      </c>
      <c r="N1331" s="1" t="e">
        <f t="shared" si="292"/>
        <v>#VALUE!</v>
      </c>
      <c r="O1331" s="1" t="e">
        <f t="shared" si="293"/>
        <v>#VALUE!</v>
      </c>
      <c r="P1331" s="1" t="e">
        <f t="shared" si="294"/>
        <v>#VALUE!</v>
      </c>
      <c r="Q1331" s="1" t="e">
        <f t="shared" si="295"/>
        <v>#VALUE!</v>
      </c>
      <c r="R1331" s="1" t="e">
        <f t="shared" si="296"/>
        <v>#VALUE!</v>
      </c>
      <c r="S1331" s="1" t="e">
        <f t="shared" si="297"/>
        <v>#VALUE!</v>
      </c>
      <c r="T1331" s="1" t="e">
        <f t="shared" si="298"/>
        <v>#VALUE!</v>
      </c>
      <c r="U1331" s="26" t="e">
        <f t="shared" si="299"/>
        <v>#VALUE!</v>
      </c>
      <c r="V1331" s="26" t="e">
        <f t="shared" si="300"/>
        <v>#VALUE!</v>
      </c>
      <c r="W1331" s="1" t="e">
        <f t="shared" si="301"/>
        <v>#VALUE!</v>
      </c>
      <c r="X1331" s="26" t="e">
        <f t="shared" si="302"/>
        <v>#VALUE!</v>
      </c>
      <c r="Y1331" s="26" t="e">
        <f t="shared" si="303"/>
        <v>#VALUE!</v>
      </c>
      <c r="Z1331" s="1" t="e">
        <f t="shared" si="304"/>
        <v>#VALUE!</v>
      </c>
      <c r="AA1331"/>
      <c r="AB1331"/>
    </row>
    <row r="1332" spans="1:28" x14ac:dyDescent="0.55000000000000004">
      <c r="A1332" s="1">
        <f t="shared" si="291"/>
        <v>1332</v>
      </c>
      <c r="B1332" t="s">
        <v>30</v>
      </c>
      <c r="C1332" t="s">
        <v>120</v>
      </c>
      <c r="D1332" t="s">
        <v>42</v>
      </c>
      <c r="E1332" t="s">
        <v>403</v>
      </c>
      <c r="F1332" t="s">
        <v>398</v>
      </c>
      <c r="G1332" t="s">
        <v>45</v>
      </c>
      <c r="I1332" t="s">
        <v>58</v>
      </c>
      <c r="K1332" t="s">
        <v>74</v>
      </c>
      <c r="M1332" t="s">
        <v>47</v>
      </c>
      <c r="N1332" s="1" t="e">
        <f t="shared" si="292"/>
        <v>#VALUE!</v>
      </c>
      <c r="O1332" s="1" t="e">
        <f t="shared" si="293"/>
        <v>#VALUE!</v>
      </c>
      <c r="P1332" s="1" t="e">
        <f t="shared" si="294"/>
        <v>#VALUE!</v>
      </c>
      <c r="Q1332" s="1" t="e">
        <f t="shared" si="295"/>
        <v>#VALUE!</v>
      </c>
      <c r="R1332" s="1" t="e">
        <f t="shared" si="296"/>
        <v>#VALUE!</v>
      </c>
      <c r="S1332" s="1" t="e">
        <f t="shared" si="297"/>
        <v>#VALUE!</v>
      </c>
      <c r="T1332" s="1" t="e">
        <f t="shared" si="298"/>
        <v>#VALUE!</v>
      </c>
      <c r="U1332" s="26" t="e">
        <f t="shared" si="299"/>
        <v>#VALUE!</v>
      </c>
      <c r="V1332" s="26" t="e">
        <f t="shared" si="300"/>
        <v>#VALUE!</v>
      </c>
      <c r="W1332" s="1" t="e">
        <f t="shared" si="301"/>
        <v>#VALUE!</v>
      </c>
      <c r="X1332" s="26" t="e">
        <f t="shared" si="302"/>
        <v>#VALUE!</v>
      </c>
      <c r="Y1332" s="26" t="e">
        <f t="shared" si="303"/>
        <v>#VALUE!</v>
      </c>
      <c r="Z1332" s="1" t="e">
        <f t="shared" si="304"/>
        <v>#VALUE!</v>
      </c>
      <c r="AA1332"/>
      <c r="AB1332"/>
    </row>
    <row r="1333" spans="1:28" x14ac:dyDescent="0.55000000000000004">
      <c r="A1333" s="1">
        <f t="shared" si="291"/>
        <v>1333</v>
      </c>
      <c r="B1333" t="s">
        <v>30</v>
      </c>
      <c r="C1333" t="s">
        <v>120</v>
      </c>
      <c r="D1333" t="s">
        <v>42</v>
      </c>
      <c r="E1333" t="s">
        <v>403</v>
      </c>
      <c r="F1333" t="s">
        <v>400</v>
      </c>
      <c r="G1333" t="s">
        <v>61</v>
      </c>
      <c r="I1333" t="s">
        <v>66</v>
      </c>
      <c r="K1333" t="s">
        <v>62</v>
      </c>
      <c r="M1333" t="s">
        <v>47</v>
      </c>
      <c r="N1333" s="1" t="e">
        <f t="shared" si="292"/>
        <v>#VALUE!</v>
      </c>
      <c r="O1333" s="1" t="e">
        <f t="shared" si="293"/>
        <v>#VALUE!</v>
      </c>
      <c r="P1333" s="1" t="e">
        <f t="shared" si="294"/>
        <v>#VALUE!</v>
      </c>
      <c r="Q1333" s="1" t="e">
        <f t="shared" si="295"/>
        <v>#VALUE!</v>
      </c>
      <c r="R1333" s="1" t="e">
        <f t="shared" si="296"/>
        <v>#VALUE!</v>
      </c>
      <c r="S1333" s="1" t="e">
        <f t="shared" si="297"/>
        <v>#VALUE!</v>
      </c>
      <c r="T1333" s="1" t="e">
        <f t="shared" si="298"/>
        <v>#VALUE!</v>
      </c>
      <c r="U1333" s="26" t="e">
        <f t="shared" si="299"/>
        <v>#VALUE!</v>
      </c>
      <c r="V1333" s="26" t="e">
        <f t="shared" si="300"/>
        <v>#VALUE!</v>
      </c>
      <c r="W1333" s="1" t="e">
        <f t="shared" si="301"/>
        <v>#VALUE!</v>
      </c>
      <c r="X1333" s="26" t="e">
        <f t="shared" si="302"/>
        <v>#VALUE!</v>
      </c>
      <c r="Y1333" s="26" t="e">
        <f t="shared" si="303"/>
        <v>#VALUE!</v>
      </c>
      <c r="Z1333" s="1" t="e">
        <f t="shared" si="304"/>
        <v>#VALUE!</v>
      </c>
      <c r="AA1333"/>
      <c r="AB1333"/>
    </row>
    <row r="1334" spans="1:28" x14ac:dyDescent="0.55000000000000004">
      <c r="A1334" s="1">
        <f t="shared" si="291"/>
        <v>1334</v>
      </c>
      <c r="B1334" t="s">
        <v>31</v>
      </c>
      <c r="C1334" t="s">
        <v>198</v>
      </c>
      <c r="D1334" t="s">
        <v>42</v>
      </c>
      <c r="E1334" t="s">
        <v>403</v>
      </c>
      <c r="F1334" t="s">
        <v>181</v>
      </c>
      <c r="G1334" t="s">
        <v>148</v>
      </c>
      <c r="I1334" t="s">
        <v>139</v>
      </c>
      <c r="K1334" t="s">
        <v>157</v>
      </c>
      <c r="M1334" t="s">
        <v>47</v>
      </c>
      <c r="N1334" s="1" t="e">
        <f t="shared" si="292"/>
        <v>#VALUE!</v>
      </c>
      <c r="O1334" s="1" t="e">
        <f t="shared" si="293"/>
        <v>#VALUE!</v>
      </c>
      <c r="P1334" s="1" t="e">
        <f t="shared" si="294"/>
        <v>#VALUE!</v>
      </c>
      <c r="Q1334" s="1" t="e">
        <f t="shared" si="295"/>
        <v>#VALUE!</v>
      </c>
      <c r="R1334" s="1" t="e">
        <f t="shared" si="296"/>
        <v>#VALUE!</v>
      </c>
      <c r="S1334" s="1" t="e">
        <f t="shared" si="297"/>
        <v>#VALUE!</v>
      </c>
      <c r="T1334" s="1" t="e">
        <f t="shared" si="298"/>
        <v>#VALUE!</v>
      </c>
      <c r="U1334" s="26" t="e">
        <f t="shared" si="299"/>
        <v>#VALUE!</v>
      </c>
      <c r="V1334" s="26" t="e">
        <f t="shared" si="300"/>
        <v>#VALUE!</v>
      </c>
      <c r="W1334" s="1" t="e">
        <f t="shared" si="301"/>
        <v>#VALUE!</v>
      </c>
      <c r="X1334" s="26" t="e">
        <f t="shared" si="302"/>
        <v>#VALUE!</v>
      </c>
      <c r="Y1334" s="26" t="e">
        <f t="shared" si="303"/>
        <v>#VALUE!</v>
      </c>
      <c r="Z1334" s="1" t="e">
        <f t="shared" si="304"/>
        <v>#VALUE!</v>
      </c>
      <c r="AA1334"/>
      <c r="AB1334"/>
    </row>
    <row r="1335" spans="1:28" x14ac:dyDescent="0.55000000000000004">
      <c r="A1335" s="1">
        <f t="shared" si="291"/>
        <v>1335</v>
      </c>
      <c r="B1335" t="s">
        <v>34</v>
      </c>
      <c r="C1335" t="s">
        <v>199</v>
      </c>
      <c r="D1335" t="s">
        <v>42</v>
      </c>
      <c r="E1335" t="s">
        <v>403</v>
      </c>
      <c r="F1335" t="s">
        <v>380</v>
      </c>
      <c r="G1335" t="s">
        <v>102</v>
      </c>
      <c r="I1335" t="s">
        <v>87</v>
      </c>
      <c r="K1335" t="s">
        <v>106</v>
      </c>
      <c r="M1335" t="s">
        <v>47</v>
      </c>
      <c r="N1335" s="1" t="e">
        <f t="shared" si="292"/>
        <v>#VALUE!</v>
      </c>
      <c r="O1335" s="1" t="e">
        <f t="shared" si="293"/>
        <v>#VALUE!</v>
      </c>
      <c r="P1335" s="1" t="e">
        <f t="shared" si="294"/>
        <v>#VALUE!</v>
      </c>
      <c r="Q1335" s="1" t="e">
        <f t="shared" si="295"/>
        <v>#VALUE!</v>
      </c>
      <c r="R1335" s="1" t="e">
        <f t="shared" si="296"/>
        <v>#VALUE!</v>
      </c>
      <c r="S1335" s="1" t="e">
        <f t="shared" si="297"/>
        <v>#VALUE!</v>
      </c>
      <c r="T1335" s="1" t="e">
        <f t="shared" si="298"/>
        <v>#VALUE!</v>
      </c>
      <c r="U1335" s="26" t="e">
        <f t="shared" si="299"/>
        <v>#VALUE!</v>
      </c>
      <c r="V1335" s="26" t="e">
        <f t="shared" si="300"/>
        <v>#VALUE!</v>
      </c>
      <c r="W1335" s="1" t="e">
        <f t="shared" si="301"/>
        <v>#VALUE!</v>
      </c>
      <c r="X1335" s="26" t="e">
        <f t="shared" si="302"/>
        <v>#VALUE!</v>
      </c>
      <c r="Y1335" s="26" t="e">
        <f t="shared" si="303"/>
        <v>#VALUE!</v>
      </c>
      <c r="Z1335" s="1" t="e">
        <f t="shared" si="304"/>
        <v>#VALUE!</v>
      </c>
      <c r="AA1335"/>
      <c r="AB1335"/>
    </row>
    <row r="1336" spans="1:28" x14ac:dyDescent="0.55000000000000004">
      <c r="A1336" s="1">
        <f t="shared" si="291"/>
        <v>1336</v>
      </c>
      <c r="B1336" t="s">
        <v>34</v>
      </c>
      <c r="C1336" t="s">
        <v>199</v>
      </c>
      <c r="D1336" t="s">
        <v>42</v>
      </c>
      <c r="E1336" t="s">
        <v>403</v>
      </c>
      <c r="F1336" t="s">
        <v>380</v>
      </c>
      <c r="G1336" t="s">
        <v>92</v>
      </c>
      <c r="I1336" t="s">
        <v>98</v>
      </c>
      <c r="K1336" t="s">
        <v>94</v>
      </c>
      <c r="M1336" t="s">
        <v>47</v>
      </c>
      <c r="N1336" s="1" t="e">
        <f t="shared" si="292"/>
        <v>#VALUE!</v>
      </c>
      <c r="O1336" s="1" t="e">
        <f t="shared" si="293"/>
        <v>#VALUE!</v>
      </c>
      <c r="P1336" s="1" t="e">
        <f t="shared" si="294"/>
        <v>#VALUE!</v>
      </c>
      <c r="Q1336" s="1" t="e">
        <f t="shared" si="295"/>
        <v>#VALUE!</v>
      </c>
      <c r="R1336" s="1" t="e">
        <f t="shared" si="296"/>
        <v>#VALUE!</v>
      </c>
      <c r="S1336" s="1" t="e">
        <f t="shared" si="297"/>
        <v>#VALUE!</v>
      </c>
      <c r="T1336" s="1" t="e">
        <f t="shared" si="298"/>
        <v>#VALUE!</v>
      </c>
      <c r="U1336" s="26" t="e">
        <f t="shared" si="299"/>
        <v>#VALUE!</v>
      </c>
      <c r="V1336" s="26" t="e">
        <f t="shared" si="300"/>
        <v>#VALUE!</v>
      </c>
      <c r="W1336" s="1" t="e">
        <f t="shared" si="301"/>
        <v>#VALUE!</v>
      </c>
      <c r="X1336" s="26" t="e">
        <f t="shared" si="302"/>
        <v>#VALUE!</v>
      </c>
      <c r="Y1336" s="26" t="e">
        <f t="shared" si="303"/>
        <v>#VALUE!</v>
      </c>
      <c r="Z1336" s="1" t="e">
        <f t="shared" si="304"/>
        <v>#VALUE!</v>
      </c>
      <c r="AA1336"/>
      <c r="AB1336"/>
    </row>
    <row r="1337" spans="1:28" x14ac:dyDescent="0.55000000000000004">
      <c r="A1337" s="1">
        <f t="shared" si="291"/>
        <v>1337</v>
      </c>
      <c r="B1337" t="s">
        <v>34</v>
      </c>
      <c r="C1337" t="s">
        <v>199</v>
      </c>
      <c r="D1337" t="s">
        <v>42</v>
      </c>
      <c r="E1337" t="s">
        <v>403</v>
      </c>
      <c r="F1337" t="s">
        <v>376</v>
      </c>
      <c r="G1337" t="s">
        <v>95</v>
      </c>
      <c r="I1337" t="s">
        <v>89</v>
      </c>
      <c r="K1337" t="s">
        <v>97</v>
      </c>
      <c r="M1337" t="s">
        <v>47</v>
      </c>
      <c r="N1337" s="1" t="e">
        <f t="shared" si="292"/>
        <v>#VALUE!</v>
      </c>
      <c r="O1337" s="1" t="e">
        <f t="shared" si="293"/>
        <v>#VALUE!</v>
      </c>
      <c r="P1337" s="1" t="e">
        <f t="shared" si="294"/>
        <v>#VALUE!</v>
      </c>
      <c r="Q1337" s="1" t="e">
        <f t="shared" si="295"/>
        <v>#VALUE!</v>
      </c>
      <c r="R1337" s="1" t="e">
        <f t="shared" si="296"/>
        <v>#VALUE!</v>
      </c>
      <c r="S1337" s="1" t="e">
        <f t="shared" si="297"/>
        <v>#VALUE!</v>
      </c>
      <c r="T1337" s="1" t="e">
        <f t="shared" si="298"/>
        <v>#VALUE!</v>
      </c>
      <c r="U1337" s="26" t="e">
        <f t="shared" si="299"/>
        <v>#VALUE!</v>
      </c>
      <c r="V1337" s="26" t="e">
        <f t="shared" si="300"/>
        <v>#VALUE!</v>
      </c>
      <c r="W1337" s="1" t="e">
        <f t="shared" si="301"/>
        <v>#VALUE!</v>
      </c>
      <c r="X1337" s="26" t="e">
        <f t="shared" si="302"/>
        <v>#VALUE!</v>
      </c>
      <c r="Y1337" s="26" t="e">
        <f t="shared" si="303"/>
        <v>#VALUE!</v>
      </c>
      <c r="Z1337" s="1" t="e">
        <f t="shared" si="304"/>
        <v>#VALUE!</v>
      </c>
      <c r="AA1337"/>
      <c r="AB1337"/>
    </row>
    <row r="1338" spans="1:28" x14ac:dyDescent="0.55000000000000004">
      <c r="A1338" s="1">
        <f t="shared" si="291"/>
        <v>1338</v>
      </c>
      <c r="B1338" t="s">
        <v>34</v>
      </c>
      <c r="C1338" t="s">
        <v>199</v>
      </c>
      <c r="D1338" t="s">
        <v>42</v>
      </c>
      <c r="E1338" t="s">
        <v>403</v>
      </c>
      <c r="F1338" t="s">
        <v>375</v>
      </c>
      <c r="G1338" t="s">
        <v>101</v>
      </c>
      <c r="I1338" t="s">
        <v>86</v>
      </c>
      <c r="K1338" t="s">
        <v>103</v>
      </c>
      <c r="M1338" t="s">
        <v>47</v>
      </c>
      <c r="N1338" s="1" t="e">
        <f t="shared" si="292"/>
        <v>#VALUE!</v>
      </c>
      <c r="O1338" s="1" t="e">
        <f t="shared" si="293"/>
        <v>#VALUE!</v>
      </c>
      <c r="P1338" s="1" t="e">
        <f t="shared" si="294"/>
        <v>#VALUE!</v>
      </c>
      <c r="Q1338" s="1" t="e">
        <f t="shared" si="295"/>
        <v>#VALUE!</v>
      </c>
      <c r="R1338" s="1" t="e">
        <f t="shared" si="296"/>
        <v>#VALUE!</v>
      </c>
      <c r="S1338" s="1" t="e">
        <f t="shared" si="297"/>
        <v>#VALUE!</v>
      </c>
      <c r="T1338" s="1" t="e">
        <f t="shared" si="298"/>
        <v>#VALUE!</v>
      </c>
      <c r="U1338" s="26" t="e">
        <f t="shared" si="299"/>
        <v>#VALUE!</v>
      </c>
      <c r="V1338" s="26" t="e">
        <f t="shared" si="300"/>
        <v>#VALUE!</v>
      </c>
      <c r="W1338" s="1" t="e">
        <f t="shared" si="301"/>
        <v>#VALUE!</v>
      </c>
      <c r="X1338" s="26" t="e">
        <f t="shared" si="302"/>
        <v>#VALUE!</v>
      </c>
      <c r="Y1338" s="26" t="e">
        <f t="shared" si="303"/>
        <v>#VALUE!</v>
      </c>
      <c r="Z1338" s="1" t="e">
        <f t="shared" si="304"/>
        <v>#VALUE!</v>
      </c>
      <c r="AA1338"/>
      <c r="AB1338"/>
    </row>
    <row r="1339" spans="1:28" x14ac:dyDescent="0.55000000000000004">
      <c r="A1339" s="1">
        <f t="shared" si="291"/>
        <v>1339</v>
      </c>
      <c r="B1339" t="s">
        <v>35</v>
      </c>
      <c r="C1339" t="s">
        <v>122</v>
      </c>
      <c r="D1339" t="s">
        <v>42</v>
      </c>
      <c r="E1339" t="s">
        <v>403</v>
      </c>
      <c r="F1339" t="s">
        <v>411</v>
      </c>
      <c r="G1339" t="s">
        <v>306</v>
      </c>
      <c r="I1339" t="s">
        <v>214</v>
      </c>
      <c r="K1339" t="s">
        <v>308</v>
      </c>
      <c r="M1339" t="s">
        <v>47</v>
      </c>
      <c r="N1339" s="1" t="e">
        <f t="shared" si="292"/>
        <v>#VALUE!</v>
      </c>
      <c r="O1339" s="1" t="e">
        <f t="shared" si="293"/>
        <v>#VALUE!</v>
      </c>
      <c r="P1339" s="1" t="e">
        <f t="shared" si="294"/>
        <v>#VALUE!</v>
      </c>
      <c r="Q1339" s="1" t="e">
        <f t="shared" si="295"/>
        <v>#VALUE!</v>
      </c>
      <c r="R1339" s="1" t="e">
        <f t="shared" si="296"/>
        <v>#VALUE!</v>
      </c>
      <c r="S1339" s="1" t="e">
        <f t="shared" si="297"/>
        <v>#VALUE!</v>
      </c>
      <c r="T1339" s="1" t="e">
        <f t="shared" si="298"/>
        <v>#VALUE!</v>
      </c>
      <c r="U1339" s="26" t="e">
        <f t="shared" si="299"/>
        <v>#VALUE!</v>
      </c>
      <c r="V1339" s="26" t="e">
        <f t="shared" si="300"/>
        <v>#VALUE!</v>
      </c>
      <c r="W1339" s="1" t="e">
        <f t="shared" si="301"/>
        <v>#VALUE!</v>
      </c>
      <c r="X1339" s="26" t="e">
        <f t="shared" si="302"/>
        <v>#VALUE!</v>
      </c>
      <c r="Y1339" s="26" t="e">
        <f t="shared" si="303"/>
        <v>#VALUE!</v>
      </c>
      <c r="Z1339" s="1" t="e">
        <f t="shared" si="304"/>
        <v>#VALUE!</v>
      </c>
      <c r="AA1339"/>
      <c r="AB1339"/>
    </row>
    <row r="1340" spans="1:28" x14ac:dyDescent="0.55000000000000004">
      <c r="A1340" s="1">
        <f t="shared" si="291"/>
        <v>1340</v>
      </c>
      <c r="B1340" t="s">
        <v>35</v>
      </c>
      <c r="C1340" t="s">
        <v>122</v>
      </c>
      <c r="D1340" t="s">
        <v>42</v>
      </c>
      <c r="E1340" t="s">
        <v>403</v>
      </c>
      <c r="F1340" t="s">
        <v>412</v>
      </c>
      <c r="G1340" t="s">
        <v>211</v>
      </c>
      <c r="I1340" t="s">
        <v>377</v>
      </c>
      <c r="K1340" t="s">
        <v>309</v>
      </c>
      <c r="M1340" t="s">
        <v>47</v>
      </c>
      <c r="N1340" s="1" t="e">
        <f t="shared" si="292"/>
        <v>#VALUE!</v>
      </c>
      <c r="O1340" s="1" t="e">
        <f t="shared" si="293"/>
        <v>#VALUE!</v>
      </c>
      <c r="P1340" s="1" t="e">
        <f t="shared" si="294"/>
        <v>#VALUE!</v>
      </c>
      <c r="Q1340" s="1" t="e">
        <f t="shared" si="295"/>
        <v>#VALUE!</v>
      </c>
      <c r="R1340" s="1" t="e">
        <f t="shared" si="296"/>
        <v>#VALUE!</v>
      </c>
      <c r="S1340" s="1" t="e">
        <f t="shared" si="297"/>
        <v>#VALUE!</v>
      </c>
      <c r="T1340" s="1" t="e">
        <f t="shared" si="298"/>
        <v>#VALUE!</v>
      </c>
      <c r="U1340" s="26" t="e">
        <f t="shared" si="299"/>
        <v>#VALUE!</v>
      </c>
      <c r="V1340" s="26" t="e">
        <f t="shared" si="300"/>
        <v>#VALUE!</v>
      </c>
      <c r="W1340" s="1" t="e">
        <f t="shared" si="301"/>
        <v>#VALUE!</v>
      </c>
      <c r="X1340" s="26" t="e">
        <f t="shared" si="302"/>
        <v>#VALUE!</v>
      </c>
      <c r="Y1340" s="26" t="e">
        <f t="shared" si="303"/>
        <v>#VALUE!</v>
      </c>
      <c r="Z1340" s="1" t="e">
        <f t="shared" si="304"/>
        <v>#VALUE!</v>
      </c>
      <c r="AA1340"/>
      <c r="AB1340"/>
    </row>
    <row r="1341" spans="1:28" x14ac:dyDescent="0.55000000000000004">
      <c r="A1341" s="1">
        <f t="shared" si="291"/>
        <v>1341</v>
      </c>
      <c r="B1341" t="s">
        <v>39</v>
      </c>
      <c r="C1341" t="s">
        <v>194</v>
      </c>
      <c r="D1341" t="s">
        <v>42</v>
      </c>
      <c r="E1341" t="s">
        <v>403</v>
      </c>
      <c r="F1341" t="s">
        <v>218</v>
      </c>
      <c r="G1341" t="s">
        <v>234</v>
      </c>
      <c r="I1341" t="s">
        <v>225</v>
      </c>
      <c r="K1341" t="s">
        <v>236</v>
      </c>
      <c r="M1341" t="s">
        <v>47</v>
      </c>
      <c r="N1341" s="1" t="e">
        <f t="shared" si="292"/>
        <v>#VALUE!</v>
      </c>
      <c r="O1341" s="1" t="e">
        <f t="shared" si="293"/>
        <v>#VALUE!</v>
      </c>
      <c r="P1341" s="1" t="e">
        <f t="shared" si="294"/>
        <v>#VALUE!</v>
      </c>
      <c r="Q1341" s="1" t="e">
        <f t="shared" si="295"/>
        <v>#VALUE!</v>
      </c>
      <c r="R1341" s="1" t="e">
        <f t="shared" si="296"/>
        <v>#VALUE!</v>
      </c>
      <c r="S1341" s="1" t="e">
        <f t="shared" si="297"/>
        <v>#VALUE!</v>
      </c>
      <c r="T1341" s="1" t="e">
        <f t="shared" si="298"/>
        <v>#VALUE!</v>
      </c>
      <c r="U1341" s="26" t="e">
        <f t="shared" si="299"/>
        <v>#VALUE!</v>
      </c>
      <c r="V1341" s="26" t="e">
        <f t="shared" si="300"/>
        <v>#VALUE!</v>
      </c>
      <c r="W1341" s="1" t="e">
        <f t="shared" si="301"/>
        <v>#VALUE!</v>
      </c>
      <c r="X1341" s="26" t="e">
        <f t="shared" si="302"/>
        <v>#VALUE!</v>
      </c>
      <c r="Y1341" s="26" t="e">
        <f t="shared" si="303"/>
        <v>#VALUE!</v>
      </c>
      <c r="Z1341" s="1" t="e">
        <f t="shared" si="304"/>
        <v>#VALUE!</v>
      </c>
      <c r="AA1341"/>
      <c r="AB1341"/>
    </row>
    <row r="1342" spans="1:28" x14ac:dyDescent="0.55000000000000004">
      <c r="A1342" s="1">
        <f t="shared" si="291"/>
        <v>1342</v>
      </c>
      <c r="B1342" t="s">
        <v>39</v>
      </c>
      <c r="C1342" t="s">
        <v>194</v>
      </c>
      <c r="D1342" t="s">
        <v>42</v>
      </c>
      <c r="E1342" t="s">
        <v>403</v>
      </c>
      <c r="F1342" t="s">
        <v>218</v>
      </c>
      <c r="G1342" t="s">
        <v>222</v>
      </c>
      <c r="I1342" t="s">
        <v>220</v>
      </c>
      <c r="K1342" t="s">
        <v>224</v>
      </c>
      <c r="M1342" t="s">
        <v>47</v>
      </c>
      <c r="N1342" s="1" t="e">
        <f t="shared" si="292"/>
        <v>#VALUE!</v>
      </c>
      <c r="O1342" s="1" t="e">
        <f t="shared" si="293"/>
        <v>#VALUE!</v>
      </c>
      <c r="P1342" s="1" t="e">
        <f t="shared" si="294"/>
        <v>#VALUE!</v>
      </c>
      <c r="Q1342" s="1" t="e">
        <f t="shared" si="295"/>
        <v>#VALUE!</v>
      </c>
      <c r="R1342" s="1" t="e">
        <f t="shared" si="296"/>
        <v>#VALUE!</v>
      </c>
      <c r="S1342" s="1" t="e">
        <f t="shared" si="297"/>
        <v>#VALUE!</v>
      </c>
      <c r="T1342" s="1" t="e">
        <f t="shared" si="298"/>
        <v>#VALUE!</v>
      </c>
      <c r="U1342" s="26" t="e">
        <f t="shared" si="299"/>
        <v>#VALUE!</v>
      </c>
      <c r="V1342" s="26" t="e">
        <f t="shared" si="300"/>
        <v>#VALUE!</v>
      </c>
      <c r="W1342" s="1" t="e">
        <f t="shared" si="301"/>
        <v>#VALUE!</v>
      </c>
      <c r="X1342" s="26" t="e">
        <f t="shared" si="302"/>
        <v>#VALUE!</v>
      </c>
      <c r="Y1342" s="26" t="e">
        <f t="shared" si="303"/>
        <v>#VALUE!</v>
      </c>
      <c r="Z1342" s="1" t="e">
        <f t="shared" si="304"/>
        <v>#VALUE!</v>
      </c>
      <c r="AA1342"/>
      <c r="AB1342"/>
    </row>
    <row r="1343" spans="1:28" x14ac:dyDescent="0.55000000000000004">
      <c r="A1343" s="1">
        <f t="shared" si="291"/>
        <v>1343</v>
      </c>
      <c r="B1343" t="s">
        <v>39</v>
      </c>
      <c r="C1343" t="s">
        <v>194</v>
      </c>
      <c r="D1343" t="s">
        <v>42</v>
      </c>
      <c r="E1343" t="s">
        <v>403</v>
      </c>
      <c r="F1343" t="s">
        <v>218</v>
      </c>
      <c r="G1343" t="s">
        <v>223</v>
      </c>
      <c r="I1343" t="s">
        <v>232</v>
      </c>
      <c r="K1343" t="s">
        <v>244</v>
      </c>
      <c r="M1343" t="s">
        <v>47</v>
      </c>
      <c r="N1343" s="1" t="e">
        <f t="shared" si="292"/>
        <v>#VALUE!</v>
      </c>
      <c r="O1343" s="1" t="e">
        <f t="shared" si="293"/>
        <v>#VALUE!</v>
      </c>
      <c r="P1343" s="1" t="e">
        <f t="shared" si="294"/>
        <v>#VALUE!</v>
      </c>
      <c r="Q1343" s="1" t="e">
        <f t="shared" si="295"/>
        <v>#VALUE!</v>
      </c>
      <c r="R1343" s="1" t="e">
        <f t="shared" si="296"/>
        <v>#VALUE!</v>
      </c>
      <c r="S1343" s="1" t="e">
        <f t="shared" si="297"/>
        <v>#VALUE!</v>
      </c>
      <c r="T1343" s="1" t="e">
        <f t="shared" si="298"/>
        <v>#VALUE!</v>
      </c>
      <c r="U1343" s="26" t="e">
        <f t="shared" si="299"/>
        <v>#VALUE!</v>
      </c>
      <c r="V1343" s="26" t="e">
        <f t="shared" si="300"/>
        <v>#VALUE!</v>
      </c>
      <c r="W1343" s="1" t="e">
        <f t="shared" si="301"/>
        <v>#VALUE!</v>
      </c>
      <c r="X1343" s="26" t="e">
        <f t="shared" si="302"/>
        <v>#VALUE!</v>
      </c>
      <c r="Y1343" s="26" t="e">
        <f t="shared" si="303"/>
        <v>#VALUE!</v>
      </c>
      <c r="Z1343" s="1" t="e">
        <f t="shared" si="304"/>
        <v>#VALUE!</v>
      </c>
      <c r="AA1343"/>
      <c r="AB1343"/>
    </row>
    <row r="1344" spans="1:28" x14ac:dyDescent="0.55000000000000004">
      <c r="A1344" s="1">
        <f t="shared" si="291"/>
        <v>1344</v>
      </c>
      <c r="B1344" t="s">
        <v>40</v>
      </c>
      <c r="C1344" t="s">
        <v>126</v>
      </c>
      <c r="D1344" t="s">
        <v>42</v>
      </c>
      <c r="E1344" t="s">
        <v>403</v>
      </c>
      <c r="F1344" t="s">
        <v>350</v>
      </c>
      <c r="G1344" t="s">
        <v>256</v>
      </c>
      <c r="I1344" t="s">
        <v>265</v>
      </c>
      <c r="K1344" t="s">
        <v>416</v>
      </c>
      <c r="M1344" t="s">
        <v>47</v>
      </c>
      <c r="N1344" s="1" t="e">
        <f t="shared" si="292"/>
        <v>#VALUE!</v>
      </c>
      <c r="O1344" s="1" t="e">
        <f t="shared" si="293"/>
        <v>#VALUE!</v>
      </c>
      <c r="P1344" s="1" t="e">
        <f t="shared" si="294"/>
        <v>#VALUE!</v>
      </c>
      <c r="Q1344" s="1" t="e">
        <f t="shared" si="295"/>
        <v>#VALUE!</v>
      </c>
      <c r="R1344" s="1" t="e">
        <f t="shared" si="296"/>
        <v>#VALUE!</v>
      </c>
      <c r="S1344" s="1" t="e">
        <f t="shared" si="297"/>
        <v>#VALUE!</v>
      </c>
      <c r="T1344" s="1" t="e">
        <f t="shared" si="298"/>
        <v>#VALUE!</v>
      </c>
      <c r="U1344" s="26" t="e">
        <f t="shared" si="299"/>
        <v>#VALUE!</v>
      </c>
      <c r="V1344" s="26" t="e">
        <f t="shared" si="300"/>
        <v>#VALUE!</v>
      </c>
      <c r="W1344" s="1" t="e">
        <f t="shared" si="301"/>
        <v>#VALUE!</v>
      </c>
      <c r="X1344" s="26" t="e">
        <f t="shared" si="302"/>
        <v>#VALUE!</v>
      </c>
      <c r="Y1344" s="26" t="e">
        <f t="shared" si="303"/>
        <v>#VALUE!</v>
      </c>
      <c r="Z1344" s="1" t="e">
        <f t="shared" si="304"/>
        <v>#VALUE!</v>
      </c>
      <c r="AA1344"/>
      <c r="AB1344"/>
    </row>
    <row r="1345" spans="1:28" x14ac:dyDescent="0.55000000000000004">
      <c r="A1345" s="1">
        <f t="shared" si="291"/>
        <v>1345</v>
      </c>
      <c r="B1345" t="s">
        <v>31</v>
      </c>
      <c r="C1345" t="s">
        <v>198</v>
      </c>
      <c r="D1345" t="s">
        <v>42</v>
      </c>
      <c r="E1345" t="s">
        <v>403</v>
      </c>
      <c r="F1345" t="s">
        <v>357</v>
      </c>
      <c r="G1345" t="s">
        <v>136</v>
      </c>
      <c r="I1345" t="s">
        <v>150</v>
      </c>
      <c r="K1345" t="s">
        <v>158</v>
      </c>
      <c r="M1345" t="s">
        <v>47</v>
      </c>
      <c r="N1345" s="1" t="e">
        <f t="shared" si="292"/>
        <v>#VALUE!</v>
      </c>
      <c r="O1345" s="1" t="e">
        <f t="shared" si="293"/>
        <v>#VALUE!</v>
      </c>
      <c r="P1345" s="1" t="e">
        <f t="shared" si="294"/>
        <v>#VALUE!</v>
      </c>
      <c r="Q1345" s="1" t="e">
        <f t="shared" si="295"/>
        <v>#VALUE!</v>
      </c>
      <c r="R1345" s="1" t="e">
        <f t="shared" si="296"/>
        <v>#VALUE!</v>
      </c>
      <c r="S1345" s="1" t="e">
        <f t="shared" si="297"/>
        <v>#VALUE!</v>
      </c>
      <c r="T1345" s="1" t="e">
        <f t="shared" si="298"/>
        <v>#VALUE!</v>
      </c>
      <c r="U1345" s="26" t="e">
        <f t="shared" si="299"/>
        <v>#VALUE!</v>
      </c>
      <c r="V1345" s="26" t="e">
        <f t="shared" si="300"/>
        <v>#VALUE!</v>
      </c>
      <c r="W1345" s="1" t="e">
        <f t="shared" si="301"/>
        <v>#VALUE!</v>
      </c>
      <c r="X1345" s="26" t="e">
        <f t="shared" si="302"/>
        <v>#VALUE!</v>
      </c>
      <c r="Y1345" s="26" t="e">
        <f t="shared" si="303"/>
        <v>#VALUE!</v>
      </c>
      <c r="Z1345" s="1" t="e">
        <f t="shared" si="304"/>
        <v>#VALUE!</v>
      </c>
      <c r="AA1345"/>
      <c r="AB1345"/>
    </row>
    <row r="1346" spans="1:28" x14ac:dyDescent="0.55000000000000004">
      <c r="A1346" s="1">
        <f t="shared" si="291"/>
        <v>1346</v>
      </c>
      <c r="B1346" t="s">
        <v>31</v>
      </c>
      <c r="C1346" t="s">
        <v>198</v>
      </c>
      <c r="D1346" t="s">
        <v>42</v>
      </c>
      <c r="E1346" t="s">
        <v>403</v>
      </c>
      <c r="F1346" t="s">
        <v>357</v>
      </c>
      <c r="G1346" t="s">
        <v>135</v>
      </c>
      <c r="I1346" t="s">
        <v>145</v>
      </c>
      <c r="K1346" t="s">
        <v>137</v>
      </c>
      <c r="M1346" t="s">
        <v>47</v>
      </c>
      <c r="N1346" s="1" t="e">
        <f t="shared" si="292"/>
        <v>#VALUE!</v>
      </c>
      <c r="O1346" s="1" t="e">
        <f t="shared" si="293"/>
        <v>#VALUE!</v>
      </c>
      <c r="P1346" s="1" t="e">
        <f t="shared" si="294"/>
        <v>#VALUE!</v>
      </c>
      <c r="Q1346" s="1" t="e">
        <f t="shared" si="295"/>
        <v>#VALUE!</v>
      </c>
      <c r="R1346" s="1" t="e">
        <f t="shared" si="296"/>
        <v>#VALUE!</v>
      </c>
      <c r="S1346" s="1" t="e">
        <f t="shared" si="297"/>
        <v>#VALUE!</v>
      </c>
      <c r="T1346" s="1" t="e">
        <f t="shared" si="298"/>
        <v>#VALUE!</v>
      </c>
      <c r="U1346" s="26" t="e">
        <f t="shared" si="299"/>
        <v>#VALUE!</v>
      </c>
      <c r="V1346" s="26" t="e">
        <f t="shared" si="300"/>
        <v>#VALUE!</v>
      </c>
      <c r="W1346" s="1" t="e">
        <f t="shared" si="301"/>
        <v>#VALUE!</v>
      </c>
      <c r="X1346" s="26" t="e">
        <f t="shared" si="302"/>
        <v>#VALUE!</v>
      </c>
      <c r="Y1346" s="26" t="e">
        <f t="shared" si="303"/>
        <v>#VALUE!</v>
      </c>
      <c r="Z1346" s="1" t="e">
        <f t="shared" si="304"/>
        <v>#VALUE!</v>
      </c>
      <c r="AA1346"/>
      <c r="AB1346"/>
    </row>
    <row r="1347" spans="1:28" x14ac:dyDescent="0.55000000000000004">
      <c r="A1347" s="1">
        <f t="shared" ref="A1347:A1410" si="305">A1346+1</f>
        <v>1347</v>
      </c>
      <c r="B1347" t="s">
        <v>35</v>
      </c>
      <c r="C1347" t="s">
        <v>122</v>
      </c>
      <c r="D1347" t="s">
        <v>42</v>
      </c>
      <c r="E1347" t="s">
        <v>403</v>
      </c>
      <c r="F1347" t="s">
        <v>357</v>
      </c>
      <c r="G1347" t="s">
        <v>213</v>
      </c>
      <c r="I1347" t="s">
        <v>303</v>
      </c>
      <c r="K1347" t="s">
        <v>215</v>
      </c>
      <c r="M1347" t="s">
        <v>47</v>
      </c>
      <c r="N1347" s="1" t="e">
        <f t="shared" ref="N1347:N1410" si="306">VALUE(LEFT(H1347,1))</f>
        <v>#VALUE!</v>
      </c>
      <c r="O1347" s="1" t="e">
        <f t="shared" ref="O1347:O1410" si="307">VALUE(RIGHT(H1347,1))</f>
        <v>#VALUE!</v>
      </c>
      <c r="P1347" s="1" t="e">
        <f t="shared" ref="P1347:P1410" si="308">SUM(N1347,O1347)</f>
        <v>#VALUE!</v>
      </c>
      <c r="Q1347" s="1" t="e">
        <f t="shared" ref="Q1347:Q1410" si="309">IF(N1347&lt;&gt;O1347, 1, 0)</f>
        <v>#VALUE!</v>
      </c>
      <c r="R1347" s="1" t="e">
        <f t="shared" ref="R1347:R1410" si="310">IF(P1347&lt;=4,1,0)</f>
        <v>#VALUE!</v>
      </c>
      <c r="S1347" s="1" t="e">
        <f t="shared" ref="S1347:S1410" si="311">IF(AND(Q1347=1,R1347=1),1,0)</f>
        <v>#VALUE!</v>
      </c>
      <c r="T1347" s="1" t="e">
        <f t="shared" ref="T1347:T1410" si="312">IF(N1347&lt;=2,1,0)</f>
        <v>#VALUE!</v>
      </c>
      <c r="U1347" s="26" t="e">
        <f t="shared" ref="U1347:U1410" si="313">IF(AND(N1347&gt;=1,N1347&lt;=3),1,0)</f>
        <v>#VALUE!</v>
      </c>
      <c r="V1347" s="26" t="e">
        <f t="shared" ref="V1347:V1410" si="314">IF(AND(N1347&gt;=2,N1347&lt;=5),1,0)</f>
        <v>#VALUE!</v>
      </c>
      <c r="W1347" s="1" t="e">
        <f t="shared" ref="W1347:W1410" si="315">IF(O1347&lt;=2,1,0)</f>
        <v>#VALUE!</v>
      </c>
      <c r="X1347" s="26" t="e">
        <f t="shared" ref="X1347:X1410" si="316">IF(AND(O1347&gt;=1,O1347&lt;=3),1,0)</f>
        <v>#VALUE!</v>
      </c>
      <c r="Y1347" s="26" t="e">
        <f t="shared" ref="Y1347:Y1410" si="317">IF(AND(O1347&gt;=2,O1347&lt;=5),1,0)</f>
        <v>#VALUE!</v>
      </c>
      <c r="Z1347" s="1" t="e">
        <f t="shared" ref="Z1347:Z1410" si="318">IF(P1347&gt;=2,1,0)</f>
        <v>#VALUE!</v>
      </c>
      <c r="AA1347"/>
      <c r="AB1347"/>
    </row>
    <row r="1348" spans="1:28" x14ac:dyDescent="0.55000000000000004">
      <c r="A1348" s="1">
        <f t="shared" si="305"/>
        <v>1348</v>
      </c>
      <c r="B1348" t="s">
        <v>35</v>
      </c>
      <c r="C1348" t="s">
        <v>122</v>
      </c>
      <c r="D1348" t="s">
        <v>42</v>
      </c>
      <c r="E1348" t="s">
        <v>403</v>
      </c>
      <c r="F1348" t="s">
        <v>357</v>
      </c>
      <c r="G1348" t="s">
        <v>384</v>
      </c>
      <c r="I1348" t="s">
        <v>205</v>
      </c>
      <c r="K1348" t="s">
        <v>385</v>
      </c>
      <c r="M1348" t="s">
        <v>47</v>
      </c>
      <c r="N1348" s="1" t="e">
        <f t="shared" si="306"/>
        <v>#VALUE!</v>
      </c>
      <c r="O1348" s="1" t="e">
        <f t="shared" si="307"/>
        <v>#VALUE!</v>
      </c>
      <c r="P1348" s="1" t="e">
        <f t="shared" si="308"/>
        <v>#VALUE!</v>
      </c>
      <c r="Q1348" s="1" t="e">
        <f t="shared" si="309"/>
        <v>#VALUE!</v>
      </c>
      <c r="R1348" s="1" t="e">
        <f t="shared" si="310"/>
        <v>#VALUE!</v>
      </c>
      <c r="S1348" s="1" t="e">
        <f t="shared" si="311"/>
        <v>#VALUE!</v>
      </c>
      <c r="T1348" s="1" t="e">
        <f t="shared" si="312"/>
        <v>#VALUE!</v>
      </c>
      <c r="U1348" s="26" t="e">
        <f t="shared" si="313"/>
        <v>#VALUE!</v>
      </c>
      <c r="V1348" s="26" t="e">
        <f t="shared" si="314"/>
        <v>#VALUE!</v>
      </c>
      <c r="W1348" s="1" t="e">
        <f t="shared" si="315"/>
        <v>#VALUE!</v>
      </c>
      <c r="X1348" s="26" t="e">
        <f t="shared" si="316"/>
        <v>#VALUE!</v>
      </c>
      <c r="Y1348" s="26" t="e">
        <f t="shared" si="317"/>
        <v>#VALUE!</v>
      </c>
      <c r="Z1348" s="1" t="e">
        <f t="shared" si="318"/>
        <v>#VALUE!</v>
      </c>
      <c r="AA1348"/>
      <c r="AB1348"/>
    </row>
    <row r="1349" spans="1:28" x14ac:dyDescent="0.55000000000000004">
      <c r="A1349" s="1">
        <f t="shared" si="305"/>
        <v>1349</v>
      </c>
      <c r="B1349" t="s">
        <v>35</v>
      </c>
      <c r="C1349" t="s">
        <v>122</v>
      </c>
      <c r="D1349" t="s">
        <v>42</v>
      </c>
      <c r="E1349" t="s">
        <v>403</v>
      </c>
      <c r="F1349" t="s">
        <v>357</v>
      </c>
      <c r="G1349" t="s">
        <v>383</v>
      </c>
      <c r="I1349" t="s">
        <v>386</v>
      </c>
      <c r="K1349" t="s">
        <v>387</v>
      </c>
      <c r="M1349" t="s">
        <v>47</v>
      </c>
      <c r="N1349" s="1" t="e">
        <f t="shared" si="306"/>
        <v>#VALUE!</v>
      </c>
      <c r="O1349" s="1" t="e">
        <f t="shared" si="307"/>
        <v>#VALUE!</v>
      </c>
      <c r="P1349" s="1" t="e">
        <f t="shared" si="308"/>
        <v>#VALUE!</v>
      </c>
      <c r="Q1349" s="1" t="e">
        <f t="shared" si="309"/>
        <v>#VALUE!</v>
      </c>
      <c r="R1349" s="1" t="e">
        <f t="shared" si="310"/>
        <v>#VALUE!</v>
      </c>
      <c r="S1349" s="1" t="e">
        <f t="shared" si="311"/>
        <v>#VALUE!</v>
      </c>
      <c r="T1349" s="1" t="e">
        <f t="shared" si="312"/>
        <v>#VALUE!</v>
      </c>
      <c r="U1349" s="26" t="e">
        <f t="shared" si="313"/>
        <v>#VALUE!</v>
      </c>
      <c r="V1349" s="26" t="e">
        <f t="shared" si="314"/>
        <v>#VALUE!</v>
      </c>
      <c r="W1349" s="1" t="e">
        <f t="shared" si="315"/>
        <v>#VALUE!</v>
      </c>
      <c r="X1349" s="26" t="e">
        <f t="shared" si="316"/>
        <v>#VALUE!</v>
      </c>
      <c r="Y1349" s="26" t="e">
        <f t="shared" si="317"/>
        <v>#VALUE!</v>
      </c>
      <c r="Z1349" s="1" t="e">
        <f t="shared" si="318"/>
        <v>#VALUE!</v>
      </c>
      <c r="AA1349"/>
      <c r="AB1349"/>
    </row>
    <row r="1350" spans="1:28" x14ac:dyDescent="0.55000000000000004">
      <c r="A1350" s="1">
        <f t="shared" si="305"/>
        <v>1350</v>
      </c>
      <c r="B1350" t="s">
        <v>30</v>
      </c>
      <c r="C1350" t="s">
        <v>120</v>
      </c>
      <c r="D1350" t="s">
        <v>179</v>
      </c>
      <c r="E1350" t="s">
        <v>186</v>
      </c>
      <c r="F1350" t="s">
        <v>181</v>
      </c>
      <c r="G1350" t="s">
        <v>67</v>
      </c>
      <c r="I1350" t="s">
        <v>57</v>
      </c>
      <c r="K1350" t="s">
        <v>73</v>
      </c>
      <c r="M1350" t="s">
        <v>47</v>
      </c>
      <c r="N1350" s="1" t="e">
        <f t="shared" si="306"/>
        <v>#VALUE!</v>
      </c>
      <c r="O1350" s="1" t="e">
        <f t="shared" si="307"/>
        <v>#VALUE!</v>
      </c>
      <c r="P1350" s="1" t="e">
        <f t="shared" si="308"/>
        <v>#VALUE!</v>
      </c>
      <c r="Q1350" s="1" t="e">
        <f t="shared" si="309"/>
        <v>#VALUE!</v>
      </c>
      <c r="R1350" s="1" t="e">
        <f t="shared" si="310"/>
        <v>#VALUE!</v>
      </c>
      <c r="S1350" s="1" t="e">
        <f t="shared" si="311"/>
        <v>#VALUE!</v>
      </c>
      <c r="T1350" s="1" t="e">
        <f t="shared" si="312"/>
        <v>#VALUE!</v>
      </c>
      <c r="U1350" s="26" t="e">
        <f t="shared" si="313"/>
        <v>#VALUE!</v>
      </c>
      <c r="V1350" s="26" t="e">
        <f t="shared" si="314"/>
        <v>#VALUE!</v>
      </c>
      <c r="W1350" s="1" t="e">
        <f t="shared" si="315"/>
        <v>#VALUE!</v>
      </c>
      <c r="X1350" s="26" t="e">
        <f t="shared" si="316"/>
        <v>#VALUE!</v>
      </c>
      <c r="Y1350" s="26" t="e">
        <f t="shared" si="317"/>
        <v>#VALUE!</v>
      </c>
      <c r="Z1350" s="1" t="e">
        <f t="shared" si="318"/>
        <v>#VALUE!</v>
      </c>
      <c r="AA1350"/>
      <c r="AB1350"/>
    </row>
    <row r="1351" spans="1:28" x14ac:dyDescent="0.55000000000000004">
      <c r="A1351" s="1">
        <f t="shared" si="305"/>
        <v>1351</v>
      </c>
      <c r="B1351" t="s">
        <v>34</v>
      </c>
      <c r="C1351" t="s">
        <v>199</v>
      </c>
      <c r="D1351" t="s">
        <v>179</v>
      </c>
      <c r="E1351" t="s">
        <v>186</v>
      </c>
      <c r="F1351" t="s">
        <v>181</v>
      </c>
      <c r="G1351" t="s">
        <v>90</v>
      </c>
      <c r="I1351" t="s">
        <v>96</v>
      </c>
      <c r="K1351" t="s">
        <v>108</v>
      </c>
      <c r="M1351" t="s">
        <v>47</v>
      </c>
      <c r="N1351" s="1" t="e">
        <f t="shared" si="306"/>
        <v>#VALUE!</v>
      </c>
      <c r="O1351" s="1" t="e">
        <f t="shared" si="307"/>
        <v>#VALUE!</v>
      </c>
      <c r="P1351" s="1" t="e">
        <f t="shared" si="308"/>
        <v>#VALUE!</v>
      </c>
      <c r="Q1351" s="1" t="e">
        <f t="shared" si="309"/>
        <v>#VALUE!</v>
      </c>
      <c r="R1351" s="1" t="e">
        <f t="shared" si="310"/>
        <v>#VALUE!</v>
      </c>
      <c r="S1351" s="1" t="e">
        <f t="shared" si="311"/>
        <v>#VALUE!</v>
      </c>
      <c r="T1351" s="1" t="e">
        <f t="shared" si="312"/>
        <v>#VALUE!</v>
      </c>
      <c r="U1351" s="26" t="e">
        <f t="shared" si="313"/>
        <v>#VALUE!</v>
      </c>
      <c r="V1351" s="26" t="e">
        <f t="shared" si="314"/>
        <v>#VALUE!</v>
      </c>
      <c r="W1351" s="1" t="e">
        <f t="shared" si="315"/>
        <v>#VALUE!</v>
      </c>
      <c r="X1351" s="26" t="e">
        <f t="shared" si="316"/>
        <v>#VALUE!</v>
      </c>
      <c r="Y1351" s="26" t="e">
        <f t="shared" si="317"/>
        <v>#VALUE!</v>
      </c>
      <c r="Z1351" s="1" t="e">
        <f t="shared" si="318"/>
        <v>#VALUE!</v>
      </c>
      <c r="AA1351"/>
      <c r="AB1351"/>
    </row>
    <row r="1352" spans="1:28" x14ac:dyDescent="0.55000000000000004">
      <c r="A1352" s="1">
        <f t="shared" si="305"/>
        <v>1352</v>
      </c>
      <c r="B1352" t="s">
        <v>40</v>
      </c>
      <c r="C1352" t="s">
        <v>126</v>
      </c>
      <c r="D1352" t="s">
        <v>179</v>
      </c>
      <c r="E1352" t="s">
        <v>186</v>
      </c>
      <c r="F1352" t="s">
        <v>247</v>
      </c>
      <c r="G1352" t="s">
        <v>258</v>
      </c>
      <c r="I1352" t="s">
        <v>249</v>
      </c>
      <c r="K1352" t="s">
        <v>259</v>
      </c>
      <c r="M1352" t="s">
        <v>47</v>
      </c>
      <c r="N1352" s="1" t="e">
        <f t="shared" si="306"/>
        <v>#VALUE!</v>
      </c>
      <c r="O1352" s="1" t="e">
        <f t="shared" si="307"/>
        <v>#VALUE!</v>
      </c>
      <c r="P1352" s="1" t="e">
        <f t="shared" si="308"/>
        <v>#VALUE!</v>
      </c>
      <c r="Q1352" s="1" t="e">
        <f t="shared" si="309"/>
        <v>#VALUE!</v>
      </c>
      <c r="R1352" s="1" t="e">
        <f t="shared" si="310"/>
        <v>#VALUE!</v>
      </c>
      <c r="S1352" s="1" t="e">
        <f t="shared" si="311"/>
        <v>#VALUE!</v>
      </c>
      <c r="T1352" s="1" t="e">
        <f t="shared" si="312"/>
        <v>#VALUE!</v>
      </c>
      <c r="U1352" s="26" t="e">
        <f t="shared" si="313"/>
        <v>#VALUE!</v>
      </c>
      <c r="V1352" s="26" t="e">
        <f t="shared" si="314"/>
        <v>#VALUE!</v>
      </c>
      <c r="W1352" s="1" t="e">
        <f t="shared" si="315"/>
        <v>#VALUE!</v>
      </c>
      <c r="X1352" s="26" t="e">
        <f t="shared" si="316"/>
        <v>#VALUE!</v>
      </c>
      <c r="Y1352" s="26" t="e">
        <f t="shared" si="317"/>
        <v>#VALUE!</v>
      </c>
      <c r="Z1352" s="1" t="e">
        <f t="shared" si="318"/>
        <v>#VALUE!</v>
      </c>
      <c r="AA1352"/>
      <c r="AB1352"/>
    </row>
    <row r="1353" spans="1:28" x14ac:dyDescent="0.55000000000000004">
      <c r="A1353" s="1">
        <f t="shared" si="305"/>
        <v>1353</v>
      </c>
      <c r="B1353" t="s">
        <v>30</v>
      </c>
      <c r="C1353" t="s">
        <v>122</v>
      </c>
      <c r="D1353" t="s">
        <v>174</v>
      </c>
      <c r="E1353" t="s">
        <v>270</v>
      </c>
      <c r="F1353" t="s">
        <v>181</v>
      </c>
      <c r="G1353" t="s">
        <v>48</v>
      </c>
      <c r="I1353" t="s">
        <v>67</v>
      </c>
      <c r="K1353" t="s">
        <v>50</v>
      </c>
      <c r="M1353" t="s">
        <v>47</v>
      </c>
      <c r="N1353" s="1" t="e">
        <f t="shared" si="306"/>
        <v>#VALUE!</v>
      </c>
      <c r="O1353" s="1" t="e">
        <f t="shared" si="307"/>
        <v>#VALUE!</v>
      </c>
      <c r="P1353" s="1" t="e">
        <f t="shared" si="308"/>
        <v>#VALUE!</v>
      </c>
      <c r="Q1353" s="1" t="e">
        <f t="shared" si="309"/>
        <v>#VALUE!</v>
      </c>
      <c r="R1353" s="1" t="e">
        <f t="shared" si="310"/>
        <v>#VALUE!</v>
      </c>
      <c r="S1353" s="1" t="e">
        <f t="shared" si="311"/>
        <v>#VALUE!</v>
      </c>
      <c r="T1353" s="1" t="e">
        <f t="shared" si="312"/>
        <v>#VALUE!</v>
      </c>
      <c r="U1353" s="26" t="e">
        <f t="shared" si="313"/>
        <v>#VALUE!</v>
      </c>
      <c r="V1353" s="26" t="e">
        <f t="shared" si="314"/>
        <v>#VALUE!</v>
      </c>
      <c r="W1353" s="1" t="e">
        <f t="shared" si="315"/>
        <v>#VALUE!</v>
      </c>
      <c r="X1353" s="26" t="e">
        <f t="shared" si="316"/>
        <v>#VALUE!</v>
      </c>
      <c r="Y1353" s="26" t="e">
        <f t="shared" si="317"/>
        <v>#VALUE!</v>
      </c>
      <c r="Z1353" s="1" t="e">
        <f t="shared" si="318"/>
        <v>#VALUE!</v>
      </c>
      <c r="AA1353"/>
      <c r="AB1353"/>
    </row>
    <row r="1354" spans="1:28" x14ac:dyDescent="0.55000000000000004">
      <c r="A1354" s="1">
        <f t="shared" si="305"/>
        <v>1354</v>
      </c>
      <c r="B1354" t="s">
        <v>31</v>
      </c>
      <c r="C1354" t="s">
        <v>199</v>
      </c>
      <c r="D1354" t="s">
        <v>174</v>
      </c>
      <c r="E1354" t="s">
        <v>270</v>
      </c>
      <c r="F1354" t="s">
        <v>274</v>
      </c>
      <c r="G1354" t="s">
        <v>144</v>
      </c>
      <c r="I1354" t="s">
        <v>139</v>
      </c>
      <c r="K1354" t="s">
        <v>146</v>
      </c>
      <c r="M1354" t="s">
        <v>47</v>
      </c>
      <c r="N1354" s="1" t="e">
        <f t="shared" si="306"/>
        <v>#VALUE!</v>
      </c>
      <c r="O1354" s="1" t="e">
        <f t="shared" si="307"/>
        <v>#VALUE!</v>
      </c>
      <c r="P1354" s="1" t="e">
        <f t="shared" si="308"/>
        <v>#VALUE!</v>
      </c>
      <c r="Q1354" s="1" t="e">
        <f t="shared" si="309"/>
        <v>#VALUE!</v>
      </c>
      <c r="R1354" s="1" t="e">
        <f t="shared" si="310"/>
        <v>#VALUE!</v>
      </c>
      <c r="S1354" s="1" t="e">
        <f t="shared" si="311"/>
        <v>#VALUE!</v>
      </c>
      <c r="T1354" s="1" t="e">
        <f t="shared" si="312"/>
        <v>#VALUE!</v>
      </c>
      <c r="U1354" s="26" t="e">
        <f t="shared" si="313"/>
        <v>#VALUE!</v>
      </c>
      <c r="V1354" s="26" t="e">
        <f t="shared" si="314"/>
        <v>#VALUE!</v>
      </c>
      <c r="W1354" s="1" t="e">
        <f t="shared" si="315"/>
        <v>#VALUE!</v>
      </c>
      <c r="X1354" s="26" t="e">
        <f t="shared" si="316"/>
        <v>#VALUE!</v>
      </c>
      <c r="Y1354" s="26" t="e">
        <f t="shared" si="317"/>
        <v>#VALUE!</v>
      </c>
      <c r="Z1354" s="1" t="e">
        <f t="shared" si="318"/>
        <v>#VALUE!</v>
      </c>
      <c r="AA1354"/>
      <c r="AB1354"/>
    </row>
    <row r="1355" spans="1:28" x14ac:dyDescent="0.55000000000000004">
      <c r="A1355" s="1">
        <f t="shared" si="305"/>
        <v>1355</v>
      </c>
      <c r="B1355" t="s">
        <v>34</v>
      </c>
      <c r="C1355" t="s">
        <v>200</v>
      </c>
      <c r="D1355" t="s">
        <v>174</v>
      </c>
      <c r="E1355" t="s">
        <v>270</v>
      </c>
      <c r="F1355" t="s">
        <v>181</v>
      </c>
      <c r="G1355" t="s">
        <v>93</v>
      </c>
      <c r="I1355" t="s">
        <v>102</v>
      </c>
      <c r="K1355" t="s">
        <v>113</v>
      </c>
      <c r="M1355" t="s">
        <v>47</v>
      </c>
      <c r="N1355" s="1" t="e">
        <f t="shared" si="306"/>
        <v>#VALUE!</v>
      </c>
      <c r="O1355" s="1" t="e">
        <f t="shared" si="307"/>
        <v>#VALUE!</v>
      </c>
      <c r="P1355" s="1" t="e">
        <f t="shared" si="308"/>
        <v>#VALUE!</v>
      </c>
      <c r="Q1355" s="1" t="e">
        <f t="shared" si="309"/>
        <v>#VALUE!</v>
      </c>
      <c r="R1355" s="1" t="e">
        <f t="shared" si="310"/>
        <v>#VALUE!</v>
      </c>
      <c r="S1355" s="1" t="e">
        <f t="shared" si="311"/>
        <v>#VALUE!</v>
      </c>
      <c r="T1355" s="1" t="e">
        <f t="shared" si="312"/>
        <v>#VALUE!</v>
      </c>
      <c r="U1355" s="26" t="e">
        <f t="shared" si="313"/>
        <v>#VALUE!</v>
      </c>
      <c r="V1355" s="26" t="e">
        <f t="shared" si="314"/>
        <v>#VALUE!</v>
      </c>
      <c r="W1355" s="1" t="e">
        <f t="shared" si="315"/>
        <v>#VALUE!</v>
      </c>
      <c r="X1355" s="26" t="e">
        <f t="shared" si="316"/>
        <v>#VALUE!</v>
      </c>
      <c r="Y1355" s="26" t="e">
        <f t="shared" si="317"/>
        <v>#VALUE!</v>
      </c>
      <c r="Z1355" s="1" t="e">
        <f t="shared" si="318"/>
        <v>#VALUE!</v>
      </c>
      <c r="AA1355"/>
      <c r="AB1355"/>
    </row>
    <row r="1356" spans="1:28" x14ac:dyDescent="0.55000000000000004">
      <c r="A1356" s="1">
        <f t="shared" si="305"/>
        <v>1356</v>
      </c>
      <c r="B1356" t="s">
        <v>37</v>
      </c>
      <c r="C1356" t="s">
        <v>78</v>
      </c>
      <c r="D1356" t="s">
        <v>174</v>
      </c>
      <c r="E1356" t="s">
        <v>270</v>
      </c>
      <c r="F1356" t="s">
        <v>315</v>
      </c>
      <c r="G1356" t="s">
        <v>318</v>
      </c>
      <c r="I1356" t="s">
        <v>312</v>
      </c>
      <c r="K1356" t="s">
        <v>320</v>
      </c>
      <c r="M1356" t="s">
        <v>47</v>
      </c>
      <c r="N1356" s="1" t="e">
        <f t="shared" si="306"/>
        <v>#VALUE!</v>
      </c>
      <c r="O1356" s="1" t="e">
        <f t="shared" si="307"/>
        <v>#VALUE!</v>
      </c>
      <c r="P1356" s="1" t="e">
        <f t="shared" si="308"/>
        <v>#VALUE!</v>
      </c>
      <c r="Q1356" s="1" t="e">
        <f t="shared" si="309"/>
        <v>#VALUE!</v>
      </c>
      <c r="R1356" s="1" t="e">
        <f t="shared" si="310"/>
        <v>#VALUE!</v>
      </c>
      <c r="S1356" s="1" t="e">
        <f t="shared" si="311"/>
        <v>#VALUE!</v>
      </c>
      <c r="T1356" s="1" t="e">
        <f t="shared" si="312"/>
        <v>#VALUE!</v>
      </c>
      <c r="U1356" s="26" t="e">
        <f t="shared" si="313"/>
        <v>#VALUE!</v>
      </c>
      <c r="V1356" s="26" t="e">
        <f t="shared" si="314"/>
        <v>#VALUE!</v>
      </c>
      <c r="W1356" s="1" t="e">
        <f t="shared" si="315"/>
        <v>#VALUE!</v>
      </c>
      <c r="X1356" s="26" t="e">
        <f t="shared" si="316"/>
        <v>#VALUE!</v>
      </c>
      <c r="Y1356" s="26" t="e">
        <f t="shared" si="317"/>
        <v>#VALUE!</v>
      </c>
      <c r="Z1356" s="1" t="e">
        <f t="shared" si="318"/>
        <v>#VALUE!</v>
      </c>
      <c r="AA1356"/>
      <c r="AB1356"/>
    </row>
    <row r="1357" spans="1:28" x14ac:dyDescent="0.55000000000000004">
      <c r="A1357" s="1">
        <f t="shared" si="305"/>
        <v>1357</v>
      </c>
      <c r="B1357" t="s">
        <v>37</v>
      </c>
      <c r="C1357" t="s">
        <v>78</v>
      </c>
      <c r="D1357" t="s">
        <v>174</v>
      </c>
      <c r="E1357" t="s">
        <v>270</v>
      </c>
      <c r="F1357" t="s">
        <v>315</v>
      </c>
      <c r="G1357" t="s">
        <v>322</v>
      </c>
      <c r="I1357" t="s">
        <v>324</v>
      </c>
      <c r="K1357" t="s">
        <v>331</v>
      </c>
      <c r="M1357" t="s">
        <v>47</v>
      </c>
      <c r="N1357" s="1" t="e">
        <f t="shared" si="306"/>
        <v>#VALUE!</v>
      </c>
      <c r="O1357" s="1" t="e">
        <f t="shared" si="307"/>
        <v>#VALUE!</v>
      </c>
      <c r="P1357" s="1" t="e">
        <f t="shared" si="308"/>
        <v>#VALUE!</v>
      </c>
      <c r="Q1357" s="1" t="e">
        <f t="shared" si="309"/>
        <v>#VALUE!</v>
      </c>
      <c r="R1357" s="1" t="e">
        <f t="shared" si="310"/>
        <v>#VALUE!</v>
      </c>
      <c r="S1357" s="1" t="e">
        <f t="shared" si="311"/>
        <v>#VALUE!</v>
      </c>
      <c r="T1357" s="1" t="e">
        <f t="shared" si="312"/>
        <v>#VALUE!</v>
      </c>
      <c r="U1357" s="26" t="e">
        <f t="shared" si="313"/>
        <v>#VALUE!</v>
      </c>
      <c r="V1357" s="26" t="e">
        <f t="shared" si="314"/>
        <v>#VALUE!</v>
      </c>
      <c r="W1357" s="1" t="e">
        <f t="shared" si="315"/>
        <v>#VALUE!</v>
      </c>
      <c r="X1357" s="26" t="e">
        <f t="shared" si="316"/>
        <v>#VALUE!</v>
      </c>
      <c r="Y1357" s="26" t="e">
        <f t="shared" si="317"/>
        <v>#VALUE!</v>
      </c>
      <c r="Z1357" s="1" t="e">
        <f t="shared" si="318"/>
        <v>#VALUE!</v>
      </c>
      <c r="AA1357"/>
      <c r="AB1357"/>
    </row>
    <row r="1358" spans="1:28" x14ac:dyDescent="0.55000000000000004">
      <c r="A1358" s="1">
        <f t="shared" si="305"/>
        <v>1358</v>
      </c>
      <c r="B1358" t="s">
        <v>37</v>
      </c>
      <c r="C1358" t="s">
        <v>78</v>
      </c>
      <c r="D1358" t="s">
        <v>174</v>
      </c>
      <c r="E1358" t="s">
        <v>270</v>
      </c>
      <c r="F1358" t="s">
        <v>315</v>
      </c>
      <c r="G1358" t="s">
        <v>313</v>
      </c>
      <c r="I1358" t="s">
        <v>326</v>
      </c>
      <c r="K1358" t="s">
        <v>317</v>
      </c>
      <c r="M1358" t="s">
        <v>47</v>
      </c>
      <c r="N1358" s="1" t="e">
        <f t="shared" si="306"/>
        <v>#VALUE!</v>
      </c>
      <c r="O1358" s="1" t="e">
        <f t="shared" si="307"/>
        <v>#VALUE!</v>
      </c>
      <c r="P1358" s="1" t="e">
        <f t="shared" si="308"/>
        <v>#VALUE!</v>
      </c>
      <c r="Q1358" s="1" t="e">
        <f t="shared" si="309"/>
        <v>#VALUE!</v>
      </c>
      <c r="R1358" s="1" t="e">
        <f t="shared" si="310"/>
        <v>#VALUE!</v>
      </c>
      <c r="S1358" s="1" t="e">
        <f t="shared" si="311"/>
        <v>#VALUE!</v>
      </c>
      <c r="T1358" s="1" t="e">
        <f t="shared" si="312"/>
        <v>#VALUE!</v>
      </c>
      <c r="U1358" s="26" t="e">
        <f t="shared" si="313"/>
        <v>#VALUE!</v>
      </c>
      <c r="V1358" s="26" t="e">
        <f t="shared" si="314"/>
        <v>#VALUE!</v>
      </c>
      <c r="W1358" s="1" t="e">
        <f t="shared" si="315"/>
        <v>#VALUE!</v>
      </c>
      <c r="X1358" s="26" t="e">
        <f t="shared" si="316"/>
        <v>#VALUE!</v>
      </c>
      <c r="Y1358" s="26" t="e">
        <f t="shared" si="317"/>
        <v>#VALUE!</v>
      </c>
      <c r="Z1358" s="1" t="e">
        <f t="shared" si="318"/>
        <v>#VALUE!</v>
      </c>
      <c r="AA1358"/>
      <c r="AB1358"/>
    </row>
    <row r="1359" spans="1:28" x14ac:dyDescent="0.55000000000000004">
      <c r="A1359" s="1">
        <f t="shared" si="305"/>
        <v>1359</v>
      </c>
      <c r="B1359" t="s">
        <v>37</v>
      </c>
      <c r="C1359" t="s">
        <v>78</v>
      </c>
      <c r="D1359" t="s">
        <v>174</v>
      </c>
      <c r="E1359" t="s">
        <v>270</v>
      </c>
      <c r="F1359" t="s">
        <v>311</v>
      </c>
      <c r="G1359" t="s">
        <v>319</v>
      </c>
      <c r="I1359" t="s">
        <v>328</v>
      </c>
      <c r="K1359" t="s">
        <v>330</v>
      </c>
      <c r="M1359" t="s">
        <v>47</v>
      </c>
      <c r="N1359" s="1" t="e">
        <f t="shared" si="306"/>
        <v>#VALUE!</v>
      </c>
      <c r="O1359" s="1" t="e">
        <f t="shared" si="307"/>
        <v>#VALUE!</v>
      </c>
      <c r="P1359" s="1" t="e">
        <f t="shared" si="308"/>
        <v>#VALUE!</v>
      </c>
      <c r="Q1359" s="1" t="e">
        <f t="shared" si="309"/>
        <v>#VALUE!</v>
      </c>
      <c r="R1359" s="1" t="e">
        <f t="shared" si="310"/>
        <v>#VALUE!</v>
      </c>
      <c r="S1359" s="1" t="e">
        <f t="shared" si="311"/>
        <v>#VALUE!</v>
      </c>
      <c r="T1359" s="1" t="e">
        <f t="shared" si="312"/>
        <v>#VALUE!</v>
      </c>
      <c r="U1359" s="26" t="e">
        <f t="shared" si="313"/>
        <v>#VALUE!</v>
      </c>
      <c r="V1359" s="26" t="e">
        <f t="shared" si="314"/>
        <v>#VALUE!</v>
      </c>
      <c r="W1359" s="1" t="e">
        <f t="shared" si="315"/>
        <v>#VALUE!</v>
      </c>
      <c r="X1359" s="26" t="e">
        <f t="shared" si="316"/>
        <v>#VALUE!</v>
      </c>
      <c r="Y1359" s="26" t="e">
        <f t="shared" si="317"/>
        <v>#VALUE!</v>
      </c>
      <c r="Z1359" s="1" t="e">
        <f t="shared" si="318"/>
        <v>#VALUE!</v>
      </c>
      <c r="AA1359"/>
      <c r="AB1359"/>
    </row>
    <row r="1360" spans="1:28" x14ac:dyDescent="0.55000000000000004">
      <c r="A1360" s="1">
        <f t="shared" si="305"/>
        <v>1360</v>
      </c>
      <c r="B1360" t="s">
        <v>40</v>
      </c>
      <c r="C1360" t="s">
        <v>128</v>
      </c>
      <c r="D1360" t="s">
        <v>174</v>
      </c>
      <c r="E1360" t="s">
        <v>270</v>
      </c>
      <c r="F1360" t="s">
        <v>251</v>
      </c>
      <c r="G1360" t="s">
        <v>255</v>
      </c>
      <c r="I1360" t="s">
        <v>253</v>
      </c>
      <c r="K1360" t="s">
        <v>257</v>
      </c>
      <c r="M1360" t="s">
        <v>47</v>
      </c>
      <c r="N1360" s="1" t="e">
        <f t="shared" si="306"/>
        <v>#VALUE!</v>
      </c>
      <c r="O1360" s="1" t="e">
        <f t="shared" si="307"/>
        <v>#VALUE!</v>
      </c>
      <c r="P1360" s="1" t="e">
        <f t="shared" si="308"/>
        <v>#VALUE!</v>
      </c>
      <c r="Q1360" s="1" t="e">
        <f t="shared" si="309"/>
        <v>#VALUE!</v>
      </c>
      <c r="R1360" s="1" t="e">
        <f t="shared" si="310"/>
        <v>#VALUE!</v>
      </c>
      <c r="S1360" s="1" t="e">
        <f t="shared" si="311"/>
        <v>#VALUE!</v>
      </c>
      <c r="T1360" s="1" t="e">
        <f t="shared" si="312"/>
        <v>#VALUE!</v>
      </c>
      <c r="U1360" s="26" t="e">
        <f t="shared" si="313"/>
        <v>#VALUE!</v>
      </c>
      <c r="V1360" s="26" t="e">
        <f t="shared" si="314"/>
        <v>#VALUE!</v>
      </c>
      <c r="W1360" s="1" t="e">
        <f t="shared" si="315"/>
        <v>#VALUE!</v>
      </c>
      <c r="X1360" s="26" t="e">
        <f t="shared" si="316"/>
        <v>#VALUE!</v>
      </c>
      <c r="Y1360" s="26" t="e">
        <f t="shared" si="317"/>
        <v>#VALUE!</v>
      </c>
      <c r="Z1360" s="1" t="e">
        <f t="shared" si="318"/>
        <v>#VALUE!</v>
      </c>
      <c r="AA1360"/>
      <c r="AB1360"/>
    </row>
    <row r="1361" spans="1:28" x14ac:dyDescent="0.55000000000000004">
      <c r="A1361" s="1">
        <f t="shared" si="305"/>
        <v>1361</v>
      </c>
      <c r="B1361" t="s">
        <v>30</v>
      </c>
      <c r="C1361" t="s">
        <v>122</v>
      </c>
      <c r="D1361" t="s">
        <v>133</v>
      </c>
      <c r="E1361" t="s">
        <v>352</v>
      </c>
      <c r="F1361" t="s">
        <v>350</v>
      </c>
      <c r="G1361" t="s">
        <v>60</v>
      </c>
      <c r="I1361" t="s">
        <v>57</v>
      </c>
      <c r="K1361" t="s">
        <v>62</v>
      </c>
      <c r="M1361" t="s">
        <v>47</v>
      </c>
      <c r="N1361" s="1" t="e">
        <f t="shared" si="306"/>
        <v>#VALUE!</v>
      </c>
      <c r="O1361" s="1" t="e">
        <f t="shared" si="307"/>
        <v>#VALUE!</v>
      </c>
      <c r="P1361" s="1" t="e">
        <f t="shared" si="308"/>
        <v>#VALUE!</v>
      </c>
      <c r="Q1361" s="1" t="e">
        <f t="shared" si="309"/>
        <v>#VALUE!</v>
      </c>
      <c r="R1361" s="1" t="e">
        <f t="shared" si="310"/>
        <v>#VALUE!</v>
      </c>
      <c r="S1361" s="1" t="e">
        <f t="shared" si="311"/>
        <v>#VALUE!</v>
      </c>
      <c r="T1361" s="1" t="e">
        <f t="shared" si="312"/>
        <v>#VALUE!</v>
      </c>
      <c r="U1361" s="26" t="e">
        <f t="shared" si="313"/>
        <v>#VALUE!</v>
      </c>
      <c r="V1361" s="26" t="e">
        <f t="shared" si="314"/>
        <v>#VALUE!</v>
      </c>
      <c r="W1361" s="1" t="e">
        <f t="shared" si="315"/>
        <v>#VALUE!</v>
      </c>
      <c r="X1361" s="26" t="e">
        <f t="shared" si="316"/>
        <v>#VALUE!</v>
      </c>
      <c r="Y1361" s="26" t="e">
        <f t="shared" si="317"/>
        <v>#VALUE!</v>
      </c>
      <c r="Z1361" s="1" t="e">
        <f t="shared" si="318"/>
        <v>#VALUE!</v>
      </c>
      <c r="AA1361"/>
      <c r="AB1361"/>
    </row>
    <row r="1362" spans="1:28" x14ac:dyDescent="0.55000000000000004">
      <c r="A1362" s="1">
        <f t="shared" si="305"/>
        <v>1362</v>
      </c>
      <c r="B1362" t="s">
        <v>31</v>
      </c>
      <c r="C1362" t="s">
        <v>199</v>
      </c>
      <c r="D1362" t="s">
        <v>133</v>
      </c>
      <c r="E1362" t="s">
        <v>352</v>
      </c>
      <c r="F1362" t="s">
        <v>357</v>
      </c>
      <c r="G1362" t="s">
        <v>141</v>
      </c>
      <c r="I1362" t="s">
        <v>151</v>
      </c>
      <c r="K1362" t="s">
        <v>143</v>
      </c>
      <c r="M1362" t="s">
        <v>47</v>
      </c>
      <c r="N1362" s="1" t="e">
        <f t="shared" si="306"/>
        <v>#VALUE!</v>
      </c>
      <c r="O1362" s="1" t="e">
        <f t="shared" si="307"/>
        <v>#VALUE!</v>
      </c>
      <c r="P1362" s="1" t="e">
        <f t="shared" si="308"/>
        <v>#VALUE!</v>
      </c>
      <c r="Q1362" s="1" t="e">
        <f t="shared" si="309"/>
        <v>#VALUE!</v>
      </c>
      <c r="R1362" s="1" t="e">
        <f t="shared" si="310"/>
        <v>#VALUE!</v>
      </c>
      <c r="S1362" s="1" t="e">
        <f t="shared" si="311"/>
        <v>#VALUE!</v>
      </c>
      <c r="T1362" s="1" t="e">
        <f t="shared" si="312"/>
        <v>#VALUE!</v>
      </c>
      <c r="U1362" s="26" t="e">
        <f t="shared" si="313"/>
        <v>#VALUE!</v>
      </c>
      <c r="V1362" s="26" t="e">
        <f t="shared" si="314"/>
        <v>#VALUE!</v>
      </c>
      <c r="W1362" s="1" t="e">
        <f t="shared" si="315"/>
        <v>#VALUE!</v>
      </c>
      <c r="X1362" s="26" t="e">
        <f t="shared" si="316"/>
        <v>#VALUE!</v>
      </c>
      <c r="Y1362" s="26" t="e">
        <f t="shared" si="317"/>
        <v>#VALUE!</v>
      </c>
      <c r="Z1362" s="1" t="e">
        <f t="shared" si="318"/>
        <v>#VALUE!</v>
      </c>
      <c r="AA1362"/>
      <c r="AB1362"/>
    </row>
    <row r="1363" spans="1:28" x14ac:dyDescent="0.55000000000000004">
      <c r="A1363" s="1">
        <f t="shared" si="305"/>
        <v>1363</v>
      </c>
      <c r="B1363" t="s">
        <v>31</v>
      </c>
      <c r="C1363" t="s">
        <v>199</v>
      </c>
      <c r="D1363" t="s">
        <v>133</v>
      </c>
      <c r="E1363" t="s">
        <v>352</v>
      </c>
      <c r="F1363" t="s">
        <v>357</v>
      </c>
      <c r="G1363" t="s">
        <v>138</v>
      </c>
      <c r="I1363" t="s">
        <v>136</v>
      </c>
      <c r="K1363" t="s">
        <v>140</v>
      </c>
      <c r="M1363" t="s">
        <v>47</v>
      </c>
      <c r="N1363" s="1" t="e">
        <f t="shared" si="306"/>
        <v>#VALUE!</v>
      </c>
      <c r="O1363" s="1" t="e">
        <f t="shared" si="307"/>
        <v>#VALUE!</v>
      </c>
      <c r="P1363" s="1" t="e">
        <f t="shared" si="308"/>
        <v>#VALUE!</v>
      </c>
      <c r="Q1363" s="1" t="e">
        <f t="shared" si="309"/>
        <v>#VALUE!</v>
      </c>
      <c r="R1363" s="1" t="e">
        <f t="shared" si="310"/>
        <v>#VALUE!</v>
      </c>
      <c r="S1363" s="1" t="e">
        <f t="shared" si="311"/>
        <v>#VALUE!</v>
      </c>
      <c r="T1363" s="1" t="e">
        <f t="shared" si="312"/>
        <v>#VALUE!</v>
      </c>
      <c r="U1363" s="26" t="e">
        <f t="shared" si="313"/>
        <v>#VALUE!</v>
      </c>
      <c r="V1363" s="26" t="e">
        <f t="shared" si="314"/>
        <v>#VALUE!</v>
      </c>
      <c r="W1363" s="1" t="e">
        <f t="shared" si="315"/>
        <v>#VALUE!</v>
      </c>
      <c r="X1363" s="26" t="e">
        <f t="shared" si="316"/>
        <v>#VALUE!</v>
      </c>
      <c r="Y1363" s="26" t="e">
        <f t="shared" si="317"/>
        <v>#VALUE!</v>
      </c>
      <c r="Z1363" s="1" t="e">
        <f t="shared" si="318"/>
        <v>#VALUE!</v>
      </c>
      <c r="AA1363"/>
      <c r="AB1363"/>
    </row>
    <row r="1364" spans="1:28" x14ac:dyDescent="0.55000000000000004">
      <c r="A1364" s="1">
        <f t="shared" si="305"/>
        <v>1364</v>
      </c>
      <c r="B1364" t="s">
        <v>31</v>
      </c>
      <c r="C1364" t="s">
        <v>199</v>
      </c>
      <c r="D1364" t="s">
        <v>133</v>
      </c>
      <c r="E1364" t="s">
        <v>352</v>
      </c>
      <c r="F1364" t="s">
        <v>274</v>
      </c>
      <c r="G1364" t="s">
        <v>147</v>
      </c>
      <c r="I1364" t="s">
        <v>142</v>
      </c>
      <c r="K1364" t="s">
        <v>149</v>
      </c>
      <c r="M1364" t="s">
        <v>47</v>
      </c>
      <c r="N1364" s="1" t="e">
        <f t="shared" si="306"/>
        <v>#VALUE!</v>
      </c>
      <c r="O1364" s="1" t="e">
        <f t="shared" si="307"/>
        <v>#VALUE!</v>
      </c>
      <c r="P1364" s="1" t="e">
        <f t="shared" si="308"/>
        <v>#VALUE!</v>
      </c>
      <c r="Q1364" s="1" t="e">
        <f t="shared" si="309"/>
        <v>#VALUE!</v>
      </c>
      <c r="R1364" s="1" t="e">
        <f t="shared" si="310"/>
        <v>#VALUE!</v>
      </c>
      <c r="S1364" s="1" t="e">
        <f t="shared" si="311"/>
        <v>#VALUE!</v>
      </c>
      <c r="T1364" s="1" t="e">
        <f t="shared" si="312"/>
        <v>#VALUE!</v>
      </c>
      <c r="U1364" s="26" t="e">
        <f t="shared" si="313"/>
        <v>#VALUE!</v>
      </c>
      <c r="V1364" s="26" t="e">
        <f t="shared" si="314"/>
        <v>#VALUE!</v>
      </c>
      <c r="W1364" s="1" t="e">
        <f t="shared" si="315"/>
        <v>#VALUE!</v>
      </c>
      <c r="X1364" s="26" t="e">
        <f t="shared" si="316"/>
        <v>#VALUE!</v>
      </c>
      <c r="Y1364" s="26" t="e">
        <f t="shared" si="317"/>
        <v>#VALUE!</v>
      </c>
      <c r="Z1364" s="1" t="e">
        <f t="shared" si="318"/>
        <v>#VALUE!</v>
      </c>
      <c r="AA1364"/>
      <c r="AB1364"/>
    </row>
    <row r="1365" spans="1:28" x14ac:dyDescent="0.55000000000000004">
      <c r="A1365" s="1">
        <f t="shared" si="305"/>
        <v>1365</v>
      </c>
      <c r="B1365" t="s">
        <v>33</v>
      </c>
      <c r="C1365" t="s">
        <v>41</v>
      </c>
      <c r="D1365" t="s">
        <v>133</v>
      </c>
      <c r="E1365" t="s">
        <v>352</v>
      </c>
      <c r="F1365" t="s">
        <v>364</v>
      </c>
      <c r="G1365" t="s">
        <v>287</v>
      </c>
      <c r="I1365" t="s">
        <v>299</v>
      </c>
      <c r="K1365" t="s">
        <v>289</v>
      </c>
      <c r="M1365" t="s">
        <v>47</v>
      </c>
      <c r="N1365" s="1" t="e">
        <f t="shared" si="306"/>
        <v>#VALUE!</v>
      </c>
      <c r="O1365" s="1" t="e">
        <f t="shared" si="307"/>
        <v>#VALUE!</v>
      </c>
      <c r="P1365" s="1" t="e">
        <f t="shared" si="308"/>
        <v>#VALUE!</v>
      </c>
      <c r="Q1365" s="1" t="e">
        <f t="shared" si="309"/>
        <v>#VALUE!</v>
      </c>
      <c r="R1365" s="1" t="e">
        <f t="shared" si="310"/>
        <v>#VALUE!</v>
      </c>
      <c r="S1365" s="1" t="e">
        <f t="shared" si="311"/>
        <v>#VALUE!</v>
      </c>
      <c r="T1365" s="1" t="e">
        <f t="shared" si="312"/>
        <v>#VALUE!</v>
      </c>
      <c r="U1365" s="26" t="e">
        <f t="shared" si="313"/>
        <v>#VALUE!</v>
      </c>
      <c r="V1365" s="26" t="e">
        <f t="shared" si="314"/>
        <v>#VALUE!</v>
      </c>
      <c r="W1365" s="1" t="e">
        <f t="shared" si="315"/>
        <v>#VALUE!</v>
      </c>
      <c r="X1365" s="26" t="e">
        <f t="shared" si="316"/>
        <v>#VALUE!</v>
      </c>
      <c r="Y1365" s="26" t="e">
        <f t="shared" si="317"/>
        <v>#VALUE!</v>
      </c>
      <c r="Z1365" s="1" t="e">
        <f t="shared" si="318"/>
        <v>#VALUE!</v>
      </c>
      <c r="AA1365"/>
      <c r="AB1365"/>
    </row>
    <row r="1366" spans="1:28" x14ac:dyDescent="0.55000000000000004">
      <c r="A1366" s="1">
        <f t="shared" si="305"/>
        <v>1366</v>
      </c>
      <c r="B1366" t="s">
        <v>33</v>
      </c>
      <c r="C1366" t="s">
        <v>41</v>
      </c>
      <c r="D1366" t="s">
        <v>133</v>
      </c>
      <c r="E1366" t="s">
        <v>352</v>
      </c>
      <c r="F1366" t="s">
        <v>277</v>
      </c>
      <c r="G1366" t="s">
        <v>367</v>
      </c>
      <c r="I1366" t="s">
        <v>360</v>
      </c>
      <c r="K1366" t="s">
        <v>368</v>
      </c>
      <c r="M1366" t="s">
        <v>47</v>
      </c>
      <c r="N1366" s="1" t="e">
        <f t="shared" si="306"/>
        <v>#VALUE!</v>
      </c>
      <c r="O1366" s="1" t="e">
        <f t="shared" si="307"/>
        <v>#VALUE!</v>
      </c>
      <c r="P1366" s="1" t="e">
        <f t="shared" si="308"/>
        <v>#VALUE!</v>
      </c>
      <c r="Q1366" s="1" t="e">
        <f t="shared" si="309"/>
        <v>#VALUE!</v>
      </c>
      <c r="R1366" s="1" t="e">
        <f t="shared" si="310"/>
        <v>#VALUE!</v>
      </c>
      <c r="S1366" s="1" t="e">
        <f t="shared" si="311"/>
        <v>#VALUE!</v>
      </c>
      <c r="T1366" s="1" t="e">
        <f t="shared" si="312"/>
        <v>#VALUE!</v>
      </c>
      <c r="U1366" s="26" t="e">
        <f t="shared" si="313"/>
        <v>#VALUE!</v>
      </c>
      <c r="V1366" s="26" t="e">
        <f t="shared" si="314"/>
        <v>#VALUE!</v>
      </c>
      <c r="W1366" s="1" t="e">
        <f t="shared" si="315"/>
        <v>#VALUE!</v>
      </c>
      <c r="X1366" s="26" t="e">
        <f t="shared" si="316"/>
        <v>#VALUE!</v>
      </c>
      <c r="Y1366" s="26" t="e">
        <f t="shared" si="317"/>
        <v>#VALUE!</v>
      </c>
      <c r="Z1366" s="1" t="e">
        <f t="shared" si="318"/>
        <v>#VALUE!</v>
      </c>
      <c r="AA1366"/>
      <c r="AB1366"/>
    </row>
    <row r="1367" spans="1:28" x14ac:dyDescent="0.55000000000000004">
      <c r="A1367" s="1">
        <f t="shared" si="305"/>
        <v>1367</v>
      </c>
      <c r="B1367" t="s">
        <v>33</v>
      </c>
      <c r="C1367" t="s">
        <v>41</v>
      </c>
      <c r="D1367" t="s">
        <v>133</v>
      </c>
      <c r="E1367" t="s">
        <v>352</v>
      </c>
      <c r="F1367" t="s">
        <v>277</v>
      </c>
      <c r="G1367" t="s">
        <v>282</v>
      </c>
      <c r="I1367" t="s">
        <v>296</v>
      </c>
      <c r="K1367" t="s">
        <v>295</v>
      </c>
      <c r="M1367" t="s">
        <v>47</v>
      </c>
      <c r="N1367" s="1" t="e">
        <f t="shared" si="306"/>
        <v>#VALUE!</v>
      </c>
      <c r="O1367" s="1" t="e">
        <f t="shared" si="307"/>
        <v>#VALUE!</v>
      </c>
      <c r="P1367" s="1" t="e">
        <f t="shared" si="308"/>
        <v>#VALUE!</v>
      </c>
      <c r="Q1367" s="1" t="e">
        <f t="shared" si="309"/>
        <v>#VALUE!</v>
      </c>
      <c r="R1367" s="1" t="e">
        <f t="shared" si="310"/>
        <v>#VALUE!</v>
      </c>
      <c r="S1367" s="1" t="e">
        <f t="shared" si="311"/>
        <v>#VALUE!</v>
      </c>
      <c r="T1367" s="1" t="e">
        <f t="shared" si="312"/>
        <v>#VALUE!</v>
      </c>
      <c r="U1367" s="26" t="e">
        <f t="shared" si="313"/>
        <v>#VALUE!</v>
      </c>
      <c r="V1367" s="26" t="e">
        <f t="shared" si="314"/>
        <v>#VALUE!</v>
      </c>
      <c r="W1367" s="1" t="e">
        <f t="shared" si="315"/>
        <v>#VALUE!</v>
      </c>
      <c r="X1367" s="26" t="e">
        <f t="shared" si="316"/>
        <v>#VALUE!</v>
      </c>
      <c r="Y1367" s="26" t="e">
        <f t="shared" si="317"/>
        <v>#VALUE!</v>
      </c>
      <c r="Z1367" s="1" t="e">
        <f t="shared" si="318"/>
        <v>#VALUE!</v>
      </c>
      <c r="AA1367"/>
      <c r="AB1367"/>
    </row>
    <row r="1368" spans="1:28" x14ac:dyDescent="0.55000000000000004">
      <c r="A1368" s="1">
        <f t="shared" si="305"/>
        <v>1368</v>
      </c>
      <c r="B1368" t="s">
        <v>33</v>
      </c>
      <c r="C1368" t="s">
        <v>41</v>
      </c>
      <c r="D1368" t="s">
        <v>133</v>
      </c>
      <c r="E1368" t="s">
        <v>352</v>
      </c>
      <c r="F1368" t="s">
        <v>290</v>
      </c>
      <c r="G1368" t="s">
        <v>291</v>
      </c>
      <c r="I1368" t="s">
        <v>284</v>
      </c>
      <c r="K1368" t="s">
        <v>293</v>
      </c>
      <c r="M1368" t="s">
        <v>47</v>
      </c>
      <c r="N1368" s="1" t="e">
        <f t="shared" si="306"/>
        <v>#VALUE!</v>
      </c>
      <c r="O1368" s="1" t="e">
        <f t="shared" si="307"/>
        <v>#VALUE!</v>
      </c>
      <c r="P1368" s="1" t="e">
        <f t="shared" si="308"/>
        <v>#VALUE!</v>
      </c>
      <c r="Q1368" s="1" t="e">
        <f t="shared" si="309"/>
        <v>#VALUE!</v>
      </c>
      <c r="R1368" s="1" t="e">
        <f t="shared" si="310"/>
        <v>#VALUE!</v>
      </c>
      <c r="S1368" s="1" t="e">
        <f t="shared" si="311"/>
        <v>#VALUE!</v>
      </c>
      <c r="T1368" s="1" t="e">
        <f t="shared" si="312"/>
        <v>#VALUE!</v>
      </c>
      <c r="U1368" s="26" t="e">
        <f t="shared" si="313"/>
        <v>#VALUE!</v>
      </c>
      <c r="V1368" s="26" t="e">
        <f t="shared" si="314"/>
        <v>#VALUE!</v>
      </c>
      <c r="W1368" s="1" t="e">
        <f t="shared" si="315"/>
        <v>#VALUE!</v>
      </c>
      <c r="X1368" s="26" t="e">
        <f t="shared" si="316"/>
        <v>#VALUE!</v>
      </c>
      <c r="Y1368" s="26" t="e">
        <f t="shared" si="317"/>
        <v>#VALUE!</v>
      </c>
      <c r="Z1368" s="1" t="e">
        <f t="shared" si="318"/>
        <v>#VALUE!</v>
      </c>
      <c r="AA1368"/>
      <c r="AB1368"/>
    </row>
    <row r="1369" spans="1:28" x14ac:dyDescent="0.55000000000000004">
      <c r="A1369" s="1">
        <f t="shared" si="305"/>
        <v>1369</v>
      </c>
      <c r="B1369" t="s">
        <v>33</v>
      </c>
      <c r="C1369" t="s">
        <v>41</v>
      </c>
      <c r="D1369" t="s">
        <v>133</v>
      </c>
      <c r="E1369" t="s">
        <v>352</v>
      </c>
      <c r="F1369" t="s">
        <v>290</v>
      </c>
      <c r="G1369" t="s">
        <v>281</v>
      </c>
      <c r="I1369" t="s">
        <v>365</v>
      </c>
      <c r="K1369" t="s">
        <v>283</v>
      </c>
      <c r="M1369" t="s">
        <v>47</v>
      </c>
      <c r="N1369" s="1" t="e">
        <f t="shared" si="306"/>
        <v>#VALUE!</v>
      </c>
      <c r="O1369" s="1" t="e">
        <f t="shared" si="307"/>
        <v>#VALUE!</v>
      </c>
      <c r="P1369" s="1" t="e">
        <f t="shared" si="308"/>
        <v>#VALUE!</v>
      </c>
      <c r="Q1369" s="1" t="e">
        <f t="shared" si="309"/>
        <v>#VALUE!</v>
      </c>
      <c r="R1369" s="1" t="e">
        <f t="shared" si="310"/>
        <v>#VALUE!</v>
      </c>
      <c r="S1369" s="1" t="e">
        <f t="shared" si="311"/>
        <v>#VALUE!</v>
      </c>
      <c r="T1369" s="1" t="e">
        <f t="shared" si="312"/>
        <v>#VALUE!</v>
      </c>
      <c r="U1369" s="26" t="e">
        <f t="shared" si="313"/>
        <v>#VALUE!</v>
      </c>
      <c r="V1369" s="26" t="e">
        <f t="shared" si="314"/>
        <v>#VALUE!</v>
      </c>
      <c r="W1369" s="1" t="e">
        <f t="shared" si="315"/>
        <v>#VALUE!</v>
      </c>
      <c r="X1369" s="26" t="e">
        <f t="shared" si="316"/>
        <v>#VALUE!</v>
      </c>
      <c r="Y1369" s="26" t="e">
        <f t="shared" si="317"/>
        <v>#VALUE!</v>
      </c>
      <c r="Z1369" s="1" t="e">
        <f t="shared" si="318"/>
        <v>#VALUE!</v>
      </c>
      <c r="AA1369"/>
      <c r="AB1369"/>
    </row>
    <row r="1370" spans="1:28" x14ac:dyDescent="0.55000000000000004">
      <c r="A1370" s="1">
        <f t="shared" si="305"/>
        <v>1370</v>
      </c>
      <c r="B1370" t="s">
        <v>37</v>
      </c>
      <c r="C1370" t="s">
        <v>78</v>
      </c>
      <c r="D1370" t="s">
        <v>133</v>
      </c>
      <c r="E1370" t="s">
        <v>352</v>
      </c>
      <c r="F1370" t="s">
        <v>315</v>
      </c>
      <c r="G1370" t="s">
        <v>316</v>
      </c>
      <c r="I1370" t="s">
        <v>321</v>
      </c>
      <c r="K1370" t="s">
        <v>341</v>
      </c>
      <c r="M1370" t="s">
        <v>47</v>
      </c>
      <c r="N1370" s="1" t="e">
        <f t="shared" si="306"/>
        <v>#VALUE!</v>
      </c>
      <c r="O1370" s="1" t="e">
        <f t="shared" si="307"/>
        <v>#VALUE!</v>
      </c>
      <c r="P1370" s="1" t="e">
        <f t="shared" si="308"/>
        <v>#VALUE!</v>
      </c>
      <c r="Q1370" s="1" t="e">
        <f t="shared" si="309"/>
        <v>#VALUE!</v>
      </c>
      <c r="R1370" s="1" t="e">
        <f t="shared" si="310"/>
        <v>#VALUE!</v>
      </c>
      <c r="S1370" s="1" t="e">
        <f t="shared" si="311"/>
        <v>#VALUE!</v>
      </c>
      <c r="T1370" s="1" t="e">
        <f t="shared" si="312"/>
        <v>#VALUE!</v>
      </c>
      <c r="U1370" s="26" t="e">
        <f t="shared" si="313"/>
        <v>#VALUE!</v>
      </c>
      <c r="V1370" s="26" t="e">
        <f t="shared" si="314"/>
        <v>#VALUE!</v>
      </c>
      <c r="W1370" s="1" t="e">
        <f t="shared" si="315"/>
        <v>#VALUE!</v>
      </c>
      <c r="X1370" s="26" t="e">
        <f t="shared" si="316"/>
        <v>#VALUE!</v>
      </c>
      <c r="Y1370" s="26" t="e">
        <f t="shared" si="317"/>
        <v>#VALUE!</v>
      </c>
      <c r="Z1370" s="1" t="e">
        <f t="shared" si="318"/>
        <v>#VALUE!</v>
      </c>
      <c r="AA1370"/>
      <c r="AB1370"/>
    </row>
    <row r="1371" spans="1:28" x14ac:dyDescent="0.55000000000000004">
      <c r="A1371" s="1">
        <f t="shared" si="305"/>
        <v>1371</v>
      </c>
      <c r="B1371" t="s">
        <v>39</v>
      </c>
      <c r="C1371" t="s">
        <v>41</v>
      </c>
      <c r="D1371" t="s">
        <v>133</v>
      </c>
      <c r="E1371" t="s">
        <v>352</v>
      </c>
      <c r="F1371" t="s">
        <v>218</v>
      </c>
      <c r="G1371" t="s">
        <v>219</v>
      </c>
      <c r="I1371" t="s">
        <v>232</v>
      </c>
      <c r="K1371" t="s">
        <v>221</v>
      </c>
      <c r="M1371" t="s">
        <v>47</v>
      </c>
      <c r="N1371" s="1" t="e">
        <f t="shared" si="306"/>
        <v>#VALUE!</v>
      </c>
      <c r="O1371" s="1" t="e">
        <f t="shared" si="307"/>
        <v>#VALUE!</v>
      </c>
      <c r="P1371" s="1" t="e">
        <f t="shared" si="308"/>
        <v>#VALUE!</v>
      </c>
      <c r="Q1371" s="1" t="e">
        <f t="shared" si="309"/>
        <v>#VALUE!</v>
      </c>
      <c r="R1371" s="1" t="e">
        <f t="shared" si="310"/>
        <v>#VALUE!</v>
      </c>
      <c r="S1371" s="1" t="e">
        <f t="shared" si="311"/>
        <v>#VALUE!</v>
      </c>
      <c r="T1371" s="1" t="e">
        <f t="shared" si="312"/>
        <v>#VALUE!</v>
      </c>
      <c r="U1371" s="26" t="e">
        <f t="shared" si="313"/>
        <v>#VALUE!</v>
      </c>
      <c r="V1371" s="26" t="e">
        <f t="shared" si="314"/>
        <v>#VALUE!</v>
      </c>
      <c r="W1371" s="1" t="e">
        <f t="shared" si="315"/>
        <v>#VALUE!</v>
      </c>
      <c r="X1371" s="26" t="e">
        <f t="shared" si="316"/>
        <v>#VALUE!</v>
      </c>
      <c r="Y1371" s="26" t="e">
        <f t="shared" si="317"/>
        <v>#VALUE!</v>
      </c>
      <c r="Z1371" s="1" t="e">
        <f t="shared" si="318"/>
        <v>#VALUE!</v>
      </c>
      <c r="AA1371"/>
      <c r="AB1371"/>
    </row>
    <row r="1372" spans="1:28" x14ac:dyDescent="0.55000000000000004">
      <c r="A1372" s="1">
        <f t="shared" si="305"/>
        <v>1372</v>
      </c>
      <c r="B1372" t="s">
        <v>39</v>
      </c>
      <c r="C1372" t="s">
        <v>41</v>
      </c>
      <c r="D1372" t="s">
        <v>133</v>
      </c>
      <c r="E1372" t="s">
        <v>352</v>
      </c>
      <c r="F1372" t="s">
        <v>218</v>
      </c>
      <c r="G1372" t="s">
        <v>225</v>
      </c>
      <c r="I1372" t="s">
        <v>222</v>
      </c>
      <c r="K1372" t="s">
        <v>227</v>
      </c>
      <c r="M1372" t="s">
        <v>47</v>
      </c>
      <c r="N1372" s="1" t="e">
        <f t="shared" si="306"/>
        <v>#VALUE!</v>
      </c>
      <c r="O1372" s="1" t="e">
        <f t="shared" si="307"/>
        <v>#VALUE!</v>
      </c>
      <c r="P1372" s="1" t="e">
        <f t="shared" si="308"/>
        <v>#VALUE!</v>
      </c>
      <c r="Q1372" s="1" t="e">
        <f t="shared" si="309"/>
        <v>#VALUE!</v>
      </c>
      <c r="R1372" s="1" t="e">
        <f t="shared" si="310"/>
        <v>#VALUE!</v>
      </c>
      <c r="S1372" s="1" t="e">
        <f t="shared" si="311"/>
        <v>#VALUE!</v>
      </c>
      <c r="T1372" s="1" t="e">
        <f t="shared" si="312"/>
        <v>#VALUE!</v>
      </c>
      <c r="U1372" s="26" t="e">
        <f t="shared" si="313"/>
        <v>#VALUE!</v>
      </c>
      <c r="V1372" s="26" t="e">
        <f t="shared" si="314"/>
        <v>#VALUE!</v>
      </c>
      <c r="W1372" s="1" t="e">
        <f t="shared" si="315"/>
        <v>#VALUE!</v>
      </c>
      <c r="X1372" s="26" t="e">
        <f t="shared" si="316"/>
        <v>#VALUE!</v>
      </c>
      <c r="Y1372" s="26" t="e">
        <f t="shared" si="317"/>
        <v>#VALUE!</v>
      </c>
      <c r="Z1372" s="1" t="e">
        <f t="shared" si="318"/>
        <v>#VALUE!</v>
      </c>
      <c r="AA1372"/>
      <c r="AB1372"/>
    </row>
    <row r="1373" spans="1:28" x14ac:dyDescent="0.55000000000000004">
      <c r="A1373" s="1">
        <f t="shared" si="305"/>
        <v>1373</v>
      </c>
      <c r="B1373" t="s">
        <v>39</v>
      </c>
      <c r="C1373" t="s">
        <v>41</v>
      </c>
      <c r="D1373" t="s">
        <v>133</v>
      </c>
      <c r="E1373" t="s">
        <v>352</v>
      </c>
      <c r="F1373" t="s">
        <v>218</v>
      </c>
      <c r="G1373" t="s">
        <v>229</v>
      </c>
      <c r="I1373" t="s">
        <v>234</v>
      </c>
      <c r="K1373" t="s">
        <v>246</v>
      </c>
      <c r="M1373" t="s">
        <v>47</v>
      </c>
      <c r="N1373" s="1" t="e">
        <f t="shared" si="306"/>
        <v>#VALUE!</v>
      </c>
      <c r="O1373" s="1" t="e">
        <f t="shared" si="307"/>
        <v>#VALUE!</v>
      </c>
      <c r="P1373" s="1" t="e">
        <f t="shared" si="308"/>
        <v>#VALUE!</v>
      </c>
      <c r="Q1373" s="1" t="e">
        <f t="shared" si="309"/>
        <v>#VALUE!</v>
      </c>
      <c r="R1373" s="1" t="e">
        <f t="shared" si="310"/>
        <v>#VALUE!</v>
      </c>
      <c r="S1373" s="1" t="e">
        <f t="shared" si="311"/>
        <v>#VALUE!</v>
      </c>
      <c r="T1373" s="1" t="e">
        <f t="shared" si="312"/>
        <v>#VALUE!</v>
      </c>
      <c r="U1373" s="26" t="e">
        <f t="shared" si="313"/>
        <v>#VALUE!</v>
      </c>
      <c r="V1373" s="26" t="e">
        <f t="shared" si="314"/>
        <v>#VALUE!</v>
      </c>
      <c r="W1373" s="1" t="e">
        <f t="shared" si="315"/>
        <v>#VALUE!</v>
      </c>
      <c r="X1373" s="26" t="e">
        <f t="shared" si="316"/>
        <v>#VALUE!</v>
      </c>
      <c r="Y1373" s="26" t="e">
        <f t="shared" si="317"/>
        <v>#VALUE!</v>
      </c>
      <c r="Z1373" s="1" t="e">
        <f t="shared" si="318"/>
        <v>#VALUE!</v>
      </c>
      <c r="AA1373"/>
      <c r="AB1373"/>
    </row>
    <row r="1374" spans="1:28" x14ac:dyDescent="0.55000000000000004">
      <c r="A1374" s="1">
        <f t="shared" si="305"/>
        <v>1374</v>
      </c>
      <c r="B1374" t="s">
        <v>39</v>
      </c>
      <c r="C1374" t="s">
        <v>41</v>
      </c>
      <c r="D1374" t="s">
        <v>133</v>
      </c>
      <c r="E1374" t="s">
        <v>352</v>
      </c>
      <c r="F1374" t="s">
        <v>218</v>
      </c>
      <c r="G1374" t="s">
        <v>235</v>
      </c>
      <c r="I1374" t="s">
        <v>228</v>
      </c>
      <c r="K1374" t="s">
        <v>242</v>
      </c>
      <c r="M1374" t="s">
        <v>47</v>
      </c>
      <c r="N1374" s="1" t="e">
        <f t="shared" si="306"/>
        <v>#VALUE!</v>
      </c>
      <c r="O1374" s="1" t="e">
        <f t="shared" si="307"/>
        <v>#VALUE!</v>
      </c>
      <c r="P1374" s="1" t="e">
        <f t="shared" si="308"/>
        <v>#VALUE!</v>
      </c>
      <c r="Q1374" s="1" t="e">
        <f t="shared" si="309"/>
        <v>#VALUE!</v>
      </c>
      <c r="R1374" s="1" t="e">
        <f t="shared" si="310"/>
        <v>#VALUE!</v>
      </c>
      <c r="S1374" s="1" t="e">
        <f t="shared" si="311"/>
        <v>#VALUE!</v>
      </c>
      <c r="T1374" s="1" t="e">
        <f t="shared" si="312"/>
        <v>#VALUE!</v>
      </c>
      <c r="U1374" s="26" t="e">
        <f t="shared" si="313"/>
        <v>#VALUE!</v>
      </c>
      <c r="V1374" s="26" t="e">
        <f t="shared" si="314"/>
        <v>#VALUE!</v>
      </c>
      <c r="W1374" s="1" t="e">
        <f t="shared" si="315"/>
        <v>#VALUE!</v>
      </c>
      <c r="X1374" s="26" t="e">
        <f t="shared" si="316"/>
        <v>#VALUE!</v>
      </c>
      <c r="Y1374" s="26" t="e">
        <f t="shared" si="317"/>
        <v>#VALUE!</v>
      </c>
      <c r="Z1374" s="1" t="e">
        <f t="shared" si="318"/>
        <v>#VALUE!</v>
      </c>
      <c r="AA1374"/>
      <c r="AB1374"/>
    </row>
    <row r="1375" spans="1:28" x14ac:dyDescent="0.55000000000000004">
      <c r="A1375" s="1">
        <f t="shared" si="305"/>
        <v>1375</v>
      </c>
      <c r="B1375" t="s">
        <v>40</v>
      </c>
      <c r="C1375" t="s">
        <v>128</v>
      </c>
      <c r="D1375" t="s">
        <v>133</v>
      </c>
      <c r="E1375" t="s">
        <v>352</v>
      </c>
      <c r="F1375" t="s">
        <v>396</v>
      </c>
      <c r="G1375" t="s">
        <v>248</v>
      </c>
      <c r="I1375" t="s">
        <v>260</v>
      </c>
      <c r="K1375" t="s">
        <v>250</v>
      </c>
      <c r="M1375" t="s">
        <v>47</v>
      </c>
      <c r="N1375" s="1" t="e">
        <f t="shared" si="306"/>
        <v>#VALUE!</v>
      </c>
      <c r="O1375" s="1" t="e">
        <f t="shared" si="307"/>
        <v>#VALUE!</v>
      </c>
      <c r="P1375" s="1" t="e">
        <f t="shared" si="308"/>
        <v>#VALUE!</v>
      </c>
      <c r="Q1375" s="1" t="e">
        <f t="shared" si="309"/>
        <v>#VALUE!</v>
      </c>
      <c r="R1375" s="1" t="e">
        <f t="shared" si="310"/>
        <v>#VALUE!</v>
      </c>
      <c r="S1375" s="1" t="e">
        <f t="shared" si="311"/>
        <v>#VALUE!</v>
      </c>
      <c r="T1375" s="1" t="e">
        <f t="shared" si="312"/>
        <v>#VALUE!</v>
      </c>
      <c r="U1375" s="26" t="e">
        <f t="shared" si="313"/>
        <v>#VALUE!</v>
      </c>
      <c r="V1375" s="26" t="e">
        <f t="shared" si="314"/>
        <v>#VALUE!</v>
      </c>
      <c r="W1375" s="1" t="e">
        <f t="shared" si="315"/>
        <v>#VALUE!</v>
      </c>
      <c r="X1375" s="26" t="e">
        <f t="shared" si="316"/>
        <v>#VALUE!</v>
      </c>
      <c r="Y1375" s="26" t="e">
        <f t="shared" si="317"/>
        <v>#VALUE!</v>
      </c>
      <c r="Z1375" s="1" t="e">
        <f t="shared" si="318"/>
        <v>#VALUE!</v>
      </c>
      <c r="AA1375"/>
      <c r="AB1375"/>
    </row>
    <row r="1376" spans="1:28" x14ac:dyDescent="0.55000000000000004">
      <c r="A1376" s="1">
        <f t="shared" si="305"/>
        <v>1376</v>
      </c>
      <c r="B1376" t="s">
        <v>40</v>
      </c>
      <c r="C1376" t="s">
        <v>128</v>
      </c>
      <c r="D1376" t="s">
        <v>133</v>
      </c>
      <c r="E1376" t="s">
        <v>352</v>
      </c>
      <c r="F1376" t="s">
        <v>392</v>
      </c>
      <c r="G1376" t="s">
        <v>261</v>
      </c>
      <c r="I1376" t="s">
        <v>252</v>
      </c>
      <c r="K1376" t="s">
        <v>393</v>
      </c>
      <c r="M1376" t="s">
        <v>47</v>
      </c>
      <c r="N1376" s="1" t="e">
        <f t="shared" si="306"/>
        <v>#VALUE!</v>
      </c>
      <c r="O1376" s="1" t="e">
        <f t="shared" si="307"/>
        <v>#VALUE!</v>
      </c>
      <c r="P1376" s="1" t="e">
        <f t="shared" si="308"/>
        <v>#VALUE!</v>
      </c>
      <c r="Q1376" s="1" t="e">
        <f t="shared" si="309"/>
        <v>#VALUE!</v>
      </c>
      <c r="R1376" s="1" t="e">
        <f t="shared" si="310"/>
        <v>#VALUE!</v>
      </c>
      <c r="S1376" s="1" t="e">
        <f t="shared" si="311"/>
        <v>#VALUE!</v>
      </c>
      <c r="T1376" s="1" t="e">
        <f t="shared" si="312"/>
        <v>#VALUE!</v>
      </c>
      <c r="U1376" s="26" t="e">
        <f t="shared" si="313"/>
        <v>#VALUE!</v>
      </c>
      <c r="V1376" s="26" t="e">
        <f t="shared" si="314"/>
        <v>#VALUE!</v>
      </c>
      <c r="W1376" s="1" t="e">
        <f t="shared" si="315"/>
        <v>#VALUE!</v>
      </c>
      <c r="X1376" s="26" t="e">
        <f t="shared" si="316"/>
        <v>#VALUE!</v>
      </c>
      <c r="Y1376" s="26" t="e">
        <f t="shared" si="317"/>
        <v>#VALUE!</v>
      </c>
      <c r="Z1376" s="1" t="e">
        <f t="shared" si="318"/>
        <v>#VALUE!</v>
      </c>
      <c r="AA1376"/>
      <c r="AB1376"/>
    </row>
    <row r="1377" spans="1:28" x14ac:dyDescent="0.55000000000000004">
      <c r="A1377" s="1">
        <f t="shared" si="305"/>
        <v>1377</v>
      </c>
      <c r="B1377" t="s">
        <v>40</v>
      </c>
      <c r="C1377" t="s">
        <v>128</v>
      </c>
      <c r="D1377" t="s">
        <v>133</v>
      </c>
      <c r="E1377" t="s">
        <v>352</v>
      </c>
      <c r="F1377" t="s">
        <v>392</v>
      </c>
      <c r="G1377" t="s">
        <v>249</v>
      </c>
      <c r="I1377" t="s">
        <v>263</v>
      </c>
      <c r="K1377" t="s">
        <v>262</v>
      </c>
      <c r="M1377" t="s">
        <v>47</v>
      </c>
      <c r="N1377" s="1" t="e">
        <f t="shared" si="306"/>
        <v>#VALUE!</v>
      </c>
      <c r="O1377" s="1" t="e">
        <f t="shared" si="307"/>
        <v>#VALUE!</v>
      </c>
      <c r="P1377" s="1" t="e">
        <f t="shared" si="308"/>
        <v>#VALUE!</v>
      </c>
      <c r="Q1377" s="1" t="e">
        <f t="shared" si="309"/>
        <v>#VALUE!</v>
      </c>
      <c r="R1377" s="1" t="e">
        <f t="shared" si="310"/>
        <v>#VALUE!</v>
      </c>
      <c r="S1377" s="1" t="e">
        <f t="shared" si="311"/>
        <v>#VALUE!</v>
      </c>
      <c r="T1377" s="1" t="e">
        <f t="shared" si="312"/>
        <v>#VALUE!</v>
      </c>
      <c r="U1377" s="26" t="e">
        <f t="shared" si="313"/>
        <v>#VALUE!</v>
      </c>
      <c r="V1377" s="26" t="e">
        <f t="shared" si="314"/>
        <v>#VALUE!</v>
      </c>
      <c r="W1377" s="1" t="e">
        <f t="shared" si="315"/>
        <v>#VALUE!</v>
      </c>
      <c r="X1377" s="26" t="e">
        <f t="shared" si="316"/>
        <v>#VALUE!</v>
      </c>
      <c r="Y1377" s="26" t="e">
        <f t="shared" si="317"/>
        <v>#VALUE!</v>
      </c>
      <c r="Z1377" s="1" t="e">
        <f t="shared" si="318"/>
        <v>#VALUE!</v>
      </c>
      <c r="AA1377"/>
      <c r="AB1377"/>
    </row>
    <row r="1378" spans="1:28" x14ac:dyDescent="0.55000000000000004">
      <c r="A1378" s="1">
        <f t="shared" si="305"/>
        <v>1378</v>
      </c>
      <c r="B1378" t="s">
        <v>40</v>
      </c>
      <c r="C1378" t="s">
        <v>128</v>
      </c>
      <c r="D1378" t="s">
        <v>133</v>
      </c>
      <c r="E1378" t="s">
        <v>352</v>
      </c>
      <c r="F1378" t="s">
        <v>392</v>
      </c>
      <c r="G1378" t="s">
        <v>265</v>
      </c>
      <c r="I1378" t="s">
        <v>266</v>
      </c>
      <c r="K1378" t="s">
        <v>344</v>
      </c>
      <c r="M1378" t="s">
        <v>47</v>
      </c>
      <c r="N1378" s="1" t="e">
        <f t="shared" si="306"/>
        <v>#VALUE!</v>
      </c>
      <c r="O1378" s="1" t="e">
        <f t="shared" si="307"/>
        <v>#VALUE!</v>
      </c>
      <c r="P1378" s="1" t="e">
        <f t="shared" si="308"/>
        <v>#VALUE!</v>
      </c>
      <c r="Q1378" s="1" t="e">
        <f t="shared" si="309"/>
        <v>#VALUE!</v>
      </c>
      <c r="R1378" s="1" t="e">
        <f t="shared" si="310"/>
        <v>#VALUE!</v>
      </c>
      <c r="S1378" s="1" t="e">
        <f t="shared" si="311"/>
        <v>#VALUE!</v>
      </c>
      <c r="T1378" s="1" t="e">
        <f t="shared" si="312"/>
        <v>#VALUE!</v>
      </c>
      <c r="U1378" s="26" t="e">
        <f t="shared" si="313"/>
        <v>#VALUE!</v>
      </c>
      <c r="V1378" s="26" t="e">
        <f t="shared" si="314"/>
        <v>#VALUE!</v>
      </c>
      <c r="W1378" s="1" t="e">
        <f t="shared" si="315"/>
        <v>#VALUE!</v>
      </c>
      <c r="X1378" s="26" t="e">
        <f t="shared" si="316"/>
        <v>#VALUE!</v>
      </c>
      <c r="Y1378" s="26" t="e">
        <f t="shared" si="317"/>
        <v>#VALUE!</v>
      </c>
      <c r="Z1378" s="1" t="e">
        <f t="shared" si="318"/>
        <v>#VALUE!</v>
      </c>
      <c r="AA1378"/>
      <c r="AB1378"/>
    </row>
    <row r="1379" spans="1:28" x14ac:dyDescent="0.55000000000000004">
      <c r="A1379" s="1">
        <f t="shared" si="305"/>
        <v>1379</v>
      </c>
      <c r="B1379" t="s">
        <v>30</v>
      </c>
      <c r="C1379" t="s">
        <v>122</v>
      </c>
      <c r="D1379" t="s">
        <v>42</v>
      </c>
      <c r="E1379" t="s">
        <v>404</v>
      </c>
      <c r="F1379" t="s">
        <v>380</v>
      </c>
      <c r="G1379" t="s">
        <v>54</v>
      </c>
      <c r="I1379" t="s">
        <v>45</v>
      </c>
      <c r="K1379" t="s">
        <v>56</v>
      </c>
      <c r="M1379" t="s">
        <v>47</v>
      </c>
      <c r="N1379" s="1" t="e">
        <f t="shared" si="306"/>
        <v>#VALUE!</v>
      </c>
      <c r="O1379" s="1" t="e">
        <f t="shared" si="307"/>
        <v>#VALUE!</v>
      </c>
      <c r="P1379" s="1" t="e">
        <f t="shared" si="308"/>
        <v>#VALUE!</v>
      </c>
      <c r="Q1379" s="1" t="e">
        <f t="shared" si="309"/>
        <v>#VALUE!</v>
      </c>
      <c r="R1379" s="1" t="e">
        <f t="shared" si="310"/>
        <v>#VALUE!</v>
      </c>
      <c r="S1379" s="1" t="e">
        <f t="shared" si="311"/>
        <v>#VALUE!</v>
      </c>
      <c r="T1379" s="1" t="e">
        <f t="shared" si="312"/>
        <v>#VALUE!</v>
      </c>
      <c r="U1379" s="26" t="e">
        <f t="shared" si="313"/>
        <v>#VALUE!</v>
      </c>
      <c r="V1379" s="26" t="e">
        <f t="shared" si="314"/>
        <v>#VALUE!</v>
      </c>
      <c r="W1379" s="1" t="e">
        <f t="shared" si="315"/>
        <v>#VALUE!</v>
      </c>
      <c r="X1379" s="26" t="e">
        <f t="shared" si="316"/>
        <v>#VALUE!</v>
      </c>
      <c r="Y1379" s="26" t="e">
        <f t="shared" si="317"/>
        <v>#VALUE!</v>
      </c>
      <c r="Z1379" s="1" t="e">
        <f t="shared" si="318"/>
        <v>#VALUE!</v>
      </c>
      <c r="AA1379"/>
      <c r="AB1379"/>
    </row>
    <row r="1380" spans="1:28" x14ac:dyDescent="0.55000000000000004">
      <c r="A1380" s="1">
        <f t="shared" si="305"/>
        <v>1380</v>
      </c>
      <c r="B1380" t="s">
        <v>30</v>
      </c>
      <c r="C1380" t="s">
        <v>122</v>
      </c>
      <c r="D1380" t="s">
        <v>42</v>
      </c>
      <c r="E1380" t="s">
        <v>404</v>
      </c>
      <c r="F1380" t="s">
        <v>394</v>
      </c>
      <c r="G1380" t="s">
        <v>64</v>
      </c>
      <c r="I1380" t="s">
        <v>49</v>
      </c>
      <c r="K1380" t="s">
        <v>62</v>
      </c>
      <c r="M1380" t="s">
        <v>47</v>
      </c>
      <c r="N1380" s="1" t="e">
        <f t="shared" si="306"/>
        <v>#VALUE!</v>
      </c>
      <c r="O1380" s="1" t="e">
        <f t="shared" si="307"/>
        <v>#VALUE!</v>
      </c>
      <c r="P1380" s="1" t="e">
        <f t="shared" si="308"/>
        <v>#VALUE!</v>
      </c>
      <c r="Q1380" s="1" t="e">
        <f t="shared" si="309"/>
        <v>#VALUE!</v>
      </c>
      <c r="R1380" s="1" t="e">
        <f t="shared" si="310"/>
        <v>#VALUE!</v>
      </c>
      <c r="S1380" s="1" t="e">
        <f t="shared" si="311"/>
        <v>#VALUE!</v>
      </c>
      <c r="T1380" s="1" t="e">
        <f t="shared" si="312"/>
        <v>#VALUE!</v>
      </c>
      <c r="U1380" s="26" t="e">
        <f t="shared" si="313"/>
        <v>#VALUE!</v>
      </c>
      <c r="V1380" s="26" t="e">
        <f t="shared" si="314"/>
        <v>#VALUE!</v>
      </c>
      <c r="W1380" s="1" t="e">
        <f t="shared" si="315"/>
        <v>#VALUE!</v>
      </c>
      <c r="X1380" s="26" t="e">
        <f t="shared" si="316"/>
        <v>#VALUE!</v>
      </c>
      <c r="Y1380" s="26" t="e">
        <f t="shared" si="317"/>
        <v>#VALUE!</v>
      </c>
      <c r="Z1380" s="1" t="e">
        <f t="shared" si="318"/>
        <v>#VALUE!</v>
      </c>
      <c r="AA1380"/>
      <c r="AB1380"/>
    </row>
    <row r="1381" spans="1:28" x14ac:dyDescent="0.55000000000000004">
      <c r="A1381" s="1">
        <f t="shared" si="305"/>
        <v>1381</v>
      </c>
      <c r="B1381" t="s">
        <v>30</v>
      </c>
      <c r="C1381" t="s">
        <v>122</v>
      </c>
      <c r="D1381" t="s">
        <v>42</v>
      </c>
      <c r="E1381" t="s">
        <v>404</v>
      </c>
      <c r="F1381" t="s">
        <v>398</v>
      </c>
      <c r="G1381" t="s">
        <v>58</v>
      </c>
      <c r="I1381" t="s">
        <v>61</v>
      </c>
      <c r="K1381" t="s">
        <v>71</v>
      </c>
      <c r="M1381" t="s">
        <v>47</v>
      </c>
      <c r="N1381" s="1" t="e">
        <f t="shared" si="306"/>
        <v>#VALUE!</v>
      </c>
      <c r="O1381" s="1" t="e">
        <f t="shared" si="307"/>
        <v>#VALUE!</v>
      </c>
      <c r="P1381" s="1" t="e">
        <f t="shared" si="308"/>
        <v>#VALUE!</v>
      </c>
      <c r="Q1381" s="1" t="e">
        <f t="shared" si="309"/>
        <v>#VALUE!</v>
      </c>
      <c r="R1381" s="1" t="e">
        <f t="shared" si="310"/>
        <v>#VALUE!</v>
      </c>
      <c r="S1381" s="1" t="e">
        <f t="shared" si="311"/>
        <v>#VALUE!</v>
      </c>
      <c r="T1381" s="1" t="e">
        <f t="shared" si="312"/>
        <v>#VALUE!</v>
      </c>
      <c r="U1381" s="26" t="e">
        <f t="shared" si="313"/>
        <v>#VALUE!</v>
      </c>
      <c r="V1381" s="26" t="e">
        <f t="shared" si="314"/>
        <v>#VALUE!</v>
      </c>
      <c r="W1381" s="1" t="e">
        <f t="shared" si="315"/>
        <v>#VALUE!</v>
      </c>
      <c r="X1381" s="26" t="e">
        <f t="shared" si="316"/>
        <v>#VALUE!</v>
      </c>
      <c r="Y1381" s="26" t="e">
        <f t="shared" si="317"/>
        <v>#VALUE!</v>
      </c>
      <c r="Z1381" s="1" t="e">
        <f t="shared" si="318"/>
        <v>#VALUE!</v>
      </c>
      <c r="AA1381"/>
      <c r="AB1381"/>
    </row>
    <row r="1382" spans="1:28" x14ac:dyDescent="0.55000000000000004">
      <c r="A1382" s="1">
        <f t="shared" si="305"/>
        <v>1382</v>
      </c>
      <c r="B1382" t="s">
        <v>30</v>
      </c>
      <c r="C1382" t="s">
        <v>122</v>
      </c>
      <c r="D1382" t="s">
        <v>42</v>
      </c>
      <c r="E1382" t="s">
        <v>404</v>
      </c>
      <c r="F1382" t="s">
        <v>398</v>
      </c>
      <c r="G1382" t="s">
        <v>51</v>
      </c>
      <c r="I1382" t="s">
        <v>44</v>
      </c>
      <c r="K1382" t="s">
        <v>53</v>
      </c>
      <c r="M1382" t="s">
        <v>47</v>
      </c>
      <c r="N1382" s="1" t="e">
        <f t="shared" si="306"/>
        <v>#VALUE!</v>
      </c>
      <c r="O1382" s="1" t="e">
        <f t="shared" si="307"/>
        <v>#VALUE!</v>
      </c>
      <c r="P1382" s="1" t="e">
        <f t="shared" si="308"/>
        <v>#VALUE!</v>
      </c>
      <c r="Q1382" s="1" t="e">
        <f t="shared" si="309"/>
        <v>#VALUE!</v>
      </c>
      <c r="R1382" s="1" t="e">
        <f t="shared" si="310"/>
        <v>#VALUE!</v>
      </c>
      <c r="S1382" s="1" t="e">
        <f t="shared" si="311"/>
        <v>#VALUE!</v>
      </c>
      <c r="T1382" s="1" t="e">
        <f t="shared" si="312"/>
        <v>#VALUE!</v>
      </c>
      <c r="U1382" s="26" t="e">
        <f t="shared" si="313"/>
        <v>#VALUE!</v>
      </c>
      <c r="V1382" s="26" t="e">
        <f t="shared" si="314"/>
        <v>#VALUE!</v>
      </c>
      <c r="W1382" s="1" t="e">
        <f t="shared" si="315"/>
        <v>#VALUE!</v>
      </c>
      <c r="X1382" s="26" t="e">
        <f t="shared" si="316"/>
        <v>#VALUE!</v>
      </c>
      <c r="Y1382" s="26" t="e">
        <f t="shared" si="317"/>
        <v>#VALUE!</v>
      </c>
      <c r="Z1382" s="1" t="e">
        <f t="shared" si="318"/>
        <v>#VALUE!</v>
      </c>
      <c r="AA1382"/>
      <c r="AB1382"/>
    </row>
    <row r="1383" spans="1:28" x14ac:dyDescent="0.55000000000000004">
      <c r="A1383" s="1">
        <f t="shared" si="305"/>
        <v>1383</v>
      </c>
      <c r="B1383" t="s">
        <v>31</v>
      </c>
      <c r="C1383" t="s">
        <v>199</v>
      </c>
      <c r="D1383" t="s">
        <v>42</v>
      </c>
      <c r="E1383" t="s">
        <v>404</v>
      </c>
      <c r="F1383" t="s">
        <v>181</v>
      </c>
      <c r="G1383" t="s">
        <v>145</v>
      </c>
      <c r="I1383" t="s">
        <v>148</v>
      </c>
      <c r="K1383" t="s">
        <v>155</v>
      </c>
      <c r="M1383" t="s">
        <v>47</v>
      </c>
      <c r="N1383" s="1" t="e">
        <f t="shared" si="306"/>
        <v>#VALUE!</v>
      </c>
      <c r="O1383" s="1" t="e">
        <f t="shared" si="307"/>
        <v>#VALUE!</v>
      </c>
      <c r="P1383" s="1" t="e">
        <f t="shared" si="308"/>
        <v>#VALUE!</v>
      </c>
      <c r="Q1383" s="1" t="e">
        <f t="shared" si="309"/>
        <v>#VALUE!</v>
      </c>
      <c r="R1383" s="1" t="e">
        <f t="shared" si="310"/>
        <v>#VALUE!</v>
      </c>
      <c r="S1383" s="1" t="e">
        <f t="shared" si="311"/>
        <v>#VALUE!</v>
      </c>
      <c r="T1383" s="1" t="e">
        <f t="shared" si="312"/>
        <v>#VALUE!</v>
      </c>
      <c r="U1383" s="26" t="e">
        <f t="shared" si="313"/>
        <v>#VALUE!</v>
      </c>
      <c r="V1383" s="26" t="e">
        <f t="shared" si="314"/>
        <v>#VALUE!</v>
      </c>
      <c r="W1383" s="1" t="e">
        <f t="shared" si="315"/>
        <v>#VALUE!</v>
      </c>
      <c r="X1383" s="26" t="e">
        <f t="shared" si="316"/>
        <v>#VALUE!</v>
      </c>
      <c r="Y1383" s="26" t="e">
        <f t="shared" si="317"/>
        <v>#VALUE!</v>
      </c>
      <c r="Z1383" s="1" t="e">
        <f t="shared" si="318"/>
        <v>#VALUE!</v>
      </c>
      <c r="AA1383"/>
      <c r="AB1383"/>
    </row>
    <row r="1384" spans="1:28" x14ac:dyDescent="0.55000000000000004">
      <c r="A1384" s="1">
        <f t="shared" si="305"/>
        <v>1384</v>
      </c>
      <c r="B1384" t="s">
        <v>33</v>
      </c>
      <c r="C1384" t="s">
        <v>41</v>
      </c>
      <c r="D1384" t="s">
        <v>42</v>
      </c>
      <c r="E1384" t="s">
        <v>404</v>
      </c>
      <c r="F1384" t="s">
        <v>364</v>
      </c>
      <c r="G1384" t="s">
        <v>362</v>
      </c>
      <c r="I1384" t="s">
        <v>278</v>
      </c>
      <c r="K1384" t="s">
        <v>363</v>
      </c>
      <c r="M1384" t="s">
        <v>47</v>
      </c>
      <c r="N1384" s="1" t="e">
        <f t="shared" si="306"/>
        <v>#VALUE!</v>
      </c>
      <c r="O1384" s="1" t="e">
        <f t="shared" si="307"/>
        <v>#VALUE!</v>
      </c>
      <c r="P1384" s="1" t="e">
        <f t="shared" si="308"/>
        <v>#VALUE!</v>
      </c>
      <c r="Q1384" s="1" t="e">
        <f t="shared" si="309"/>
        <v>#VALUE!</v>
      </c>
      <c r="R1384" s="1" t="e">
        <f t="shared" si="310"/>
        <v>#VALUE!</v>
      </c>
      <c r="S1384" s="1" t="e">
        <f t="shared" si="311"/>
        <v>#VALUE!</v>
      </c>
      <c r="T1384" s="1" t="e">
        <f t="shared" si="312"/>
        <v>#VALUE!</v>
      </c>
      <c r="U1384" s="26" t="e">
        <f t="shared" si="313"/>
        <v>#VALUE!</v>
      </c>
      <c r="V1384" s="26" t="e">
        <f t="shared" si="314"/>
        <v>#VALUE!</v>
      </c>
      <c r="W1384" s="1" t="e">
        <f t="shared" si="315"/>
        <v>#VALUE!</v>
      </c>
      <c r="X1384" s="26" t="e">
        <f t="shared" si="316"/>
        <v>#VALUE!</v>
      </c>
      <c r="Y1384" s="26" t="e">
        <f t="shared" si="317"/>
        <v>#VALUE!</v>
      </c>
      <c r="Z1384" s="1" t="e">
        <f t="shared" si="318"/>
        <v>#VALUE!</v>
      </c>
      <c r="AA1384"/>
      <c r="AB1384"/>
    </row>
    <row r="1385" spans="1:28" x14ac:dyDescent="0.55000000000000004">
      <c r="A1385" s="1">
        <f t="shared" si="305"/>
        <v>1385</v>
      </c>
      <c r="B1385" t="s">
        <v>33</v>
      </c>
      <c r="C1385" t="s">
        <v>41</v>
      </c>
      <c r="D1385" t="s">
        <v>42</v>
      </c>
      <c r="E1385" t="s">
        <v>404</v>
      </c>
      <c r="F1385" t="s">
        <v>277</v>
      </c>
      <c r="G1385" t="s">
        <v>288</v>
      </c>
      <c r="I1385" t="s">
        <v>285</v>
      </c>
      <c r="K1385" t="s">
        <v>361</v>
      </c>
      <c r="M1385" t="s">
        <v>47</v>
      </c>
      <c r="N1385" s="1" t="e">
        <f t="shared" si="306"/>
        <v>#VALUE!</v>
      </c>
      <c r="O1385" s="1" t="e">
        <f t="shared" si="307"/>
        <v>#VALUE!</v>
      </c>
      <c r="P1385" s="1" t="e">
        <f t="shared" si="308"/>
        <v>#VALUE!</v>
      </c>
      <c r="Q1385" s="1" t="e">
        <f t="shared" si="309"/>
        <v>#VALUE!</v>
      </c>
      <c r="R1385" s="1" t="e">
        <f t="shared" si="310"/>
        <v>#VALUE!</v>
      </c>
      <c r="S1385" s="1" t="e">
        <f t="shared" si="311"/>
        <v>#VALUE!</v>
      </c>
      <c r="T1385" s="1" t="e">
        <f t="shared" si="312"/>
        <v>#VALUE!</v>
      </c>
      <c r="U1385" s="26" t="e">
        <f t="shared" si="313"/>
        <v>#VALUE!</v>
      </c>
      <c r="V1385" s="26" t="e">
        <f t="shared" si="314"/>
        <v>#VALUE!</v>
      </c>
      <c r="W1385" s="1" t="e">
        <f t="shared" si="315"/>
        <v>#VALUE!</v>
      </c>
      <c r="X1385" s="26" t="e">
        <f t="shared" si="316"/>
        <v>#VALUE!</v>
      </c>
      <c r="Y1385" s="26" t="e">
        <f t="shared" si="317"/>
        <v>#VALUE!</v>
      </c>
      <c r="Z1385" s="1" t="e">
        <f t="shared" si="318"/>
        <v>#VALUE!</v>
      </c>
      <c r="AA1385"/>
      <c r="AB1385"/>
    </row>
    <row r="1386" spans="1:28" x14ac:dyDescent="0.55000000000000004">
      <c r="A1386" s="1">
        <f t="shared" si="305"/>
        <v>1386</v>
      </c>
      <c r="B1386" t="s">
        <v>33</v>
      </c>
      <c r="C1386" t="s">
        <v>41</v>
      </c>
      <c r="D1386" t="s">
        <v>42</v>
      </c>
      <c r="E1386" t="s">
        <v>404</v>
      </c>
      <c r="F1386" t="s">
        <v>290</v>
      </c>
      <c r="G1386" t="s">
        <v>292</v>
      </c>
      <c r="I1386" t="s">
        <v>279</v>
      </c>
      <c r="K1386" t="s">
        <v>408</v>
      </c>
      <c r="M1386" t="s">
        <v>47</v>
      </c>
      <c r="N1386" s="1" t="e">
        <f t="shared" si="306"/>
        <v>#VALUE!</v>
      </c>
      <c r="O1386" s="1" t="e">
        <f t="shared" si="307"/>
        <v>#VALUE!</v>
      </c>
      <c r="P1386" s="1" t="e">
        <f t="shared" si="308"/>
        <v>#VALUE!</v>
      </c>
      <c r="Q1386" s="1" t="e">
        <f t="shared" si="309"/>
        <v>#VALUE!</v>
      </c>
      <c r="R1386" s="1" t="e">
        <f t="shared" si="310"/>
        <v>#VALUE!</v>
      </c>
      <c r="S1386" s="1" t="e">
        <f t="shared" si="311"/>
        <v>#VALUE!</v>
      </c>
      <c r="T1386" s="1" t="e">
        <f t="shared" si="312"/>
        <v>#VALUE!</v>
      </c>
      <c r="U1386" s="26" t="e">
        <f t="shared" si="313"/>
        <v>#VALUE!</v>
      </c>
      <c r="V1386" s="26" t="e">
        <f t="shared" si="314"/>
        <v>#VALUE!</v>
      </c>
      <c r="W1386" s="1" t="e">
        <f t="shared" si="315"/>
        <v>#VALUE!</v>
      </c>
      <c r="X1386" s="26" t="e">
        <f t="shared" si="316"/>
        <v>#VALUE!</v>
      </c>
      <c r="Y1386" s="26" t="e">
        <f t="shared" si="317"/>
        <v>#VALUE!</v>
      </c>
      <c r="Z1386" s="1" t="e">
        <f t="shared" si="318"/>
        <v>#VALUE!</v>
      </c>
      <c r="AA1386"/>
      <c r="AB1386"/>
    </row>
    <row r="1387" spans="1:28" x14ac:dyDescent="0.55000000000000004">
      <c r="A1387" s="1">
        <f t="shared" si="305"/>
        <v>1387</v>
      </c>
      <c r="B1387" t="s">
        <v>34</v>
      </c>
      <c r="C1387" t="s">
        <v>200</v>
      </c>
      <c r="D1387" t="s">
        <v>42</v>
      </c>
      <c r="E1387" t="s">
        <v>404</v>
      </c>
      <c r="F1387" t="s">
        <v>410</v>
      </c>
      <c r="G1387" t="s">
        <v>96</v>
      </c>
      <c r="I1387" t="s">
        <v>92</v>
      </c>
      <c r="K1387" t="s">
        <v>110</v>
      </c>
      <c r="M1387" t="s">
        <v>47</v>
      </c>
      <c r="N1387" s="1" t="e">
        <f t="shared" si="306"/>
        <v>#VALUE!</v>
      </c>
      <c r="O1387" s="1" t="e">
        <f t="shared" si="307"/>
        <v>#VALUE!</v>
      </c>
      <c r="P1387" s="1" t="e">
        <f t="shared" si="308"/>
        <v>#VALUE!</v>
      </c>
      <c r="Q1387" s="1" t="e">
        <f t="shared" si="309"/>
        <v>#VALUE!</v>
      </c>
      <c r="R1387" s="1" t="e">
        <f t="shared" si="310"/>
        <v>#VALUE!</v>
      </c>
      <c r="S1387" s="1" t="e">
        <f t="shared" si="311"/>
        <v>#VALUE!</v>
      </c>
      <c r="T1387" s="1" t="e">
        <f t="shared" si="312"/>
        <v>#VALUE!</v>
      </c>
      <c r="U1387" s="26" t="e">
        <f t="shared" si="313"/>
        <v>#VALUE!</v>
      </c>
      <c r="V1387" s="26" t="e">
        <f t="shared" si="314"/>
        <v>#VALUE!</v>
      </c>
      <c r="W1387" s="1" t="e">
        <f t="shared" si="315"/>
        <v>#VALUE!</v>
      </c>
      <c r="X1387" s="26" t="e">
        <f t="shared" si="316"/>
        <v>#VALUE!</v>
      </c>
      <c r="Y1387" s="26" t="e">
        <f t="shared" si="317"/>
        <v>#VALUE!</v>
      </c>
      <c r="Z1387" s="1" t="e">
        <f t="shared" si="318"/>
        <v>#VALUE!</v>
      </c>
      <c r="AA1387"/>
      <c r="AB1387"/>
    </row>
    <row r="1388" spans="1:28" x14ac:dyDescent="0.55000000000000004">
      <c r="A1388" s="1">
        <f t="shared" si="305"/>
        <v>1388</v>
      </c>
      <c r="B1388" t="s">
        <v>34</v>
      </c>
      <c r="C1388" t="s">
        <v>200</v>
      </c>
      <c r="D1388" t="s">
        <v>42</v>
      </c>
      <c r="E1388" t="s">
        <v>404</v>
      </c>
      <c r="F1388" t="s">
        <v>380</v>
      </c>
      <c r="G1388" t="s">
        <v>89</v>
      </c>
      <c r="I1388" t="s">
        <v>101</v>
      </c>
      <c r="K1388" t="s">
        <v>91</v>
      </c>
      <c r="M1388" t="s">
        <v>47</v>
      </c>
      <c r="N1388" s="1" t="e">
        <f t="shared" si="306"/>
        <v>#VALUE!</v>
      </c>
      <c r="O1388" s="1" t="e">
        <f t="shared" si="307"/>
        <v>#VALUE!</v>
      </c>
      <c r="P1388" s="1" t="e">
        <f t="shared" si="308"/>
        <v>#VALUE!</v>
      </c>
      <c r="Q1388" s="1" t="e">
        <f t="shared" si="309"/>
        <v>#VALUE!</v>
      </c>
      <c r="R1388" s="1" t="e">
        <f t="shared" si="310"/>
        <v>#VALUE!</v>
      </c>
      <c r="S1388" s="1" t="e">
        <f t="shared" si="311"/>
        <v>#VALUE!</v>
      </c>
      <c r="T1388" s="1" t="e">
        <f t="shared" si="312"/>
        <v>#VALUE!</v>
      </c>
      <c r="U1388" s="26" t="e">
        <f t="shared" si="313"/>
        <v>#VALUE!</v>
      </c>
      <c r="V1388" s="26" t="e">
        <f t="shared" si="314"/>
        <v>#VALUE!</v>
      </c>
      <c r="W1388" s="1" t="e">
        <f t="shared" si="315"/>
        <v>#VALUE!</v>
      </c>
      <c r="X1388" s="26" t="e">
        <f t="shared" si="316"/>
        <v>#VALUE!</v>
      </c>
      <c r="Y1388" s="26" t="e">
        <f t="shared" si="317"/>
        <v>#VALUE!</v>
      </c>
      <c r="Z1388" s="1" t="e">
        <f t="shared" si="318"/>
        <v>#VALUE!</v>
      </c>
      <c r="AA1388"/>
      <c r="AB1388"/>
    </row>
    <row r="1389" spans="1:28" x14ac:dyDescent="0.55000000000000004">
      <c r="A1389" s="1">
        <f t="shared" si="305"/>
        <v>1389</v>
      </c>
      <c r="B1389" t="s">
        <v>34</v>
      </c>
      <c r="C1389" t="s">
        <v>200</v>
      </c>
      <c r="D1389" t="s">
        <v>42</v>
      </c>
      <c r="E1389" t="s">
        <v>404</v>
      </c>
      <c r="F1389" t="s">
        <v>376</v>
      </c>
      <c r="G1389" t="s">
        <v>87</v>
      </c>
      <c r="I1389" t="s">
        <v>95</v>
      </c>
      <c r="K1389" t="s">
        <v>109</v>
      </c>
      <c r="M1389" t="s">
        <v>47</v>
      </c>
      <c r="N1389" s="1" t="e">
        <f t="shared" si="306"/>
        <v>#VALUE!</v>
      </c>
      <c r="O1389" s="1" t="e">
        <f t="shared" si="307"/>
        <v>#VALUE!</v>
      </c>
      <c r="P1389" s="1" t="e">
        <f t="shared" si="308"/>
        <v>#VALUE!</v>
      </c>
      <c r="Q1389" s="1" t="e">
        <f t="shared" si="309"/>
        <v>#VALUE!</v>
      </c>
      <c r="R1389" s="1" t="e">
        <f t="shared" si="310"/>
        <v>#VALUE!</v>
      </c>
      <c r="S1389" s="1" t="e">
        <f t="shared" si="311"/>
        <v>#VALUE!</v>
      </c>
      <c r="T1389" s="1" t="e">
        <f t="shared" si="312"/>
        <v>#VALUE!</v>
      </c>
      <c r="U1389" s="26" t="e">
        <f t="shared" si="313"/>
        <v>#VALUE!</v>
      </c>
      <c r="V1389" s="26" t="e">
        <f t="shared" si="314"/>
        <v>#VALUE!</v>
      </c>
      <c r="W1389" s="1" t="e">
        <f t="shared" si="315"/>
        <v>#VALUE!</v>
      </c>
      <c r="X1389" s="26" t="e">
        <f t="shared" si="316"/>
        <v>#VALUE!</v>
      </c>
      <c r="Y1389" s="26" t="e">
        <f t="shared" si="317"/>
        <v>#VALUE!</v>
      </c>
      <c r="Z1389" s="1" t="e">
        <f t="shared" si="318"/>
        <v>#VALUE!</v>
      </c>
      <c r="AA1389"/>
      <c r="AB1389"/>
    </row>
    <row r="1390" spans="1:28" x14ac:dyDescent="0.55000000000000004">
      <c r="A1390" s="1">
        <f t="shared" si="305"/>
        <v>1390</v>
      </c>
      <c r="B1390" t="s">
        <v>34</v>
      </c>
      <c r="C1390" t="s">
        <v>200</v>
      </c>
      <c r="D1390" t="s">
        <v>42</v>
      </c>
      <c r="E1390" t="s">
        <v>404</v>
      </c>
      <c r="F1390" t="s">
        <v>375</v>
      </c>
      <c r="G1390" t="s">
        <v>99</v>
      </c>
      <c r="I1390" t="s">
        <v>86</v>
      </c>
      <c r="K1390" t="s">
        <v>107</v>
      </c>
      <c r="M1390" t="s">
        <v>47</v>
      </c>
      <c r="N1390" s="1" t="e">
        <f t="shared" si="306"/>
        <v>#VALUE!</v>
      </c>
      <c r="O1390" s="1" t="e">
        <f t="shared" si="307"/>
        <v>#VALUE!</v>
      </c>
      <c r="P1390" s="1" t="e">
        <f t="shared" si="308"/>
        <v>#VALUE!</v>
      </c>
      <c r="Q1390" s="1" t="e">
        <f t="shared" si="309"/>
        <v>#VALUE!</v>
      </c>
      <c r="R1390" s="1" t="e">
        <f t="shared" si="310"/>
        <v>#VALUE!</v>
      </c>
      <c r="S1390" s="1" t="e">
        <f t="shared" si="311"/>
        <v>#VALUE!</v>
      </c>
      <c r="T1390" s="1" t="e">
        <f t="shared" si="312"/>
        <v>#VALUE!</v>
      </c>
      <c r="U1390" s="26" t="e">
        <f t="shared" si="313"/>
        <v>#VALUE!</v>
      </c>
      <c r="V1390" s="26" t="e">
        <f t="shared" si="314"/>
        <v>#VALUE!</v>
      </c>
      <c r="W1390" s="1" t="e">
        <f t="shared" si="315"/>
        <v>#VALUE!</v>
      </c>
      <c r="X1390" s="26" t="e">
        <f t="shared" si="316"/>
        <v>#VALUE!</v>
      </c>
      <c r="Y1390" s="26" t="e">
        <f t="shared" si="317"/>
        <v>#VALUE!</v>
      </c>
      <c r="Z1390" s="1" t="e">
        <f t="shared" si="318"/>
        <v>#VALUE!</v>
      </c>
      <c r="AA1390"/>
      <c r="AB1390"/>
    </row>
    <row r="1391" spans="1:28" x14ac:dyDescent="0.55000000000000004">
      <c r="A1391" s="1">
        <f t="shared" si="305"/>
        <v>1391</v>
      </c>
      <c r="B1391" t="s">
        <v>39</v>
      </c>
      <c r="C1391" t="s">
        <v>41</v>
      </c>
      <c r="D1391" t="s">
        <v>42</v>
      </c>
      <c r="E1391" t="s">
        <v>404</v>
      </c>
      <c r="F1391" t="s">
        <v>218</v>
      </c>
      <c r="G1391" t="s">
        <v>226</v>
      </c>
      <c r="I1391" t="s">
        <v>220</v>
      </c>
      <c r="K1391" t="s">
        <v>241</v>
      </c>
      <c r="M1391" t="s">
        <v>47</v>
      </c>
      <c r="N1391" s="1" t="e">
        <f t="shared" si="306"/>
        <v>#VALUE!</v>
      </c>
      <c r="O1391" s="1" t="e">
        <f t="shared" si="307"/>
        <v>#VALUE!</v>
      </c>
      <c r="P1391" s="1" t="e">
        <f t="shared" si="308"/>
        <v>#VALUE!</v>
      </c>
      <c r="Q1391" s="1" t="e">
        <f t="shared" si="309"/>
        <v>#VALUE!</v>
      </c>
      <c r="R1391" s="1" t="e">
        <f t="shared" si="310"/>
        <v>#VALUE!</v>
      </c>
      <c r="S1391" s="1" t="e">
        <f t="shared" si="311"/>
        <v>#VALUE!</v>
      </c>
      <c r="T1391" s="1" t="e">
        <f t="shared" si="312"/>
        <v>#VALUE!</v>
      </c>
      <c r="U1391" s="26" t="e">
        <f t="shared" si="313"/>
        <v>#VALUE!</v>
      </c>
      <c r="V1391" s="26" t="e">
        <f t="shared" si="314"/>
        <v>#VALUE!</v>
      </c>
      <c r="W1391" s="1" t="e">
        <f t="shared" si="315"/>
        <v>#VALUE!</v>
      </c>
      <c r="X1391" s="26" t="e">
        <f t="shared" si="316"/>
        <v>#VALUE!</v>
      </c>
      <c r="Y1391" s="26" t="e">
        <f t="shared" si="317"/>
        <v>#VALUE!</v>
      </c>
      <c r="Z1391" s="1" t="e">
        <f t="shared" si="318"/>
        <v>#VALUE!</v>
      </c>
      <c r="AA1391"/>
      <c r="AB1391"/>
    </row>
    <row r="1392" spans="1:28" x14ac:dyDescent="0.55000000000000004">
      <c r="A1392" s="1">
        <f t="shared" si="305"/>
        <v>1392</v>
      </c>
      <c r="B1392" t="s">
        <v>39</v>
      </c>
      <c r="C1392" t="s">
        <v>41</v>
      </c>
      <c r="D1392" t="s">
        <v>42</v>
      </c>
      <c r="E1392" t="s">
        <v>404</v>
      </c>
      <c r="F1392" t="s">
        <v>218</v>
      </c>
      <c r="G1392" t="s">
        <v>231</v>
      </c>
      <c r="I1392" t="s">
        <v>223</v>
      </c>
      <c r="K1392" t="s">
        <v>233</v>
      </c>
      <c r="M1392" t="s">
        <v>47</v>
      </c>
      <c r="N1392" s="1" t="e">
        <f t="shared" si="306"/>
        <v>#VALUE!</v>
      </c>
      <c r="O1392" s="1" t="e">
        <f t="shared" si="307"/>
        <v>#VALUE!</v>
      </c>
      <c r="P1392" s="1" t="e">
        <f t="shared" si="308"/>
        <v>#VALUE!</v>
      </c>
      <c r="Q1392" s="1" t="e">
        <f t="shared" si="309"/>
        <v>#VALUE!</v>
      </c>
      <c r="R1392" s="1" t="e">
        <f t="shared" si="310"/>
        <v>#VALUE!</v>
      </c>
      <c r="S1392" s="1" t="e">
        <f t="shared" si="311"/>
        <v>#VALUE!</v>
      </c>
      <c r="T1392" s="1" t="e">
        <f t="shared" si="312"/>
        <v>#VALUE!</v>
      </c>
      <c r="U1392" s="26" t="e">
        <f t="shared" si="313"/>
        <v>#VALUE!</v>
      </c>
      <c r="V1392" s="26" t="e">
        <f t="shared" si="314"/>
        <v>#VALUE!</v>
      </c>
      <c r="W1392" s="1" t="e">
        <f t="shared" si="315"/>
        <v>#VALUE!</v>
      </c>
      <c r="X1392" s="26" t="e">
        <f t="shared" si="316"/>
        <v>#VALUE!</v>
      </c>
      <c r="Y1392" s="26" t="e">
        <f t="shared" si="317"/>
        <v>#VALUE!</v>
      </c>
      <c r="Z1392" s="1" t="e">
        <f t="shared" si="318"/>
        <v>#VALUE!</v>
      </c>
      <c r="AA1392"/>
      <c r="AB1392"/>
    </row>
    <row r="1393" spans="1:28" x14ac:dyDescent="0.55000000000000004">
      <c r="A1393" s="1">
        <f t="shared" si="305"/>
        <v>1393</v>
      </c>
      <c r="B1393" t="s">
        <v>40</v>
      </c>
      <c r="C1393" t="s">
        <v>128</v>
      </c>
      <c r="D1393" t="s">
        <v>42</v>
      </c>
      <c r="E1393" t="s">
        <v>404</v>
      </c>
      <c r="F1393" t="s">
        <v>394</v>
      </c>
      <c r="G1393" t="s">
        <v>256</v>
      </c>
      <c r="I1393" t="s">
        <v>258</v>
      </c>
      <c r="K1393" t="s">
        <v>416</v>
      </c>
      <c r="M1393" t="s">
        <v>47</v>
      </c>
      <c r="N1393" s="1" t="e">
        <f t="shared" si="306"/>
        <v>#VALUE!</v>
      </c>
      <c r="O1393" s="1" t="e">
        <f t="shared" si="307"/>
        <v>#VALUE!</v>
      </c>
      <c r="P1393" s="1" t="e">
        <f t="shared" si="308"/>
        <v>#VALUE!</v>
      </c>
      <c r="Q1393" s="1" t="e">
        <f t="shared" si="309"/>
        <v>#VALUE!</v>
      </c>
      <c r="R1393" s="1" t="e">
        <f t="shared" si="310"/>
        <v>#VALUE!</v>
      </c>
      <c r="S1393" s="1" t="e">
        <f t="shared" si="311"/>
        <v>#VALUE!</v>
      </c>
      <c r="T1393" s="1" t="e">
        <f t="shared" si="312"/>
        <v>#VALUE!</v>
      </c>
      <c r="U1393" s="26" t="e">
        <f t="shared" si="313"/>
        <v>#VALUE!</v>
      </c>
      <c r="V1393" s="26" t="e">
        <f t="shared" si="314"/>
        <v>#VALUE!</v>
      </c>
      <c r="W1393" s="1" t="e">
        <f t="shared" si="315"/>
        <v>#VALUE!</v>
      </c>
      <c r="X1393" s="26" t="e">
        <f t="shared" si="316"/>
        <v>#VALUE!</v>
      </c>
      <c r="Y1393" s="26" t="e">
        <f t="shared" si="317"/>
        <v>#VALUE!</v>
      </c>
      <c r="Z1393" s="1" t="e">
        <f t="shared" si="318"/>
        <v>#VALUE!</v>
      </c>
      <c r="AA1393"/>
      <c r="AB1393"/>
    </row>
    <row r="1394" spans="1:28" x14ac:dyDescent="0.55000000000000004">
      <c r="A1394" s="1">
        <f t="shared" si="305"/>
        <v>1394</v>
      </c>
      <c r="B1394" t="s">
        <v>31</v>
      </c>
      <c r="C1394" t="s">
        <v>199</v>
      </c>
      <c r="D1394" t="s">
        <v>42</v>
      </c>
      <c r="E1394" t="s">
        <v>404</v>
      </c>
      <c r="F1394" t="s">
        <v>357</v>
      </c>
      <c r="G1394" t="s">
        <v>150</v>
      </c>
      <c r="I1394" t="s">
        <v>135</v>
      </c>
      <c r="K1394" t="s">
        <v>152</v>
      </c>
      <c r="M1394" t="s">
        <v>47</v>
      </c>
      <c r="N1394" s="1" t="e">
        <f t="shared" si="306"/>
        <v>#VALUE!</v>
      </c>
      <c r="O1394" s="1" t="e">
        <f t="shared" si="307"/>
        <v>#VALUE!</v>
      </c>
      <c r="P1394" s="1" t="e">
        <f t="shared" si="308"/>
        <v>#VALUE!</v>
      </c>
      <c r="Q1394" s="1" t="e">
        <f t="shared" si="309"/>
        <v>#VALUE!</v>
      </c>
      <c r="R1394" s="1" t="e">
        <f t="shared" si="310"/>
        <v>#VALUE!</v>
      </c>
      <c r="S1394" s="1" t="e">
        <f t="shared" si="311"/>
        <v>#VALUE!</v>
      </c>
      <c r="T1394" s="1" t="e">
        <f t="shared" si="312"/>
        <v>#VALUE!</v>
      </c>
      <c r="U1394" s="26" t="e">
        <f t="shared" si="313"/>
        <v>#VALUE!</v>
      </c>
      <c r="V1394" s="26" t="e">
        <f t="shared" si="314"/>
        <v>#VALUE!</v>
      </c>
      <c r="W1394" s="1" t="e">
        <f t="shared" si="315"/>
        <v>#VALUE!</v>
      </c>
      <c r="X1394" s="26" t="e">
        <f t="shared" si="316"/>
        <v>#VALUE!</v>
      </c>
      <c r="Y1394" s="26" t="e">
        <f t="shared" si="317"/>
        <v>#VALUE!</v>
      </c>
      <c r="Z1394" s="1" t="e">
        <f t="shared" si="318"/>
        <v>#VALUE!</v>
      </c>
      <c r="AA1394"/>
      <c r="AB1394"/>
    </row>
    <row r="1395" spans="1:28" x14ac:dyDescent="0.55000000000000004">
      <c r="A1395" s="1">
        <f t="shared" si="305"/>
        <v>1395</v>
      </c>
      <c r="B1395" t="s">
        <v>30</v>
      </c>
      <c r="C1395" t="s">
        <v>122</v>
      </c>
      <c r="D1395" t="s">
        <v>179</v>
      </c>
      <c r="E1395" t="s">
        <v>187</v>
      </c>
      <c r="F1395" t="s">
        <v>181</v>
      </c>
      <c r="G1395" t="s">
        <v>66</v>
      </c>
      <c r="I1395" t="s">
        <v>52</v>
      </c>
      <c r="K1395" t="s">
        <v>68</v>
      </c>
      <c r="M1395" t="s">
        <v>47</v>
      </c>
      <c r="N1395" s="1" t="e">
        <f t="shared" si="306"/>
        <v>#VALUE!</v>
      </c>
      <c r="O1395" s="1" t="e">
        <f t="shared" si="307"/>
        <v>#VALUE!</v>
      </c>
      <c r="P1395" s="1" t="e">
        <f t="shared" si="308"/>
        <v>#VALUE!</v>
      </c>
      <c r="Q1395" s="1" t="e">
        <f t="shared" si="309"/>
        <v>#VALUE!</v>
      </c>
      <c r="R1395" s="1" t="e">
        <f t="shared" si="310"/>
        <v>#VALUE!</v>
      </c>
      <c r="S1395" s="1" t="e">
        <f t="shared" si="311"/>
        <v>#VALUE!</v>
      </c>
      <c r="T1395" s="1" t="e">
        <f t="shared" si="312"/>
        <v>#VALUE!</v>
      </c>
      <c r="U1395" s="26" t="e">
        <f t="shared" si="313"/>
        <v>#VALUE!</v>
      </c>
      <c r="V1395" s="26" t="e">
        <f t="shared" si="314"/>
        <v>#VALUE!</v>
      </c>
      <c r="W1395" s="1" t="e">
        <f t="shared" si="315"/>
        <v>#VALUE!</v>
      </c>
      <c r="X1395" s="26" t="e">
        <f t="shared" si="316"/>
        <v>#VALUE!</v>
      </c>
      <c r="Y1395" s="26" t="e">
        <f t="shared" si="317"/>
        <v>#VALUE!</v>
      </c>
      <c r="Z1395" s="1" t="e">
        <f t="shared" si="318"/>
        <v>#VALUE!</v>
      </c>
      <c r="AA1395"/>
      <c r="AB1395"/>
    </row>
    <row r="1396" spans="1:28" x14ac:dyDescent="0.55000000000000004">
      <c r="A1396" s="1">
        <f t="shared" si="305"/>
        <v>1396</v>
      </c>
      <c r="B1396" t="s">
        <v>34</v>
      </c>
      <c r="C1396" t="s">
        <v>200</v>
      </c>
      <c r="D1396" t="s">
        <v>179</v>
      </c>
      <c r="E1396" t="s">
        <v>187</v>
      </c>
      <c r="F1396" t="s">
        <v>181</v>
      </c>
      <c r="G1396" t="s">
        <v>90</v>
      </c>
      <c r="I1396" t="s">
        <v>98</v>
      </c>
      <c r="K1396" t="s">
        <v>108</v>
      </c>
      <c r="M1396" t="s">
        <v>47</v>
      </c>
      <c r="N1396" s="1" t="e">
        <f t="shared" si="306"/>
        <v>#VALUE!</v>
      </c>
      <c r="O1396" s="1" t="e">
        <f t="shared" si="307"/>
        <v>#VALUE!</v>
      </c>
      <c r="P1396" s="1" t="e">
        <f t="shared" si="308"/>
        <v>#VALUE!</v>
      </c>
      <c r="Q1396" s="1" t="e">
        <f t="shared" si="309"/>
        <v>#VALUE!</v>
      </c>
      <c r="R1396" s="1" t="e">
        <f t="shared" si="310"/>
        <v>#VALUE!</v>
      </c>
      <c r="S1396" s="1" t="e">
        <f t="shared" si="311"/>
        <v>#VALUE!</v>
      </c>
      <c r="T1396" s="1" t="e">
        <f t="shared" si="312"/>
        <v>#VALUE!</v>
      </c>
      <c r="U1396" s="26" t="e">
        <f t="shared" si="313"/>
        <v>#VALUE!</v>
      </c>
      <c r="V1396" s="26" t="e">
        <f t="shared" si="314"/>
        <v>#VALUE!</v>
      </c>
      <c r="W1396" s="1" t="e">
        <f t="shared" si="315"/>
        <v>#VALUE!</v>
      </c>
      <c r="X1396" s="26" t="e">
        <f t="shared" si="316"/>
        <v>#VALUE!</v>
      </c>
      <c r="Y1396" s="26" t="e">
        <f t="shared" si="317"/>
        <v>#VALUE!</v>
      </c>
      <c r="Z1396" s="1" t="e">
        <f t="shared" si="318"/>
        <v>#VALUE!</v>
      </c>
      <c r="AA1396"/>
      <c r="AB1396"/>
    </row>
    <row r="1397" spans="1:28" x14ac:dyDescent="0.55000000000000004">
      <c r="A1397" s="1">
        <f t="shared" si="305"/>
        <v>1397</v>
      </c>
      <c r="B1397" t="s">
        <v>39</v>
      </c>
      <c r="C1397" t="s">
        <v>69</v>
      </c>
      <c r="D1397" t="s">
        <v>216</v>
      </c>
      <c r="E1397" t="s">
        <v>237</v>
      </c>
      <c r="F1397" t="s">
        <v>218</v>
      </c>
      <c r="G1397" t="s">
        <v>219</v>
      </c>
      <c r="I1397" t="s">
        <v>229</v>
      </c>
      <c r="K1397" t="s">
        <v>221</v>
      </c>
      <c r="M1397" t="s">
        <v>47</v>
      </c>
      <c r="N1397" s="1" t="e">
        <f t="shared" si="306"/>
        <v>#VALUE!</v>
      </c>
      <c r="O1397" s="1" t="e">
        <f t="shared" si="307"/>
        <v>#VALUE!</v>
      </c>
      <c r="P1397" s="1" t="e">
        <f t="shared" si="308"/>
        <v>#VALUE!</v>
      </c>
      <c r="Q1397" s="1" t="e">
        <f t="shared" si="309"/>
        <v>#VALUE!</v>
      </c>
      <c r="R1397" s="1" t="e">
        <f t="shared" si="310"/>
        <v>#VALUE!</v>
      </c>
      <c r="S1397" s="1" t="e">
        <f t="shared" si="311"/>
        <v>#VALUE!</v>
      </c>
      <c r="T1397" s="1" t="e">
        <f t="shared" si="312"/>
        <v>#VALUE!</v>
      </c>
      <c r="U1397" s="26" t="e">
        <f t="shared" si="313"/>
        <v>#VALUE!</v>
      </c>
      <c r="V1397" s="26" t="e">
        <f t="shared" si="314"/>
        <v>#VALUE!</v>
      </c>
      <c r="W1397" s="1" t="e">
        <f t="shared" si="315"/>
        <v>#VALUE!</v>
      </c>
      <c r="X1397" s="26" t="e">
        <f t="shared" si="316"/>
        <v>#VALUE!</v>
      </c>
      <c r="Y1397" s="26" t="e">
        <f t="shared" si="317"/>
        <v>#VALUE!</v>
      </c>
      <c r="Z1397" s="1" t="e">
        <f t="shared" si="318"/>
        <v>#VALUE!</v>
      </c>
      <c r="AA1397"/>
      <c r="AB1397"/>
    </row>
    <row r="1398" spans="1:28" x14ac:dyDescent="0.55000000000000004">
      <c r="A1398" s="1">
        <f t="shared" si="305"/>
        <v>1398</v>
      </c>
      <c r="B1398" t="s">
        <v>39</v>
      </c>
      <c r="C1398" t="s">
        <v>69</v>
      </c>
      <c r="D1398" t="s">
        <v>216</v>
      </c>
      <c r="E1398" t="s">
        <v>237</v>
      </c>
      <c r="F1398" t="s">
        <v>218</v>
      </c>
      <c r="G1398" t="s">
        <v>228</v>
      </c>
      <c r="I1398" t="s">
        <v>234</v>
      </c>
      <c r="K1398" t="s">
        <v>230</v>
      </c>
      <c r="M1398" t="s">
        <v>47</v>
      </c>
      <c r="N1398" s="1" t="e">
        <f t="shared" si="306"/>
        <v>#VALUE!</v>
      </c>
      <c r="O1398" s="1" t="e">
        <f t="shared" si="307"/>
        <v>#VALUE!</v>
      </c>
      <c r="P1398" s="1" t="e">
        <f t="shared" si="308"/>
        <v>#VALUE!</v>
      </c>
      <c r="Q1398" s="1" t="e">
        <f t="shared" si="309"/>
        <v>#VALUE!</v>
      </c>
      <c r="R1398" s="1" t="e">
        <f t="shared" si="310"/>
        <v>#VALUE!</v>
      </c>
      <c r="S1398" s="1" t="e">
        <f t="shared" si="311"/>
        <v>#VALUE!</v>
      </c>
      <c r="T1398" s="1" t="e">
        <f t="shared" si="312"/>
        <v>#VALUE!</v>
      </c>
      <c r="U1398" s="26" t="e">
        <f t="shared" si="313"/>
        <v>#VALUE!</v>
      </c>
      <c r="V1398" s="26" t="e">
        <f t="shared" si="314"/>
        <v>#VALUE!</v>
      </c>
      <c r="W1398" s="1" t="e">
        <f t="shared" si="315"/>
        <v>#VALUE!</v>
      </c>
      <c r="X1398" s="26" t="e">
        <f t="shared" si="316"/>
        <v>#VALUE!</v>
      </c>
      <c r="Y1398" s="26" t="e">
        <f t="shared" si="317"/>
        <v>#VALUE!</v>
      </c>
      <c r="Z1398" s="1" t="e">
        <f t="shared" si="318"/>
        <v>#VALUE!</v>
      </c>
      <c r="AA1398"/>
      <c r="AB1398"/>
    </row>
    <row r="1399" spans="1:28" x14ac:dyDescent="0.55000000000000004">
      <c r="A1399" s="1">
        <f t="shared" si="305"/>
        <v>1399</v>
      </c>
      <c r="B1399" t="s">
        <v>39</v>
      </c>
      <c r="C1399" t="s">
        <v>69</v>
      </c>
      <c r="D1399" t="s">
        <v>216</v>
      </c>
      <c r="E1399" t="s">
        <v>237</v>
      </c>
      <c r="F1399" t="s">
        <v>218</v>
      </c>
      <c r="G1399" t="s">
        <v>232</v>
      </c>
      <c r="I1399" t="s">
        <v>225</v>
      </c>
      <c r="K1399" t="s">
        <v>238</v>
      </c>
      <c r="M1399" t="s">
        <v>47</v>
      </c>
      <c r="N1399" s="1" t="e">
        <f t="shared" si="306"/>
        <v>#VALUE!</v>
      </c>
      <c r="O1399" s="1" t="e">
        <f t="shared" si="307"/>
        <v>#VALUE!</v>
      </c>
      <c r="P1399" s="1" t="e">
        <f t="shared" si="308"/>
        <v>#VALUE!</v>
      </c>
      <c r="Q1399" s="1" t="e">
        <f t="shared" si="309"/>
        <v>#VALUE!</v>
      </c>
      <c r="R1399" s="1" t="e">
        <f t="shared" si="310"/>
        <v>#VALUE!</v>
      </c>
      <c r="S1399" s="1" t="e">
        <f t="shared" si="311"/>
        <v>#VALUE!</v>
      </c>
      <c r="T1399" s="1" t="e">
        <f t="shared" si="312"/>
        <v>#VALUE!</v>
      </c>
      <c r="U1399" s="26" t="e">
        <f t="shared" si="313"/>
        <v>#VALUE!</v>
      </c>
      <c r="V1399" s="26" t="e">
        <f t="shared" si="314"/>
        <v>#VALUE!</v>
      </c>
      <c r="W1399" s="1" t="e">
        <f t="shared" si="315"/>
        <v>#VALUE!</v>
      </c>
      <c r="X1399" s="26" t="e">
        <f t="shared" si="316"/>
        <v>#VALUE!</v>
      </c>
      <c r="Y1399" s="26" t="e">
        <f t="shared" si="317"/>
        <v>#VALUE!</v>
      </c>
      <c r="Z1399" s="1" t="e">
        <f t="shared" si="318"/>
        <v>#VALUE!</v>
      </c>
      <c r="AA1399"/>
      <c r="AB1399"/>
    </row>
    <row r="1400" spans="1:28" x14ac:dyDescent="0.55000000000000004">
      <c r="A1400" s="1">
        <f t="shared" si="305"/>
        <v>1400</v>
      </c>
      <c r="B1400" t="s">
        <v>39</v>
      </c>
      <c r="C1400" t="s">
        <v>69</v>
      </c>
      <c r="D1400" t="s">
        <v>177</v>
      </c>
      <c r="E1400" t="s">
        <v>239</v>
      </c>
      <c r="F1400" t="s">
        <v>218</v>
      </c>
      <c r="G1400" t="s">
        <v>220</v>
      </c>
      <c r="I1400" t="s">
        <v>231</v>
      </c>
      <c r="K1400" t="s">
        <v>240</v>
      </c>
      <c r="M1400" t="s">
        <v>47</v>
      </c>
      <c r="N1400" s="1" t="e">
        <f t="shared" si="306"/>
        <v>#VALUE!</v>
      </c>
      <c r="O1400" s="1" t="e">
        <f t="shared" si="307"/>
        <v>#VALUE!</v>
      </c>
      <c r="P1400" s="1" t="e">
        <f t="shared" si="308"/>
        <v>#VALUE!</v>
      </c>
      <c r="Q1400" s="1" t="e">
        <f t="shared" si="309"/>
        <v>#VALUE!</v>
      </c>
      <c r="R1400" s="1" t="e">
        <f t="shared" si="310"/>
        <v>#VALUE!</v>
      </c>
      <c r="S1400" s="1" t="e">
        <f t="shared" si="311"/>
        <v>#VALUE!</v>
      </c>
      <c r="T1400" s="1" t="e">
        <f t="shared" si="312"/>
        <v>#VALUE!</v>
      </c>
      <c r="U1400" s="26" t="e">
        <f t="shared" si="313"/>
        <v>#VALUE!</v>
      </c>
      <c r="V1400" s="26" t="e">
        <f t="shared" si="314"/>
        <v>#VALUE!</v>
      </c>
      <c r="W1400" s="1" t="e">
        <f t="shared" si="315"/>
        <v>#VALUE!</v>
      </c>
      <c r="X1400" s="26" t="e">
        <f t="shared" si="316"/>
        <v>#VALUE!</v>
      </c>
      <c r="Y1400" s="26" t="e">
        <f t="shared" si="317"/>
        <v>#VALUE!</v>
      </c>
      <c r="Z1400" s="1" t="e">
        <f t="shared" si="318"/>
        <v>#VALUE!</v>
      </c>
      <c r="AA1400"/>
      <c r="AB1400"/>
    </row>
    <row r="1401" spans="1:28" x14ac:dyDescent="0.55000000000000004">
      <c r="A1401" s="1">
        <f t="shared" si="305"/>
        <v>1401</v>
      </c>
      <c r="B1401" t="s">
        <v>39</v>
      </c>
      <c r="C1401" t="s">
        <v>69</v>
      </c>
      <c r="D1401" t="s">
        <v>177</v>
      </c>
      <c r="E1401" t="s">
        <v>239</v>
      </c>
      <c r="F1401" t="s">
        <v>218</v>
      </c>
      <c r="G1401" t="s">
        <v>226</v>
      </c>
      <c r="I1401" t="s">
        <v>222</v>
      </c>
      <c r="K1401" t="s">
        <v>241</v>
      </c>
      <c r="M1401" t="s">
        <v>47</v>
      </c>
      <c r="N1401" s="1" t="e">
        <f t="shared" si="306"/>
        <v>#VALUE!</v>
      </c>
      <c r="O1401" s="1" t="e">
        <f t="shared" si="307"/>
        <v>#VALUE!</v>
      </c>
      <c r="P1401" s="1" t="e">
        <f t="shared" si="308"/>
        <v>#VALUE!</v>
      </c>
      <c r="Q1401" s="1" t="e">
        <f t="shared" si="309"/>
        <v>#VALUE!</v>
      </c>
      <c r="R1401" s="1" t="e">
        <f t="shared" si="310"/>
        <v>#VALUE!</v>
      </c>
      <c r="S1401" s="1" t="e">
        <f t="shared" si="311"/>
        <v>#VALUE!</v>
      </c>
      <c r="T1401" s="1" t="e">
        <f t="shared" si="312"/>
        <v>#VALUE!</v>
      </c>
      <c r="U1401" s="26" t="e">
        <f t="shared" si="313"/>
        <v>#VALUE!</v>
      </c>
      <c r="V1401" s="26" t="e">
        <f t="shared" si="314"/>
        <v>#VALUE!</v>
      </c>
      <c r="W1401" s="1" t="e">
        <f t="shared" si="315"/>
        <v>#VALUE!</v>
      </c>
      <c r="X1401" s="26" t="e">
        <f t="shared" si="316"/>
        <v>#VALUE!</v>
      </c>
      <c r="Y1401" s="26" t="e">
        <f t="shared" si="317"/>
        <v>#VALUE!</v>
      </c>
      <c r="Z1401" s="1" t="e">
        <f t="shared" si="318"/>
        <v>#VALUE!</v>
      </c>
      <c r="AA1401"/>
      <c r="AB1401"/>
    </row>
    <row r="1402" spans="1:28" x14ac:dyDescent="0.55000000000000004">
      <c r="A1402" s="1">
        <f t="shared" si="305"/>
        <v>1402</v>
      </c>
      <c r="B1402" t="s">
        <v>39</v>
      </c>
      <c r="C1402" t="s">
        <v>69</v>
      </c>
      <c r="D1402" t="s">
        <v>177</v>
      </c>
      <c r="E1402" t="s">
        <v>239</v>
      </c>
      <c r="F1402" t="s">
        <v>218</v>
      </c>
      <c r="G1402" t="s">
        <v>235</v>
      </c>
      <c r="I1402" t="s">
        <v>223</v>
      </c>
      <c r="K1402" t="s">
        <v>242</v>
      </c>
      <c r="M1402" t="s">
        <v>47</v>
      </c>
      <c r="N1402" s="1" t="e">
        <f t="shared" si="306"/>
        <v>#VALUE!</v>
      </c>
      <c r="O1402" s="1" t="e">
        <f t="shared" si="307"/>
        <v>#VALUE!</v>
      </c>
      <c r="P1402" s="1" t="e">
        <f t="shared" si="308"/>
        <v>#VALUE!</v>
      </c>
      <c r="Q1402" s="1" t="e">
        <f t="shared" si="309"/>
        <v>#VALUE!</v>
      </c>
      <c r="R1402" s="1" t="e">
        <f t="shared" si="310"/>
        <v>#VALUE!</v>
      </c>
      <c r="S1402" s="1" t="e">
        <f t="shared" si="311"/>
        <v>#VALUE!</v>
      </c>
      <c r="T1402" s="1" t="e">
        <f t="shared" si="312"/>
        <v>#VALUE!</v>
      </c>
      <c r="U1402" s="26" t="e">
        <f t="shared" si="313"/>
        <v>#VALUE!</v>
      </c>
      <c r="V1402" s="26" t="e">
        <f t="shared" si="314"/>
        <v>#VALUE!</v>
      </c>
      <c r="W1402" s="1" t="e">
        <f t="shared" si="315"/>
        <v>#VALUE!</v>
      </c>
      <c r="X1402" s="26" t="e">
        <f t="shared" si="316"/>
        <v>#VALUE!</v>
      </c>
      <c r="Y1402" s="26" t="e">
        <f t="shared" si="317"/>
        <v>#VALUE!</v>
      </c>
      <c r="Z1402" s="1" t="e">
        <f t="shared" si="318"/>
        <v>#VALUE!</v>
      </c>
      <c r="AA1402"/>
      <c r="AB1402"/>
    </row>
    <row r="1403" spans="1:28" x14ac:dyDescent="0.55000000000000004">
      <c r="A1403" s="1">
        <f t="shared" si="305"/>
        <v>1403</v>
      </c>
      <c r="B1403" t="s">
        <v>31</v>
      </c>
      <c r="C1403" t="s">
        <v>200</v>
      </c>
      <c r="D1403" t="s">
        <v>174</v>
      </c>
      <c r="E1403" t="s">
        <v>276</v>
      </c>
      <c r="F1403" t="s">
        <v>274</v>
      </c>
      <c r="G1403" t="s">
        <v>151</v>
      </c>
      <c r="I1403" t="s">
        <v>135</v>
      </c>
      <c r="K1403" t="s">
        <v>156</v>
      </c>
      <c r="M1403" t="s">
        <v>47</v>
      </c>
      <c r="N1403" s="1" t="e">
        <f t="shared" si="306"/>
        <v>#VALUE!</v>
      </c>
      <c r="O1403" s="1" t="e">
        <f t="shared" si="307"/>
        <v>#VALUE!</v>
      </c>
      <c r="P1403" s="1" t="e">
        <f t="shared" si="308"/>
        <v>#VALUE!</v>
      </c>
      <c r="Q1403" s="1" t="e">
        <f t="shared" si="309"/>
        <v>#VALUE!</v>
      </c>
      <c r="R1403" s="1" t="e">
        <f t="shared" si="310"/>
        <v>#VALUE!</v>
      </c>
      <c r="S1403" s="1" t="e">
        <f t="shared" si="311"/>
        <v>#VALUE!</v>
      </c>
      <c r="T1403" s="1" t="e">
        <f t="shared" si="312"/>
        <v>#VALUE!</v>
      </c>
      <c r="U1403" s="26" t="e">
        <f t="shared" si="313"/>
        <v>#VALUE!</v>
      </c>
      <c r="V1403" s="26" t="e">
        <f t="shared" si="314"/>
        <v>#VALUE!</v>
      </c>
      <c r="W1403" s="1" t="e">
        <f t="shared" si="315"/>
        <v>#VALUE!</v>
      </c>
      <c r="X1403" s="26" t="e">
        <f t="shared" si="316"/>
        <v>#VALUE!</v>
      </c>
      <c r="Y1403" s="26" t="e">
        <f t="shared" si="317"/>
        <v>#VALUE!</v>
      </c>
      <c r="Z1403" s="1" t="e">
        <f t="shared" si="318"/>
        <v>#VALUE!</v>
      </c>
      <c r="AA1403"/>
      <c r="AB1403"/>
    </row>
    <row r="1404" spans="1:28" x14ac:dyDescent="0.55000000000000004">
      <c r="A1404" s="1">
        <f t="shared" si="305"/>
        <v>1404</v>
      </c>
      <c r="B1404" t="s">
        <v>33</v>
      </c>
      <c r="C1404" t="s">
        <v>69</v>
      </c>
      <c r="D1404" t="s">
        <v>174</v>
      </c>
      <c r="E1404" t="s">
        <v>276</v>
      </c>
      <c r="F1404" t="s">
        <v>277</v>
      </c>
      <c r="G1404" t="s">
        <v>279</v>
      </c>
      <c r="I1404" t="s">
        <v>281</v>
      </c>
      <c r="K1404" t="s">
        <v>294</v>
      </c>
      <c r="M1404" t="s">
        <v>47</v>
      </c>
      <c r="N1404" s="1" t="e">
        <f t="shared" si="306"/>
        <v>#VALUE!</v>
      </c>
      <c r="O1404" s="1" t="e">
        <f t="shared" si="307"/>
        <v>#VALUE!</v>
      </c>
      <c r="P1404" s="1" t="e">
        <f t="shared" si="308"/>
        <v>#VALUE!</v>
      </c>
      <c r="Q1404" s="1" t="e">
        <f t="shared" si="309"/>
        <v>#VALUE!</v>
      </c>
      <c r="R1404" s="1" t="e">
        <f t="shared" si="310"/>
        <v>#VALUE!</v>
      </c>
      <c r="S1404" s="1" t="e">
        <f t="shared" si="311"/>
        <v>#VALUE!</v>
      </c>
      <c r="T1404" s="1" t="e">
        <f t="shared" si="312"/>
        <v>#VALUE!</v>
      </c>
      <c r="U1404" s="26" t="e">
        <f t="shared" si="313"/>
        <v>#VALUE!</v>
      </c>
      <c r="V1404" s="26" t="e">
        <f t="shared" si="314"/>
        <v>#VALUE!</v>
      </c>
      <c r="W1404" s="1" t="e">
        <f t="shared" si="315"/>
        <v>#VALUE!</v>
      </c>
      <c r="X1404" s="26" t="e">
        <f t="shared" si="316"/>
        <v>#VALUE!</v>
      </c>
      <c r="Y1404" s="26" t="e">
        <f t="shared" si="317"/>
        <v>#VALUE!</v>
      </c>
      <c r="Z1404" s="1" t="e">
        <f t="shared" si="318"/>
        <v>#VALUE!</v>
      </c>
      <c r="AA1404"/>
      <c r="AB1404"/>
    </row>
    <row r="1405" spans="1:28" x14ac:dyDescent="0.55000000000000004">
      <c r="A1405" s="1">
        <f t="shared" si="305"/>
        <v>1405</v>
      </c>
      <c r="B1405" t="s">
        <v>33</v>
      </c>
      <c r="C1405" t="s">
        <v>69</v>
      </c>
      <c r="D1405" t="s">
        <v>174</v>
      </c>
      <c r="E1405" t="s">
        <v>276</v>
      </c>
      <c r="F1405" t="s">
        <v>290</v>
      </c>
      <c r="G1405" t="s">
        <v>282</v>
      </c>
      <c r="I1405" t="s">
        <v>288</v>
      </c>
      <c r="K1405" t="s">
        <v>295</v>
      </c>
      <c r="M1405" t="s">
        <v>47</v>
      </c>
      <c r="N1405" s="1" t="e">
        <f t="shared" si="306"/>
        <v>#VALUE!</v>
      </c>
      <c r="O1405" s="1" t="e">
        <f t="shared" si="307"/>
        <v>#VALUE!</v>
      </c>
      <c r="P1405" s="1" t="e">
        <f t="shared" si="308"/>
        <v>#VALUE!</v>
      </c>
      <c r="Q1405" s="1" t="e">
        <f t="shared" si="309"/>
        <v>#VALUE!</v>
      </c>
      <c r="R1405" s="1" t="e">
        <f t="shared" si="310"/>
        <v>#VALUE!</v>
      </c>
      <c r="S1405" s="1" t="e">
        <f t="shared" si="311"/>
        <v>#VALUE!</v>
      </c>
      <c r="T1405" s="1" t="e">
        <f t="shared" si="312"/>
        <v>#VALUE!</v>
      </c>
      <c r="U1405" s="26" t="e">
        <f t="shared" si="313"/>
        <v>#VALUE!</v>
      </c>
      <c r="V1405" s="26" t="e">
        <f t="shared" si="314"/>
        <v>#VALUE!</v>
      </c>
      <c r="W1405" s="1" t="e">
        <f t="shared" si="315"/>
        <v>#VALUE!</v>
      </c>
      <c r="X1405" s="26" t="e">
        <f t="shared" si="316"/>
        <v>#VALUE!</v>
      </c>
      <c r="Y1405" s="26" t="e">
        <f t="shared" si="317"/>
        <v>#VALUE!</v>
      </c>
      <c r="Z1405" s="1" t="e">
        <f t="shared" si="318"/>
        <v>#VALUE!</v>
      </c>
      <c r="AA1405"/>
      <c r="AB1405"/>
    </row>
    <row r="1406" spans="1:28" x14ac:dyDescent="0.55000000000000004">
      <c r="A1406" s="1">
        <f t="shared" si="305"/>
        <v>1406</v>
      </c>
      <c r="B1406" t="s">
        <v>34</v>
      </c>
      <c r="C1406" t="s">
        <v>132</v>
      </c>
      <c r="D1406" t="s">
        <v>174</v>
      </c>
      <c r="E1406" t="s">
        <v>276</v>
      </c>
      <c r="F1406" t="s">
        <v>181</v>
      </c>
      <c r="G1406" t="s">
        <v>87</v>
      </c>
      <c r="I1406" t="s">
        <v>99</v>
      </c>
      <c r="K1406" t="s">
        <v>109</v>
      </c>
      <c r="M1406" t="s">
        <v>47</v>
      </c>
      <c r="N1406" s="1" t="e">
        <f t="shared" si="306"/>
        <v>#VALUE!</v>
      </c>
      <c r="O1406" s="1" t="e">
        <f t="shared" si="307"/>
        <v>#VALUE!</v>
      </c>
      <c r="P1406" s="1" t="e">
        <f t="shared" si="308"/>
        <v>#VALUE!</v>
      </c>
      <c r="Q1406" s="1" t="e">
        <f t="shared" si="309"/>
        <v>#VALUE!</v>
      </c>
      <c r="R1406" s="1" t="e">
        <f t="shared" si="310"/>
        <v>#VALUE!</v>
      </c>
      <c r="S1406" s="1" t="e">
        <f t="shared" si="311"/>
        <v>#VALUE!</v>
      </c>
      <c r="T1406" s="1" t="e">
        <f t="shared" si="312"/>
        <v>#VALUE!</v>
      </c>
      <c r="U1406" s="26" t="e">
        <f t="shared" si="313"/>
        <v>#VALUE!</v>
      </c>
      <c r="V1406" s="26" t="e">
        <f t="shared" si="314"/>
        <v>#VALUE!</v>
      </c>
      <c r="W1406" s="1" t="e">
        <f t="shared" si="315"/>
        <v>#VALUE!</v>
      </c>
      <c r="X1406" s="26" t="e">
        <f t="shared" si="316"/>
        <v>#VALUE!</v>
      </c>
      <c r="Y1406" s="26" t="e">
        <f t="shared" si="317"/>
        <v>#VALUE!</v>
      </c>
      <c r="Z1406" s="1" t="e">
        <f t="shared" si="318"/>
        <v>#VALUE!</v>
      </c>
      <c r="AA1406"/>
      <c r="AB1406"/>
    </row>
    <row r="1407" spans="1:28" x14ac:dyDescent="0.55000000000000004">
      <c r="A1407" s="1">
        <f t="shared" si="305"/>
        <v>1407</v>
      </c>
      <c r="B1407" t="s">
        <v>37</v>
      </c>
      <c r="C1407" t="s">
        <v>80</v>
      </c>
      <c r="D1407" t="s">
        <v>174</v>
      </c>
      <c r="E1407" t="s">
        <v>276</v>
      </c>
      <c r="F1407" t="s">
        <v>315</v>
      </c>
      <c r="G1407" t="s">
        <v>322</v>
      </c>
      <c r="I1407" t="s">
        <v>316</v>
      </c>
      <c r="K1407" t="s">
        <v>331</v>
      </c>
      <c r="M1407" t="s">
        <v>47</v>
      </c>
      <c r="N1407" s="1" t="e">
        <f t="shared" si="306"/>
        <v>#VALUE!</v>
      </c>
      <c r="O1407" s="1" t="e">
        <f t="shared" si="307"/>
        <v>#VALUE!</v>
      </c>
      <c r="P1407" s="1" t="e">
        <f t="shared" si="308"/>
        <v>#VALUE!</v>
      </c>
      <c r="Q1407" s="1" t="e">
        <f t="shared" si="309"/>
        <v>#VALUE!</v>
      </c>
      <c r="R1407" s="1" t="e">
        <f t="shared" si="310"/>
        <v>#VALUE!</v>
      </c>
      <c r="S1407" s="1" t="e">
        <f t="shared" si="311"/>
        <v>#VALUE!</v>
      </c>
      <c r="T1407" s="1" t="e">
        <f t="shared" si="312"/>
        <v>#VALUE!</v>
      </c>
      <c r="U1407" s="26" t="e">
        <f t="shared" si="313"/>
        <v>#VALUE!</v>
      </c>
      <c r="V1407" s="26" t="e">
        <f t="shared" si="314"/>
        <v>#VALUE!</v>
      </c>
      <c r="W1407" s="1" t="e">
        <f t="shared" si="315"/>
        <v>#VALUE!</v>
      </c>
      <c r="X1407" s="26" t="e">
        <f t="shared" si="316"/>
        <v>#VALUE!</v>
      </c>
      <c r="Y1407" s="26" t="e">
        <f t="shared" si="317"/>
        <v>#VALUE!</v>
      </c>
      <c r="Z1407" s="1" t="e">
        <f t="shared" si="318"/>
        <v>#VALUE!</v>
      </c>
      <c r="AA1407"/>
      <c r="AB1407"/>
    </row>
    <row r="1408" spans="1:28" x14ac:dyDescent="0.55000000000000004">
      <c r="A1408" s="1">
        <f t="shared" si="305"/>
        <v>1408</v>
      </c>
      <c r="B1408" t="s">
        <v>37</v>
      </c>
      <c r="C1408" t="s">
        <v>80</v>
      </c>
      <c r="D1408" t="s">
        <v>174</v>
      </c>
      <c r="E1408" t="s">
        <v>276</v>
      </c>
      <c r="F1408" t="s">
        <v>315</v>
      </c>
      <c r="G1408" t="s">
        <v>318</v>
      </c>
      <c r="I1408" t="s">
        <v>313</v>
      </c>
      <c r="K1408" t="s">
        <v>320</v>
      </c>
      <c r="M1408" t="s">
        <v>47</v>
      </c>
      <c r="N1408" s="1" t="e">
        <f t="shared" si="306"/>
        <v>#VALUE!</v>
      </c>
      <c r="O1408" s="1" t="e">
        <f t="shared" si="307"/>
        <v>#VALUE!</v>
      </c>
      <c r="P1408" s="1" t="e">
        <f t="shared" si="308"/>
        <v>#VALUE!</v>
      </c>
      <c r="Q1408" s="1" t="e">
        <f t="shared" si="309"/>
        <v>#VALUE!</v>
      </c>
      <c r="R1408" s="1" t="e">
        <f t="shared" si="310"/>
        <v>#VALUE!</v>
      </c>
      <c r="S1408" s="1" t="e">
        <f t="shared" si="311"/>
        <v>#VALUE!</v>
      </c>
      <c r="T1408" s="1" t="e">
        <f t="shared" si="312"/>
        <v>#VALUE!</v>
      </c>
      <c r="U1408" s="26" t="e">
        <f t="shared" si="313"/>
        <v>#VALUE!</v>
      </c>
      <c r="V1408" s="26" t="e">
        <f t="shared" si="314"/>
        <v>#VALUE!</v>
      </c>
      <c r="W1408" s="1" t="e">
        <f t="shared" si="315"/>
        <v>#VALUE!</v>
      </c>
      <c r="X1408" s="26" t="e">
        <f t="shared" si="316"/>
        <v>#VALUE!</v>
      </c>
      <c r="Y1408" s="26" t="e">
        <f t="shared" si="317"/>
        <v>#VALUE!</v>
      </c>
      <c r="Z1408" s="1" t="e">
        <f t="shared" si="318"/>
        <v>#VALUE!</v>
      </c>
      <c r="AA1408"/>
      <c r="AB1408"/>
    </row>
    <row r="1409" spans="1:28" x14ac:dyDescent="0.55000000000000004">
      <c r="A1409" s="1">
        <f t="shared" si="305"/>
        <v>1409</v>
      </c>
      <c r="B1409" t="s">
        <v>37</v>
      </c>
      <c r="C1409" t="s">
        <v>80</v>
      </c>
      <c r="D1409" t="s">
        <v>174</v>
      </c>
      <c r="E1409" t="s">
        <v>276</v>
      </c>
      <c r="F1409" t="s">
        <v>315</v>
      </c>
      <c r="G1409" t="s">
        <v>324</v>
      </c>
      <c r="I1409" t="s">
        <v>319</v>
      </c>
      <c r="K1409" t="s">
        <v>325</v>
      </c>
      <c r="M1409" t="s">
        <v>47</v>
      </c>
      <c r="N1409" s="1" t="e">
        <f t="shared" si="306"/>
        <v>#VALUE!</v>
      </c>
      <c r="O1409" s="1" t="e">
        <f t="shared" si="307"/>
        <v>#VALUE!</v>
      </c>
      <c r="P1409" s="1" t="e">
        <f t="shared" si="308"/>
        <v>#VALUE!</v>
      </c>
      <c r="Q1409" s="1" t="e">
        <f t="shared" si="309"/>
        <v>#VALUE!</v>
      </c>
      <c r="R1409" s="1" t="e">
        <f t="shared" si="310"/>
        <v>#VALUE!</v>
      </c>
      <c r="S1409" s="1" t="e">
        <f t="shared" si="311"/>
        <v>#VALUE!</v>
      </c>
      <c r="T1409" s="1" t="e">
        <f t="shared" si="312"/>
        <v>#VALUE!</v>
      </c>
      <c r="U1409" s="26" t="e">
        <f t="shared" si="313"/>
        <v>#VALUE!</v>
      </c>
      <c r="V1409" s="26" t="e">
        <f t="shared" si="314"/>
        <v>#VALUE!</v>
      </c>
      <c r="W1409" s="1" t="e">
        <f t="shared" si="315"/>
        <v>#VALUE!</v>
      </c>
      <c r="X1409" s="26" t="e">
        <f t="shared" si="316"/>
        <v>#VALUE!</v>
      </c>
      <c r="Y1409" s="26" t="e">
        <f t="shared" si="317"/>
        <v>#VALUE!</v>
      </c>
      <c r="Z1409" s="1" t="e">
        <f t="shared" si="318"/>
        <v>#VALUE!</v>
      </c>
      <c r="AA1409"/>
      <c r="AB1409"/>
    </row>
    <row r="1410" spans="1:28" x14ac:dyDescent="0.55000000000000004">
      <c r="A1410" s="1">
        <f t="shared" si="305"/>
        <v>1410</v>
      </c>
      <c r="B1410" t="s">
        <v>37</v>
      </c>
      <c r="C1410" t="s">
        <v>80</v>
      </c>
      <c r="D1410" t="s">
        <v>174</v>
      </c>
      <c r="E1410" t="s">
        <v>276</v>
      </c>
      <c r="F1410" t="s">
        <v>315</v>
      </c>
      <c r="G1410" t="s">
        <v>326</v>
      </c>
      <c r="I1410" t="s">
        <v>328</v>
      </c>
      <c r="K1410" t="s">
        <v>327</v>
      </c>
      <c r="M1410" t="s">
        <v>47</v>
      </c>
      <c r="N1410" s="1" t="e">
        <f t="shared" si="306"/>
        <v>#VALUE!</v>
      </c>
      <c r="O1410" s="1" t="e">
        <f t="shared" si="307"/>
        <v>#VALUE!</v>
      </c>
      <c r="P1410" s="1" t="e">
        <f t="shared" si="308"/>
        <v>#VALUE!</v>
      </c>
      <c r="Q1410" s="1" t="e">
        <f t="shared" si="309"/>
        <v>#VALUE!</v>
      </c>
      <c r="R1410" s="1" t="e">
        <f t="shared" si="310"/>
        <v>#VALUE!</v>
      </c>
      <c r="S1410" s="1" t="e">
        <f t="shared" si="311"/>
        <v>#VALUE!</v>
      </c>
      <c r="T1410" s="1" t="e">
        <f t="shared" si="312"/>
        <v>#VALUE!</v>
      </c>
      <c r="U1410" s="26" t="e">
        <f t="shared" si="313"/>
        <v>#VALUE!</v>
      </c>
      <c r="V1410" s="26" t="e">
        <f t="shared" si="314"/>
        <v>#VALUE!</v>
      </c>
      <c r="W1410" s="1" t="e">
        <f t="shared" si="315"/>
        <v>#VALUE!</v>
      </c>
      <c r="X1410" s="26" t="e">
        <f t="shared" si="316"/>
        <v>#VALUE!</v>
      </c>
      <c r="Y1410" s="26" t="e">
        <f t="shared" si="317"/>
        <v>#VALUE!</v>
      </c>
      <c r="Z1410" s="1" t="e">
        <f t="shared" si="318"/>
        <v>#VALUE!</v>
      </c>
      <c r="AA1410"/>
      <c r="AB1410"/>
    </row>
    <row r="1411" spans="1:28" x14ac:dyDescent="0.55000000000000004">
      <c r="A1411" s="1">
        <f t="shared" ref="A1411:A1474" si="319">A1410+1</f>
        <v>1411</v>
      </c>
      <c r="B1411" t="s">
        <v>37</v>
      </c>
      <c r="C1411" t="s">
        <v>80</v>
      </c>
      <c r="D1411" t="s">
        <v>174</v>
      </c>
      <c r="E1411" t="s">
        <v>276</v>
      </c>
      <c r="F1411" t="s">
        <v>315</v>
      </c>
      <c r="G1411" t="s">
        <v>312</v>
      </c>
      <c r="I1411" t="s">
        <v>321</v>
      </c>
      <c r="K1411" t="s">
        <v>314</v>
      </c>
      <c r="M1411" t="s">
        <v>47</v>
      </c>
      <c r="N1411" s="1" t="e">
        <f t="shared" ref="N1411:N1474" si="320">VALUE(LEFT(H1411,1))</f>
        <v>#VALUE!</v>
      </c>
      <c r="O1411" s="1" t="e">
        <f t="shared" ref="O1411:O1474" si="321">VALUE(RIGHT(H1411,1))</f>
        <v>#VALUE!</v>
      </c>
      <c r="P1411" s="1" t="e">
        <f t="shared" ref="P1411:P1474" si="322">SUM(N1411,O1411)</f>
        <v>#VALUE!</v>
      </c>
      <c r="Q1411" s="1" t="e">
        <f t="shared" ref="Q1411:Q1474" si="323">IF(N1411&lt;&gt;O1411, 1, 0)</f>
        <v>#VALUE!</v>
      </c>
      <c r="R1411" s="1" t="e">
        <f t="shared" ref="R1411:R1474" si="324">IF(P1411&lt;=4,1,0)</f>
        <v>#VALUE!</v>
      </c>
      <c r="S1411" s="1" t="e">
        <f t="shared" ref="S1411:S1474" si="325">IF(AND(Q1411=1,R1411=1),1,0)</f>
        <v>#VALUE!</v>
      </c>
      <c r="T1411" s="1" t="e">
        <f t="shared" ref="T1411:T1474" si="326">IF(N1411&lt;=2,1,0)</f>
        <v>#VALUE!</v>
      </c>
      <c r="U1411" s="26" t="e">
        <f t="shared" ref="U1411:U1474" si="327">IF(AND(N1411&gt;=1,N1411&lt;=3),1,0)</f>
        <v>#VALUE!</v>
      </c>
      <c r="V1411" s="26" t="e">
        <f t="shared" ref="V1411:V1474" si="328">IF(AND(N1411&gt;=2,N1411&lt;=5),1,0)</f>
        <v>#VALUE!</v>
      </c>
      <c r="W1411" s="1" t="e">
        <f t="shared" ref="W1411:W1474" si="329">IF(O1411&lt;=2,1,0)</f>
        <v>#VALUE!</v>
      </c>
      <c r="X1411" s="26" t="e">
        <f t="shared" ref="X1411:X1474" si="330">IF(AND(O1411&gt;=1,O1411&lt;=3),1,0)</f>
        <v>#VALUE!</v>
      </c>
      <c r="Y1411" s="26" t="e">
        <f t="shared" ref="Y1411:Y1474" si="331">IF(AND(O1411&gt;=2,O1411&lt;=5),1,0)</f>
        <v>#VALUE!</v>
      </c>
      <c r="Z1411" s="1" t="e">
        <f t="shared" ref="Z1411:Z1474" si="332">IF(P1411&gt;=2,1,0)</f>
        <v>#VALUE!</v>
      </c>
      <c r="AA1411"/>
      <c r="AB1411"/>
    </row>
    <row r="1412" spans="1:28" x14ac:dyDescent="0.55000000000000004">
      <c r="A1412" s="1">
        <f t="shared" si="319"/>
        <v>1412</v>
      </c>
      <c r="B1412" t="s">
        <v>30</v>
      </c>
      <c r="C1412" t="s">
        <v>124</v>
      </c>
      <c r="D1412" t="s">
        <v>133</v>
      </c>
      <c r="E1412" t="s">
        <v>353</v>
      </c>
      <c r="F1412" t="s">
        <v>346</v>
      </c>
      <c r="G1412" t="s">
        <v>67</v>
      </c>
      <c r="I1412" t="s">
        <v>54</v>
      </c>
      <c r="K1412" t="s">
        <v>73</v>
      </c>
      <c r="M1412" t="s">
        <v>47</v>
      </c>
      <c r="N1412" s="1" t="e">
        <f t="shared" si="320"/>
        <v>#VALUE!</v>
      </c>
      <c r="O1412" s="1" t="e">
        <f t="shared" si="321"/>
        <v>#VALUE!</v>
      </c>
      <c r="P1412" s="1" t="e">
        <f t="shared" si="322"/>
        <v>#VALUE!</v>
      </c>
      <c r="Q1412" s="1" t="e">
        <f t="shared" si="323"/>
        <v>#VALUE!</v>
      </c>
      <c r="R1412" s="1" t="e">
        <f t="shared" si="324"/>
        <v>#VALUE!</v>
      </c>
      <c r="S1412" s="1" t="e">
        <f t="shared" si="325"/>
        <v>#VALUE!</v>
      </c>
      <c r="T1412" s="1" t="e">
        <f t="shared" si="326"/>
        <v>#VALUE!</v>
      </c>
      <c r="U1412" s="26" t="e">
        <f t="shared" si="327"/>
        <v>#VALUE!</v>
      </c>
      <c r="V1412" s="26" t="e">
        <f t="shared" si="328"/>
        <v>#VALUE!</v>
      </c>
      <c r="W1412" s="1" t="e">
        <f t="shared" si="329"/>
        <v>#VALUE!</v>
      </c>
      <c r="X1412" s="26" t="e">
        <f t="shared" si="330"/>
        <v>#VALUE!</v>
      </c>
      <c r="Y1412" s="26" t="e">
        <f t="shared" si="331"/>
        <v>#VALUE!</v>
      </c>
      <c r="Z1412" s="1" t="e">
        <f t="shared" si="332"/>
        <v>#VALUE!</v>
      </c>
      <c r="AA1412"/>
      <c r="AB1412"/>
    </row>
    <row r="1413" spans="1:28" x14ac:dyDescent="0.55000000000000004">
      <c r="A1413" s="1">
        <f t="shared" si="319"/>
        <v>1413</v>
      </c>
      <c r="B1413" t="s">
        <v>30</v>
      </c>
      <c r="C1413" t="s">
        <v>124</v>
      </c>
      <c r="D1413" t="s">
        <v>133</v>
      </c>
      <c r="E1413" t="s">
        <v>353</v>
      </c>
      <c r="F1413" t="s">
        <v>346</v>
      </c>
      <c r="G1413" t="s">
        <v>49</v>
      </c>
      <c r="I1413" t="s">
        <v>44</v>
      </c>
      <c r="K1413" t="s">
        <v>72</v>
      </c>
      <c r="M1413" t="s">
        <v>47</v>
      </c>
      <c r="N1413" s="1" t="e">
        <f t="shared" si="320"/>
        <v>#VALUE!</v>
      </c>
      <c r="O1413" s="1" t="e">
        <f t="shared" si="321"/>
        <v>#VALUE!</v>
      </c>
      <c r="P1413" s="1" t="e">
        <f t="shared" si="322"/>
        <v>#VALUE!</v>
      </c>
      <c r="Q1413" s="1" t="e">
        <f t="shared" si="323"/>
        <v>#VALUE!</v>
      </c>
      <c r="R1413" s="1" t="e">
        <f t="shared" si="324"/>
        <v>#VALUE!</v>
      </c>
      <c r="S1413" s="1" t="e">
        <f t="shared" si="325"/>
        <v>#VALUE!</v>
      </c>
      <c r="T1413" s="1" t="e">
        <f t="shared" si="326"/>
        <v>#VALUE!</v>
      </c>
      <c r="U1413" s="26" t="e">
        <f t="shared" si="327"/>
        <v>#VALUE!</v>
      </c>
      <c r="V1413" s="26" t="e">
        <f t="shared" si="328"/>
        <v>#VALUE!</v>
      </c>
      <c r="W1413" s="1" t="e">
        <f t="shared" si="329"/>
        <v>#VALUE!</v>
      </c>
      <c r="X1413" s="26" t="e">
        <f t="shared" si="330"/>
        <v>#VALUE!</v>
      </c>
      <c r="Y1413" s="26" t="e">
        <f t="shared" si="331"/>
        <v>#VALUE!</v>
      </c>
      <c r="Z1413" s="1" t="e">
        <f t="shared" si="332"/>
        <v>#VALUE!</v>
      </c>
      <c r="AA1413"/>
      <c r="AB1413"/>
    </row>
    <row r="1414" spans="1:28" x14ac:dyDescent="0.55000000000000004">
      <c r="A1414" s="1">
        <f t="shared" si="319"/>
        <v>1414</v>
      </c>
      <c r="B1414" t="s">
        <v>30</v>
      </c>
      <c r="C1414" t="s">
        <v>124</v>
      </c>
      <c r="D1414" t="s">
        <v>133</v>
      </c>
      <c r="E1414" t="s">
        <v>353</v>
      </c>
      <c r="F1414" t="s">
        <v>347</v>
      </c>
      <c r="G1414" t="s">
        <v>57</v>
      </c>
      <c r="I1414" t="s">
        <v>45</v>
      </c>
      <c r="K1414" t="s">
        <v>59</v>
      </c>
      <c r="M1414" t="s">
        <v>47</v>
      </c>
      <c r="N1414" s="1" t="e">
        <f t="shared" si="320"/>
        <v>#VALUE!</v>
      </c>
      <c r="O1414" s="1" t="e">
        <f t="shared" si="321"/>
        <v>#VALUE!</v>
      </c>
      <c r="P1414" s="1" t="e">
        <f t="shared" si="322"/>
        <v>#VALUE!</v>
      </c>
      <c r="Q1414" s="1" t="e">
        <f t="shared" si="323"/>
        <v>#VALUE!</v>
      </c>
      <c r="R1414" s="1" t="e">
        <f t="shared" si="324"/>
        <v>#VALUE!</v>
      </c>
      <c r="S1414" s="1" t="e">
        <f t="shared" si="325"/>
        <v>#VALUE!</v>
      </c>
      <c r="T1414" s="1" t="e">
        <f t="shared" si="326"/>
        <v>#VALUE!</v>
      </c>
      <c r="U1414" s="26" t="e">
        <f t="shared" si="327"/>
        <v>#VALUE!</v>
      </c>
      <c r="V1414" s="26" t="e">
        <f t="shared" si="328"/>
        <v>#VALUE!</v>
      </c>
      <c r="W1414" s="1" t="e">
        <f t="shared" si="329"/>
        <v>#VALUE!</v>
      </c>
      <c r="X1414" s="26" t="e">
        <f t="shared" si="330"/>
        <v>#VALUE!</v>
      </c>
      <c r="Y1414" s="26" t="e">
        <f t="shared" si="331"/>
        <v>#VALUE!</v>
      </c>
      <c r="Z1414" s="1" t="e">
        <f t="shared" si="332"/>
        <v>#VALUE!</v>
      </c>
      <c r="AA1414"/>
      <c r="AB1414"/>
    </row>
    <row r="1415" spans="1:28" x14ac:dyDescent="0.55000000000000004">
      <c r="A1415" s="1">
        <f t="shared" si="319"/>
        <v>1415</v>
      </c>
      <c r="B1415" t="s">
        <v>31</v>
      </c>
      <c r="C1415" t="s">
        <v>200</v>
      </c>
      <c r="D1415" t="s">
        <v>133</v>
      </c>
      <c r="E1415" t="s">
        <v>353</v>
      </c>
      <c r="F1415" t="s">
        <v>357</v>
      </c>
      <c r="G1415" t="s">
        <v>139</v>
      </c>
      <c r="I1415" t="s">
        <v>147</v>
      </c>
      <c r="K1415" t="s">
        <v>143</v>
      </c>
      <c r="M1415" t="s">
        <v>47</v>
      </c>
      <c r="N1415" s="1" t="e">
        <f t="shared" si="320"/>
        <v>#VALUE!</v>
      </c>
      <c r="O1415" s="1" t="e">
        <f t="shared" si="321"/>
        <v>#VALUE!</v>
      </c>
      <c r="P1415" s="1" t="e">
        <f t="shared" si="322"/>
        <v>#VALUE!</v>
      </c>
      <c r="Q1415" s="1" t="e">
        <f t="shared" si="323"/>
        <v>#VALUE!</v>
      </c>
      <c r="R1415" s="1" t="e">
        <f t="shared" si="324"/>
        <v>#VALUE!</v>
      </c>
      <c r="S1415" s="1" t="e">
        <f t="shared" si="325"/>
        <v>#VALUE!</v>
      </c>
      <c r="T1415" s="1" t="e">
        <f t="shared" si="326"/>
        <v>#VALUE!</v>
      </c>
      <c r="U1415" s="26" t="e">
        <f t="shared" si="327"/>
        <v>#VALUE!</v>
      </c>
      <c r="V1415" s="26" t="e">
        <f t="shared" si="328"/>
        <v>#VALUE!</v>
      </c>
      <c r="W1415" s="1" t="e">
        <f t="shared" si="329"/>
        <v>#VALUE!</v>
      </c>
      <c r="X1415" s="26" t="e">
        <f t="shared" si="330"/>
        <v>#VALUE!</v>
      </c>
      <c r="Y1415" s="26" t="e">
        <f t="shared" si="331"/>
        <v>#VALUE!</v>
      </c>
      <c r="Z1415" s="1" t="e">
        <f t="shared" si="332"/>
        <v>#VALUE!</v>
      </c>
      <c r="AA1415"/>
      <c r="AB1415"/>
    </row>
    <row r="1416" spans="1:28" x14ac:dyDescent="0.55000000000000004">
      <c r="A1416" s="1">
        <f t="shared" si="319"/>
        <v>1416</v>
      </c>
      <c r="B1416" t="s">
        <v>31</v>
      </c>
      <c r="C1416" t="s">
        <v>200</v>
      </c>
      <c r="D1416" t="s">
        <v>133</v>
      </c>
      <c r="E1416" t="s">
        <v>353</v>
      </c>
      <c r="F1416" t="s">
        <v>274</v>
      </c>
      <c r="G1416" t="s">
        <v>142</v>
      </c>
      <c r="I1416" t="s">
        <v>138</v>
      </c>
      <c r="K1416" t="s">
        <v>160</v>
      </c>
      <c r="M1416" t="s">
        <v>47</v>
      </c>
      <c r="N1416" s="1" t="e">
        <f t="shared" si="320"/>
        <v>#VALUE!</v>
      </c>
      <c r="O1416" s="1" t="e">
        <f t="shared" si="321"/>
        <v>#VALUE!</v>
      </c>
      <c r="P1416" s="1" t="e">
        <f t="shared" si="322"/>
        <v>#VALUE!</v>
      </c>
      <c r="Q1416" s="1" t="e">
        <f t="shared" si="323"/>
        <v>#VALUE!</v>
      </c>
      <c r="R1416" s="1" t="e">
        <f t="shared" si="324"/>
        <v>#VALUE!</v>
      </c>
      <c r="S1416" s="1" t="e">
        <f t="shared" si="325"/>
        <v>#VALUE!</v>
      </c>
      <c r="T1416" s="1" t="e">
        <f t="shared" si="326"/>
        <v>#VALUE!</v>
      </c>
      <c r="U1416" s="26" t="e">
        <f t="shared" si="327"/>
        <v>#VALUE!</v>
      </c>
      <c r="V1416" s="26" t="e">
        <f t="shared" si="328"/>
        <v>#VALUE!</v>
      </c>
      <c r="W1416" s="1" t="e">
        <f t="shared" si="329"/>
        <v>#VALUE!</v>
      </c>
      <c r="X1416" s="26" t="e">
        <f t="shared" si="330"/>
        <v>#VALUE!</v>
      </c>
      <c r="Y1416" s="26" t="e">
        <f t="shared" si="331"/>
        <v>#VALUE!</v>
      </c>
      <c r="Z1416" s="1" t="e">
        <f t="shared" si="332"/>
        <v>#VALUE!</v>
      </c>
      <c r="AA1416"/>
      <c r="AB1416"/>
    </row>
    <row r="1417" spans="1:28" x14ac:dyDescent="0.55000000000000004">
      <c r="A1417" s="1">
        <f t="shared" si="319"/>
        <v>1417</v>
      </c>
      <c r="B1417" t="s">
        <v>33</v>
      </c>
      <c r="C1417" t="s">
        <v>69</v>
      </c>
      <c r="D1417" t="s">
        <v>133</v>
      </c>
      <c r="E1417" t="s">
        <v>353</v>
      </c>
      <c r="F1417" t="s">
        <v>372</v>
      </c>
      <c r="G1417" t="s">
        <v>285</v>
      </c>
      <c r="I1417" t="s">
        <v>287</v>
      </c>
      <c r="K1417" t="s">
        <v>359</v>
      </c>
      <c r="M1417" t="s">
        <v>47</v>
      </c>
      <c r="N1417" s="1" t="e">
        <f t="shared" si="320"/>
        <v>#VALUE!</v>
      </c>
      <c r="O1417" s="1" t="e">
        <f t="shared" si="321"/>
        <v>#VALUE!</v>
      </c>
      <c r="P1417" s="1" t="e">
        <f t="shared" si="322"/>
        <v>#VALUE!</v>
      </c>
      <c r="Q1417" s="1" t="e">
        <f t="shared" si="323"/>
        <v>#VALUE!</v>
      </c>
      <c r="R1417" s="1" t="e">
        <f t="shared" si="324"/>
        <v>#VALUE!</v>
      </c>
      <c r="S1417" s="1" t="e">
        <f t="shared" si="325"/>
        <v>#VALUE!</v>
      </c>
      <c r="T1417" s="1" t="e">
        <f t="shared" si="326"/>
        <v>#VALUE!</v>
      </c>
      <c r="U1417" s="26" t="e">
        <f t="shared" si="327"/>
        <v>#VALUE!</v>
      </c>
      <c r="V1417" s="26" t="e">
        <f t="shared" si="328"/>
        <v>#VALUE!</v>
      </c>
      <c r="W1417" s="1" t="e">
        <f t="shared" si="329"/>
        <v>#VALUE!</v>
      </c>
      <c r="X1417" s="26" t="e">
        <f t="shared" si="330"/>
        <v>#VALUE!</v>
      </c>
      <c r="Y1417" s="26" t="e">
        <f t="shared" si="331"/>
        <v>#VALUE!</v>
      </c>
      <c r="Z1417" s="1" t="e">
        <f t="shared" si="332"/>
        <v>#VALUE!</v>
      </c>
      <c r="AA1417"/>
      <c r="AB1417"/>
    </row>
    <row r="1418" spans="1:28" x14ac:dyDescent="0.55000000000000004">
      <c r="A1418" s="1">
        <f t="shared" si="319"/>
        <v>1418</v>
      </c>
      <c r="B1418" t="s">
        <v>33</v>
      </c>
      <c r="C1418" t="s">
        <v>69</v>
      </c>
      <c r="D1418" t="s">
        <v>133</v>
      </c>
      <c r="E1418" t="s">
        <v>353</v>
      </c>
      <c r="F1418" t="s">
        <v>364</v>
      </c>
      <c r="G1418" t="s">
        <v>296</v>
      </c>
      <c r="I1418" t="s">
        <v>365</v>
      </c>
      <c r="K1418" t="s">
        <v>297</v>
      </c>
      <c r="M1418" t="s">
        <v>47</v>
      </c>
      <c r="N1418" s="1" t="e">
        <f t="shared" si="320"/>
        <v>#VALUE!</v>
      </c>
      <c r="O1418" s="1" t="e">
        <f t="shared" si="321"/>
        <v>#VALUE!</v>
      </c>
      <c r="P1418" s="1" t="e">
        <f t="shared" si="322"/>
        <v>#VALUE!</v>
      </c>
      <c r="Q1418" s="1" t="e">
        <f t="shared" si="323"/>
        <v>#VALUE!</v>
      </c>
      <c r="R1418" s="1" t="e">
        <f t="shared" si="324"/>
        <v>#VALUE!</v>
      </c>
      <c r="S1418" s="1" t="e">
        <f t="shared" si="325"/>
        <v>#VALUE!</v>
      </c>
      <c r="T1418" s="1" t="e">
        <f t="shared" si="326"/>
        <v>#VALUE!</v>
      </c>
      <c r="U1418" s="26" t="e">
        <f t="shared" si="327"/>
        <v>#VALUE!</v>
      </c>
      <c r="V1418" s="26" t="e">
        <f t="shared" si="328"/>
        <v>#VALUE!</v>
      </c>
      <c r="W1418" s="1" t="e">
        <f t="shared" si="329"/>
        <v>#VALUE!</v>
      </c>
      <c r="X1418" s="26" t="e">
        <f t="shared" si="330"/>
        <v>#VALUE!</v>
      </c>
      <c r="Y1418" s="26" t="e">
        <f t="shared" si="331"/>
        <v>#VALUE!</v>
      </c>
      <c r="Z1418" s="1" t="e">
        <f t="shared" si="332"/>
        <v>#VALUE!</v>
      </c>
      <c r="AA1418"/>
      <c r="AB1418"/>
    </row>
    <row r="1419" spans="1:28" x14ac:dyDescent="0.55000000000000004">
      <c r="A1419" s="1">
        <f t="shared" si="319"/>
        <v>1419</v>
      </c>
      <c r="B1419" t="s">
        <v>33</v>
      </c>
      <c r="C1419" t="s">
        <v>69</v>
      </c>
      <c r="D1419" t="s">
        <v>133</v>
      </c>
      <c r="E1419" t="s">
        <v>353</v>
      </c>
      <c r="F1419" t="s">
        <v>364</v>
      </c>
      <c r="G1419" t="s">
        <v>299</v>
      </c>
      <c r="I1419" t="s">
        <v>291</v>
      </c>
      <c r="K1419" t="s">
        <v>366</v>
      </c>
      <c r="M1419" t="s">
        <v>47</v>
      </c>
      <c r="N1419" s="1" t="e">
        <f t="shared" si="320"/>
        <v>#VALUE!</v>
      </c>
      <c r="O1419" s="1" t="e">
        <f t="shared" si="321"/>
        <v>#VALUE!</v>
      </c>
      <c r="P1419" s="1" t="e">
        <f t="shared" si="322"/>
        <v>#VALUE!</v>
      </c>
      <c r="Q1419" s="1" t="e">
        <f t="shared" si="323"/>
        <v>#VALUE!</v>
      </c>
      <c r="R1419" s="1" t="e">
        <f t="shared" si="324"/>
        <v>#VALUE!</v>
      </c>
      <c r="S1419" s="1" t="e">
        <f t="shared" si="325"/>
        <v>#VALUE!</v>
      </c>
      <c r="T1419" s="1" t="e">
        <f t="shared" si="326"/>
        <v>#VALUE!</v>
      </c>
      <c r="U1419" s="26" t="e">
        <f t="shared" si="327"/>
        <v>#VALUE!</v>
      </c>
      <c r="V1419" s="26" t="e">
        <f t="shared" si="328"/>
        <v>#VALUE!</v>
      </c>
      <c r="W1419" s="1" t="e">
        <f t="shared" si="329"/>
        <v>#VALUE!</v>
      </c>
      <c r="X1419" s="26" t="e">
        <f t="shared" si="330"/>
        <v>#VALUE!</v>
      </c>
      <c r="Y1419" s="26" t="e">
        <f t="shared" si="331"/>
        <v>#VALUE!</v>
      </c>
      <c r="Z1419" s="1" t="e">
        <f t="shared" si="332"/>
        <v>#VALUE!</v>
      </c>
      <c r="AA1419"/>
      <c r="AB1419"/>
    </row>
    <row r="1420" spans="1:28" x14ac:dyDescent="0.55000000000000004">
      <c r="A1420" s="1">
        <f t="shared" si="319"/>
        <v>1420</v>
      </c>
      <c r="B1420" t="s">
        <v>33</v>
      </c>
      <c r="C1420" t="s">
        <v>69</v>
      </c>
      <c r="D1420" t="s">
        <v>133</v>
      </c>
      <c r="E1420" t="s">
        <v>353</v>
      </c>
      <c r="F1420" t="s">
        <v>277</v>
      </c>
      <c r="G1420" t="s">
        <v>367</v>
      </c>
      <c r="I1420" t="s">
        <v>362</v>
      </c>
      <c r="K1420" t="s">
        <v>368</v>
      </c>
      <c r="M1420" t="s">
        <v>47</v>
      </c>
      <c r="N1420" s="1" t="e">
        <f t="shared" si="320"/>
        <v>#VALUE!</v>
      </c>
      <c r="O1420" s="1" t="e">
        <f t="shared" si="321"/>
        <v>#VALUE!</v>
      </c>
      <c r="P1420" s="1" t="e">
        <f t="shared" si="322"/>
        <v>#VALUE!</v>
      </c>
      <c r="Q1420" s="1" t="e">
        <f t="shared" si="323"/>
        <v>#VALUE!</v>
      </c>
      <c r="R1420" s="1" t="e">
        <f t="shared" si="324"/>
        <v>#VALUE!</v>
      </c>
      <c r="S1420" s="1" t="e">
        <f t="shared" si="325"/>
        <v>#VALUE!</v>
      </c>
      <c r="T1420" s="1" t="e">
        <f t="shared" si="326"/>
        <v>#VALUE!</v>
      </c>
      <c r="U1420" s="26" t="e">
        <f t="shared" si="327"/>
        <v>#VALUE!</v>
      </c>
      <c r="V1420" s="26" t="e">
        <f t="shared" si="328"/>
        <v>#VALUE!</v>
      </c>
      <c r="W1420" s="1" t="e">
        <f t="shared" si="329"/>
        <v>#VALUE!</v>
      </c>
      <c r="X1420" s="26" t="e">
        <f t="shared" si="330"/>
        <v>#VALUE!</v>
      </c>
      <c r="Y1420" s="26" t="e">
        <f t="shared" si="331"/>
        <v>#VALUE!</v>
      </c>
      <c r="Z1420" s="1" t="e">
        <f t="shared" si="332"/>
        <v>#VALUE!</v>
      </c>
      <c r="AA1420"/>
      <c r="AB1420"/>
    </row>
    <row r="1421" spans="1:28" x14ac:dyDescent="0.55000000000000004">
      <c r="A1421" s="1">
        <f t="shared" si="319"/>
        <v>1421</v>
      </c>
      <c r="B1421" t="s">
        <v>33</v>
      </c>
      <c r="C1421" t="s">
        <v>69</v>
      </c>
      <c r="D1421" t="s">
        <v>133</v>
      </c>
      <c r="E1421" t="s">
        <v>353</v>
      </c>
      <c r="F1421" t="s">
        <v>277</v>
      </c>
      <c r="G1421" t="s">
        <v>360</v>
      </c>
      <c r="I1421" t="s">
        <v>284</v>
      </c>
      <c r="K1421" t="s">
        <v>371</v>
      </c>
      <c r="M1421" t="s">
        <v>47</v>
      </c>
      <c r="N1421" s="1" t="e">
        <f t="shared" si="320"/>
        <v>#VALUE!</v>
      </c>
      <c r="O1421" s="1" t="e">
        <f t="shared" si="321"/>
        <v>#VALUE!</v>
      </c>
      <c r="P1421" s="1" t="e">
        <f t="shared" si="322"/>
        <v>#VALUE!</v>
      </c>
      <c r="Q1421" s="1" t="e">
        <f t="shared" si="323"/>
        <v>#VALUE!</v>
      </c>
      <c r="R1421" s="1" t="e">
        <f t="shared" si="324"/>
        <v>#VALUE!</v>
      </c>
      <c r="S1421" s="1" t="e">
        <f t="shared" si="325"/>
        <v>#VALUE!</v>
      </c>
      <c r="T1421" s="1" t="e">
        <f t="shared" si="326"/>
        <v>#VALUE!</v>
      </c>
      <c r="U1421" s="26" t="e">
        <f t="shared" si="327"/>
        <v>#VALUE!</v>
      </c>
      <c r="V1421" s="26" t="e">
        <f t="shared" si="328"/>
        <v>#VALUE!</v>
      </c>
      <c r="W1421" s="1" t="e">
        <f t="shared" si="329"/>
        <v>#VALUE!</v>
      </c>
      <c r="X1421" s="26" t="e">
        <f t="shared" si="330"/>
        <v>#VALUE!</v>
      </c>
      <c r="Y1421" s="26" t="e">
        <f t="shared" si="331"/>
        <v>#VALUE!</v>
      </c>
      <c r="Z1421" s="1" t="e">
        <f t="shared" si="332"/>
        <v>#VALUE!</v>
      </c>
      <c r="AA1421"/>
      <c r="AB1421"/>
    </row>
    <row r="1422" spans="1:28" x14ac:dyDescent="0.55000000000000004">
      <c r="A1422" s="1">
        <f t="shared" si="319"/>
        <v>1422</v>
      </c>
      <c r="B1422" t="s">
        <v>33</v>
      </c>
      <c r="C1422" t="s">
        <v>69</v>
      </c>
      <c r="D1422" t="s">
        <v>133</v>
      </c>
      <c r="E1422" t="s">
        <v>353</v>
      </c>
      <c r="F1422" t="s">
        <v>290</v>
      </c>
      <c r="G1422" t="s">
        <v>278</v>
      </c>
      <c r="I1422" t="s">
        <v>292</v>
      </c>
      <c r="K1422" t="s">
        <v>280</v>
      </c>
      <c r="M1422" t="s">
        <v>47</v>
      </c>
      <c r="N1422" s="1" t="e">
        <f t="shared" si="320"/>
        <v>#VALUE!</v>
      </c>
      <c r="O1422" s="1" t="e">
        <f t="shared" si="321"/>
        <v>#VALUE!</v>
      </c>
      <c r="P1422" s="1" t="e">
        <f t="shared" si="322"/>
        <v>#VALUE!</v>
      </c>
      <c r="Q1422" s="1" t="e">
        <f t="shared" si="323"/>
        <v>#VALUE!</v>
      </c>
      <c r="R1422" s="1" t="e">
        <f t="shared" si="324"/>
        <v>#VALUE!</v>
      </c>
      <c r="S1422" s="1" t="e">
        <f t="shared" si="325"/>
        <v>#VALUE!</v>
      </c>
      <c r="T1422" s="1" t="e">
        <f t="shared" si="326"/>
        <v>#VALUE!</v>
      </c>
      <c r="U1422" s="26" t="e">
        <f t="shared" si="327"/>
        <v>#VALUE!</v>
      </c>
      <c r="V1422" s="26" t="e">
        <f t="shared" si="328"/>
        <v>#VALUE!</v>
      </c>
      <c r="W1422" s="1" t="e">
        <f t="shared" si="329"/>
        <v>#VALUE!</v>
      </c>
      <c r="X1422" s="26" t="e">
        <f t="shared" si="330"/>
        <v>#VALUE!</v>
      </c>
      <c r="Y1422" s="26" t="e">
        <f t="shared" si="331"/>
        <v>#VALUE!</v>
      </c>
      <c r="Z1422" s="1" t="e">
        <f t="shared" si="332"/>
        <v>#VALUE!</v>
      </c>
      <c r="AA1422"/>
      <c r="AB1422"/>
    </row>
    <row r="1423" spans="1:28" x14ac:dyDescent="0.55000000000000004">
      <c r="A1423" s="1">
        <f t="shared" si="319"/>
        <v>1423</v>
      </c>
      <c r="B1423" t="s">
        <v>35</v>
      </c>
      <c r="C1423" t="s">
        <v>124</v>
      </c>
      <c r="D1423" t="s">
        <v>133</v>
      </c>
      <c r="E1423" t="s">
        <v>353</v>
      </c>
      <c r="F1423" t="s">
        <v>376</v>
      </c>
      <c r="G1423" t="s">
        <v>214</v>
      </c>
      <c r="I1423" t="s">
        <v>383</v>
      </c>
      <c r="K1423" t="s">
        <v>301</v>
      </c>
      <c r="M1423" t="s">
        <v>47</v>
      </c>
      <c r="N1423" s="1" t="e">
        <f t="shared" si="320"/>
        <v>#VALUE!</v>
      </c>
      <c r="O1423" s="1" t="e">
        <f t="shared" si="321"/>
        <v>#VALUE!</v>
      </c>
      <c r="P1423" s="1" t="e">
        <f t="shared" si="322"/>
        <v>#VALUE!</v>
      </c>
      <c r="Q1423" s="1" t="e">
        <f t="shared" si="323"/>
        <v>#VALUE!</v>
      </c>
      <c r="R1423" s="1" t="e">
        <f t="shared" si="324"/>
        <v>#VALUE!</v>
      </c>
      <c r="S1423" s="1" t="e">
        <f t="shared" si="325"/>
        <v>#VALUE!</v>
      </c>
      <c r="T1423" s="1" t="e">
        <f t="shared" si="326"/>
        <v>#VALUE!</v>
      </c>
      <c r="U1423" s="26" t="e">
        <f t="shared" si="327"/>
        <v>#VALUE!</v>
      </c>
      <c r="V1423" s="26" t="e">
        <f t="shared" si="328"/>
        <v>#VALUE!</v>
      </c>
      <c r="W1423" s="1" t="e">
        <f t="shared" si="329"/>
        <v>#VALUE!</v>
      </c>
      <c r="X1423" s="26" t="e">
        <f t="shared" si="330"/>
        <v>#VALUE!</v>
      </c>
      <c r="Y1423" s="26" t="e">
        <f t="shared" si="331"/>
        <v>#VALUE!</v>
      </c>
      <c r="Z1423" s="1" t="e">
        <f t="shared" si="332"/>
        <v>#VALUE!</v>
      </c>
      <c r="AA1423"/>
      <c r="AB1423"/>
    </row>
    <row r="1424" spans="1:28" x14ac:dyDescent="0.55000000000000004">
      <c r="A1424" s="1">
        <f t="shared" si="319"/>
        <v>1424</v>
      </c>
      <c r="B1424" t="s">
        <v>35</v>
      </c>
      <c r="C1424" t="s">
        <v>124</v>
      </c>
      <c r="D1424" t="s">
        <v>133</v>
      </c>
      <c r="E1424" t="s">
        <v>353</v>
      </c>
      <c r="F1424" t="s">
        <v>375</v>
      </c>
      <c r="G1424" t="s">
        <v>208</v>
      </c>
      <c r="I1424" t="s">
        <v>306</v>
      </c>
      <c r="K1424" t="s">
        <v>381</v>
      </c>
      <c r="M1424" t="s">
        <v>47</v>
      </c>
      <c r="N1424" s="1" t="e">
        <f t="shared" si="320"/>
        <v>#VALUE!</v>
      </c>
      <c r="O1424" s="1" t="e">
        <f t="shared" si="321"/>
        <v>#VALUE!</v>
      </c>
      <c r="P1424" s="1" t="e">
        <f t="shared" si="322"/>
        <v>#VALUE!</v>
      </c>
      <c r="Q1424" s="1" t="e">
        <f t="shared" si="323"/>
        <v>#VALUE!</v>
      </c>
      <c r="R1424" s="1" t="e">
        <f t="shared" si="324"/>
        <v>#VALUE!</v>
      </c>
      <c r="S1424" s="1" t="e">
        <f t="shared" si="325"/>
        <v>#VALUE!</v>
      </c>
      <c r="T1424" s="1" t="e">
        <f t="shared" si="326"/>
        <v>#VALUE!</v>
      </c>
      <c r="U1424" s="26" t="e">
        <f t="shared" si="327"/>
        <v>#VALUE!</v>
      </c>
      <c r="V1424" s="26" t="e">
        <f t="shared" si="328"/>
        <v>#VALUE!</v>
      </c>
      <c r="W1424" s="1" t="e">
        <f t="shared" si="329"/>
        <v>#VALUE!</v>
      </c>
      <c r="X1424" s="26" t="e">
        <f t="shared" si="330"/>
        <v>#VALUE!</v>
      </c>
      <c r="Y1424" s="26" t="e">
        <f t="shared" si="331"/>
        <v>#VALUE!</v>
      </c>
      <c r="Z1424" s="1" t="e">
        <f t="shared" si="332"/>
        <v>#VALUE!</v>
      </c>
      <c r="AA1424"/>
      <c r="AB1424"/>
    </row>
    <row r="1425" spans="1:28" x14ac:dyDescent="0.55000000000000004">
      <c r="A1425" s="1">
        <f t="shared" si="319"/>
        <v>1425</v>
      </c>
      <c r="B1425" t="s">
        <v>39</v>
      </c>
      <c r="C1425" t="s">
        <v>176</v>
      </c>
      <c r="D1425" t="s">
        <v>133</v>
      </c>
      <c r="E1425" t="s">
        <v>353</v>
      </c>
      <c r="F1425" t="s">
        <v>218</v>
      </c>
      <c r="G1425" t="s">
        <v>234</v>
      </c>
      <c r="I1425" t="s">
        <v>235</v>
      </c>
      <c r="K1425" t="s">
        <v>236</v>
      </c>
      <c r="M1425" t="s">
        <v>47</v>
      </c>
      <c r="N1425" s="1" t="e">
        <f t="shared" si="320"/>
        <v>#VALUE!</v>
      </c>
      <c r="O1425" s="1" t="e">
        <f t="shared" si="321"/>
        <v>#VALUE!</v>
      </c>
      <c r="P1425" s="1" t="e">
        <f t="shared" si="322"/>
        <v>#VALUE!</v>
      </c>
      <c r="Q1425" s="1" t="e">
        <f t="shared" si="323"/>
        <v>#VALUE!</v>
      </c>
      <c r="R1425" s="1" t="e">
        <f t="shared" si="324"/>
        <v>#VALUE!</v>
      </c>
      <c r="S1425" s="1" t="e">
        <f t="shared" si="325"/>
        <v>#VALUE!</v>
      </c>
      <c r="T1425" s="1" t="e">
        <f t="shared" si="326"/>
        <v>#VALUE!</v>
      </c>
      <c r="U1425" s="26" t="e">
        <f t="shared" si="327"/>
        <v>#VALUE!</v>
      </c>
      <c r="V1425" s="26" t="e">
        <f t="shared" si="328"/>
        <v>#VALUE!</v>
      </c>
      <c r="W1425" s="1" t="e">
        <f t="shared" si="329"/>
        <v>#VALUE!</v>
      </c>
      <c r="X1425" s="26" t="e">
        <f t="shared" si="330"/>
        <v>#VALUE!</v>
      </c>
      <c r="Y1425" s="26" t="e">
        <f t="shared" si="331"/>
        <v>#VALUE!</v>
      </c>
      <c r="Z1425" s="1" t="e">
        <f t="shared" si="332"/>
        <v>#VALUE!</v>
      </c>
      <c r="AA1425"/>
      <c r="AB1425"/>
    </row>
    <row r="1426" spans="1:28" x14ac:dyDescent="0.55000000000000004">
      <c r="A1426" s="1">
        <f t="shared" si="319"/>
        <v>1426</v>
      </c>
      <c r="B1426" t="s">
        <v>39</v>
      </c>
      <c r="C1426" t="s">
        <v>176</v>
      </c>
      <c r="D1426" t="s">
        <v>133</v>
      </c>
      <c r="E1426" t="s">
        <v>353</v>
      </c>
      <c r="F1426" t="s">
        <v>218</v>
      </c>
      <c r="G1426" t="s">
        <v>222</v>
      </c>
      <c r="I1426" t="s">
        <v>232</v>
      </c>
      <c r="K1426" t="s">
        <v>224</v>
      </c>
      <c r="M1426" t="s">
        <v>47</v>
      </c>
      <c r="N1426" s="1" t="e">
        <f t="shared" si="320"/>
        <v>#VALUE!</v>
      </c>
      <c r="O1426" s="1" t="e">
        <f t="shared" si="321"/>
        <v>#VALUE!</v>
      </c>
      <c r="P1426" s="1" t="e">
        <f t="shared" si="322"/>
        <v>#VALUE!</v>
      </c>
      <c r="Q1426" s="1" t="e">
        <f t="shared" si="323"/>
        <v>#VALUE!</v>
      </c>
      <c r="R1426" s="1" t="e">
        <f t="shared" si="324"/>
        <v>#VALUE!</v>
      </c>
      <c r="S1426" s="1" t="e">
        <f t="shared" si="325"/>
        <v>#VALUE!</v>
      </c>
      <c r="T1426" s="1" t="e">
        <f t="shared" si="326"/>
        <v>#VALUE!</v>
      </c>
      <c r="U1426" s="26" t="e">
        <f t="shared" si="327"/>
        <v>#VALUE!</v>
      </c>
      <c r="V1426" s="26" t="e">
        <f t="shared" si="328"/>
        <v>#VALUE!</v>
      </c>
      <c r="W1426" s="1" t="e">
        <f t="shared" si="329"/>
        <v>#VALUE!</v>
      </c>
      <c r="X1426" s="26" t="e">
        <f t="shared" si="330"/>
        <v>#VALUE!</v>
      </c>
      <c r="Y1426" s="26" t="e">
        <f t="shared" si="331"/>
        <v>#VALUE!</v>
      </c>
      <c r="Z1426" s="1" t="e">
        <f t="shared" si="332"/>
        <v>#VALUE!</v>
      </c>
      <c r="AA1426"/>
      <c r="AB1426"/>
    </row>
    <row r="1427" spans="1:28" x14ac:dyDescent="0.55000000000000004">
      <c r="A1427" s="1">
        <f t="shared" si="319"/>
        <v>1427</v>
      </c>
      <c r="B1427" t="s">
        <v>30</v>
      </c>
      <c r="C1427" t="s">
        <v>124</v>
      </c>
      <c r="D1427" t="s">
        <v>42</v>
      </c>
      <c r="E1427" t="s">
        <v>405</v>
      </c>
      <c r="F1427" t="s">
        <v>380</v>
      </c>
      <c r="G1427" t="s">
        <v>63</v>
      </c>
      <c r="I1427" t="s">
        <v>58</v>
      </c>
      <c r="K1427" t="s">
        <v>65</v>
      </c>
      <c r="M1427" t="s">
        <v>47</v>
      </c>
      <c r="N1427" s="1" t="e">
        <f t="shared" si="320"/>
        <v>#VALUE!</v>
      </c>
      <c r="O1427" s="1" t="e">
        <f t="shared" si="321"/>
        <v>#VALUE!</v>
      </c>
      <c r="P1427" s="1" t="e">
        <f t="shared" si="322"/>
        <v>#VALUE!</v>
      </c>
      <c r="Q1427" s="1" t="e">
        <f t="shared" si="323"/>
        <v>#VALUE!</v>
      </c>
      <c r="R1427" s="1" t="e">
        <f t="shared" si="324"/>
        <v>#VALUE!</v>
      </c>
      <c r="S1427" s="1" t="e">
        <f t="shared" si="325"/>
        <v>#VALUE!</v>
      </c>
      <c r="T1427" s="1" t="e">
        <f t="shared" si="326"/>
        <v>#VALUE!</v>
      </c>
      <c r="U1427" s="26" t="e">
        <f t="shared" si="327"/>
        <v>#VALUE!</v>
      </c>
      <c r="V1427" s="26" t="e">
        <f t="shared" si="328"/>
        <v>#VALUE!</v>
      </c>
      <c r="W1427" s="1" t="e">
        <f t="shared" si="329"/>
        <v>#VALUE!</v>
      </c>
      <c r="X1427" s="26" t="e">
        <f t="shared" si="330"/>
        <v>#VALUE!</v>
      </c>
      <c r="Y1427" s="26" t="e">
        <f t="shared" si="331"/>
        <v>#VALUE!</v>
      </c>
      <c r="Z1427" s="1" t="e">
        <f t="shared" si="332"/>
        <v>#VALUE!</v>
      </c>
      <c r="AA1427"/>
      <c r="AB1427"/>
    </row>
    <row r="1428" spans="1:28" x14ac:dyDescent="0.55000000000000004">
      <c r="A1428" s="1">
        <f t="shared" si="319"/>
        <v>1428</v>
      </c>
      <c r="B1428" t="s">
        <v>30</v>
      </c>
      <c r="C1428" t="s">
        <v>124</v>
      </c>
      <c r="D1428" t="s">
        <v>42</v>
      </c>
      <c r="E1428" t="s">
        <v>405</v>
      </c>
      <c r="F1428" t="s">
        <v>400</v>
      </c>
      <c r="G1428" t="s">
        <v>64</v>
      </c>
      <c r="I1428" t="s">
        <v>60</v>
      </c>
      <c r="K1428" t="s">
        <v>62</v>
      </c>
      <c r="M1428" t="s">
        <v>47</v>
      </c>
      <c r="N1428" s="1" t="e">
        <f t="shared" si="320"/>
        <v>#VALUE!</v>
      </c>
      <c r="O1428" s="1" t="e">
        <f t="shared" si="321"/>
        <v>#VALUE!</v>
      </c>
      <c r="P1428" s="1" t="e">
        <f t="shared" si="322"/>
        <v>#VALUE!</v>
      </c>
      <c r="Q1428" s="1" t="e">
        <f t="shared" si="323"/>
        <v>#VALUE!</v>
      </c>
      <c r="R1428" s="1" t="e">
        <f t="shared" si="324"/>
        <v>#VALUE!</v>
      </c>
      <c r="S1428" s="1" t="e">
        <f t="shared" si="325"/>
        <v>#VALUE!</v>
      </c>
      <c r="T1428" s="1" t="e">
        <f t="shared" si="326"/>
        <v>#VALUE!</v>
      </c>
      <c r="U1428" s="26" t="e">
        <f t="shared" si="327"/>
        <v>#VALUE!</v>
      </c>
      <c r="V1428" s="26" t="e">
        <f t="shared" si="328"/>
        <v>#VALUE!</v>
      </c>
      <c r="W1428" s="1" t="e">
        <f t="shared" si="329"/>
        <v>#VALUE!</v>
      </c>
      <c r="X1428" s="26" t="e">
        <f t="shared" si="330"/>
        <v>#VALUE!</v>
      </c>
      <c r="Y1428" s="26" t="e">
        <f t="shared" si="331"/>
        <v>#VALUE!</v>
      </c>
      <c r="Z1428" s="1" t="e">
        <f t="shared" si="332"/>
        <v>#VALUE!</v>
      </c>
      <c r="AA1428"/>
      <c r="AB1428"/>
    </row>
    <row r="1429" spans="1:28" x14ac:dyDescent="0.55000000000000004">
      <c r="A1429" s="1">
        <f t="shared" si="319"/>
        <v>1429</v>
      </c>
      <c r="B1429" t="s">
        <v>31</v>
      </c>
      <c r="C1429" t="s">
        <v>200</v>
      </c>
      <c r="D1429" t="s">
        <v>42</v>
      </c>
      <c r="E1429" t="s">
        <v>405</v>
      </c>
      <c r="F1429" t="s">
        <v>181</v>
      </c>
      <c r="G1429" t="s">
        <v>145</v>
      </c>
      <c r="I1429" t="s">
        <v>150</v>
      </c>
      <c r="K1429" t="s">
        <v>155</v>
      </c>
      <c r="M1429" t="s">
        <v>47</v>
      </c>
      <c r="N1429" s="1" t="e">
        <f t="shared" si="320"/>
        <v>#VALUE!</v>
      </c>
      <c r="O1429" s="1" t="e">
        <f t="shared" si="321"/>
        <v>#VALUE!</v>
      </c>
      <c r="P1429" s="1" t="e">
        <f t="shared" si="322"/>
        <v>#VALUE!</v>
      </c>
      <c r="Q1429" s="1" t="e">
        <f t="shared" si="323"/>
        <v>#VALUE!</v>
      </c>
      <c r="R1429" s="1" t="e">
        <f t="shared" si="324"/>
        <v>#VALUE!</v>
      </c>
      <c r="S1429" s="1" t="e">
        <f t="shared" si="325"/>
        <v>#VALUE!</v>
      </c>
      <c r="T1429" s="1" t="e">
        <f t="shared" si="326"/>
        <v>#VALUE!</v>
      </c>
      <c r="U1429" s="26" t="e">
        <f t="shared" si="327"/>
        <v>#VALUE!</v>
      </c>
      <c r="V1429" s="26" t="e">
        <f t="shared" si="328"/>
        <v>#VALUE!</v>
      </c>
      <c r="W1429" s="1" t="e">
        <f t="shared" si="329"/>
        <v>#VALUE!</v>
      </c>
      <c r="X1429" s="26" t="e">
        <f t="shared" si="330"/>
        <v>#VALUE!</v>
      </c>
      <c r="Y1429" s="26" t="e">
        <f t="shared" si="331"/>
        <v>#VALUE!</v>
      </c>
      <c r="Z1429" s="1" t="e">
        <f t="shared" si="332"/>
        <v>#VALUE!</v>
      </c>
      <c r="AA1429"/>
      <c r="AB1429"/>
    </row>
    <row r="1430" spans="1:28" x14ac:dyDescent="0.55000000000000004">
      <c r="A1430" s="1">
        <f t="shared" si="319"/>
        <v>1430</v>
      </c>
      <c r="B1430" t="s">
        <v>34</v>
      </c>
      <c r="C1430" t="s">
        <v>132</v>
      </c>
      <c r="D1430" t="s">
        <v>42</v>
      </c>
      <c r="E1430" t="s">
        <v>405</v>
      </c>
      <c r="F1430" t="s">
        <v>380</v>
      </c>
      <c r="G1430" t="s">
        <v>98</v>
      </c>
      <c r="I1430" t="s">
        <v>89</v>
      </c>
      <c r="K1430" t="s">
        <v>100</v>
      </c>
      <c r="M1430" t="s">
        <v>47</v>
      </c>
      <c r="N1430" s="1" t="e">
        <f t="shared" si="320"/>
        <v>#VALUE!</v>
      </c>
      <c r="O1430" s="1" t="e">
        <f t="shared" si="321"/>
        <v>#VALUE!</v>
      </c>
      <c r="P1430" s="1" t="e">
        <f t="shared" si="322"/>
        <v>#VALUE!</v>
      </c>
      <c r="Q1430" s="1" t="e">
        <f t="shared" si="323"/>
        <v>#VALUE!</v>
      </c>
      <c r="R1430" s="1" t="e">
        <f t="shared" si="324"/>
        <v>#VALUE!</v>
      </c>
      <c r="S1430" s="1" t="e">
        <f t="shared" si="325"/>
        <v>#VALUE!</v>
      </c>
      <c r="T1430" s="1" t="e">
        <f t="shared" si="326"/>
        <v>#VALUE!</v>
      </c>
      <c r="U1430" s="26" t="e">
        <f t="shared" si="327"/>
        <v>#VALUE!</v>
      </c>
      <c r="V1430" s="26" t="e">
        <f t="shared" si="328"/>
        <v>#VALUE!</v>
      </c>
      <c r="W1430" s="1" t="e">
        <f t="shared" si="329"/>
        <v>#VALUE!</v>
      </c>
      <c r="X1430" s="26" t="e">
        <f t="shared" si="330"/>
        <v>#VALUE!</v>
      </c>
      <c r="Y1430" s="26" t="e">
        <f t="shared" si="331"/>
        <v>#VALUE!</v>
      </c>
      <c r="Z1430" s="1" t="e">
        <f t="shared" si="332"/>
        <v>#VALUE!</v>
      </c>
      <c r="AA1430"/>
      <c r="AB1430"/>
    </row>
    <row r="1431" spans="1:28" x14ac:dyDescent="0.55000000000000004">
      <c r="A1431" s="1">
        <f t="shared" si="319"/>
        <v>1431</v>
      </c>
      <c r="B1431" t="s">
        <v>34</v>
      </c>
      <c r="C1431" t="s">
        <v>132</v>
      </c>
      <c r="D1431" t="s">
        <v>42</v>
      </c>
      <c r="E1431" t="s">
        <v>405</v>
      </c>
      <c r="F1431" t="s">
        <v>380</v>
      </c>
      <c r="G1431" t="s">
        <v>95</v>
      </c>
      <c r="I1431" t="s">
        <v>102</v>
      </c>
      <c r="K1431" t="s">
        <v>97</v>
      </c>
      <c r="M1431" t="s">
        <v>47</v>
      </c>
      <c r="N1431" s="1" t="e">
        <f t="shared" si="320"/>
        <v>#VALUE!</v>
      </c>
      <c r="O1431" s="1" t="e">
        <f t="shared" si="321"/>
        <v>#VALUE!</v>
      </c>
      <c r="P1431" s="1" t="e">
        <f t="shared" si="322"/>
        <v>#VALUE!</v>
      </c>
      <c r="Q1431" s="1" t="e">
        <f t="shared" si="323"/>
        <v>#VALUE!</v>
      </c>
      <c r="R1431" s="1" t="e">
        <f t="shared" si="324"/>
        <v>#VALUE!</v>
      </c>
      <c r="S1431" s="1" t="e">
        <f t="shared" si="325"/>
        <v>#VALUE!</v>
      </c>
      <c r="T1431" s="1" t="e">
        <f t="shared" si="326"/>
        <v>#VALUE!</v>
      </c>
      <c r="U1431" s="26" t="e">
        <f t="shared" si="327"/>
        <v>#VALUE!</v>
      </c>
      <c r="V1431" s="26" t="e">
        <f t="shared" si="328"/>
        <v>#VALUE!</v>
      </c>
      <c r="W1431" s="1" t="e">
        <f t="shared" si="329"/>
        <v>#VALUE!</v>
      </c>
      <c r="X1431" s="26" t="e">
        <f t="shared" si="330"/>
        <v>#VALUE!</v>
      </c>
      <c r="Y1431" s="26" t="e">
        <f t="shared" si="331"/>
        <v>#VALUE!</v>
      </c>
      <c r="Z1431" s="1" t="e">
        <f t="shared" si="332"/>
        <v>#VALUE!</v>
      </c>
      <c r="AA1431"/>
      <c r="AB1431"/>
    </row>
    <row r="1432" spans="1:28" x14ac:dyDescent="0.55000000000000004">
      <c r="A1432" s="1">
        <f t="shared" si="319"/>
        <v>1432</v>
      </c>
      <c r="B1432" t="s">
        <v>34</v>
      </c>
      <c r="C1432" t="s">
        <v>132</v>
      </c>
      <c r="D1432" t="s">
        <v>42</v>
      </c>
      <c r="E1432" t="s">
        <v>405</v>
      </c>
      <c r="F1432" t="s">
        <v>376</v>
      </c>
      <c r="G1432" t="s">
        <v>101</v>
      </c>
      <c r="I1432" t="s">
        <v>93</v>
      </c>
      <c r="K1432" t="s">
        <v>103</v>
      </c>
      <c r="M1432" t="s">
        <v>47</v>
      </c>
      <c r="N1432" s="1" t="e">
        <f t="shared" si="320"/>
        <v>#VALUE!</v>
      </c>
      <c r="O1432" s="1" t="e">
        <f t="shared" si="321"/>
        <v>#VALUE!</v>
      </c>
      <c r="P1432" s="1" t="e">
        <f t="shared" si="322"/>
        <v>#VALUE!</v>
      </c>
      <c r="Q1432" s="1" t="e">
        <f t="shared" si="323"/>
        <v>#VALUE!</v>
      </c>
      <c r="R1432" s="1" t="e">
        <f t="shared" si="324"/>
        <v>#VALUE!</v>
      </c>
      <c r="S1432" s="1" t="e">
        <f t="shared" si="325"/>
        <v>#VALUE!</v>
      </c>
      <c r="T1432" s="1" t="e">
        <f t="shared" si="326"/>
        <v>#VALUE!</v>
      </c>
      <c r="U1432" s="26" t="e">
        <f t="shared" si="327"/>
        <v>#VALUE!</v>
      </c>
      <c r="V1432" s="26" t="e">
        <f t="shared" si="328"/>
        <v>#VALUE!</v>
      </c>
      <c r="W1432" s="1" t="e">
        <f t="shared" si="329"/>
        <v>#VALUE!</v>
      </c>
      <c r="X1432" s="26" t="e">
        <f t="shared" si="330"/>
        <v>#VALUE!</v>
      </c>
      <c r="Y1432" s="26" t="e">
        <f t="shared" si="331"/>
        <v>#VALUE!</v>
      </c>
      <c r="Z1432" s="1" t="e">
        <f t="shared" si="332"/>
        <v>#VALUE!</v>
      </c>
      <c r="AA1432"/>
      <c r="AB1432"/>
    </row>
    <row r="1433" spans="1:28" x14ac:dyDescent="0.55000000000000004">
      <c r="A1433" s="1">
        <f t="shared" si="319"/>
        <v>1433</v>
      </c>
      <c r="B1433" t="s">
        <v>34</v>
      </c>
      <c r="C1433" t="s">
        <v>132</v>
      </c>
      <c r="D1433" t="s">
        <v>42</v>
      </c>
      <c r="E1433" t="s">
        <v>405</v>
      </c>
      <c r="F1433" t="s">
        <v>375</v>
      </c>
      <c r="G1433" t="s">
        <v>92</v>
      </c>
      <c r="I1433" t="s">
        <v>90</v>
      </c>
      <c r="K1433" t="s">
        <v>94</v>
      </c>
      <c r="M1433" t="s">
        <v>47</v>
      </c>
      <c r="N1433" s="1" t="e">
        <f t="shared" si="320"/>
        <v>#VALUE!</v>
      </c>
      <c r="O1433" s="1" t="e">
        <f t="shared" si="321"/>
        <v>#VALUE!</v>
      </c>
      <c r="P1433" s="1" t="e">
        <f t="shared" si="322"/>
        <v>#VALUE!</v>
      </c>
      <c r="Q1433" s="1" t="e">
        <f t="shared" si="323"/>
        <v>#VALUE!</v>
      </c>
      <c r="R1433" s="1" t="e">
        <f t="shared" si="324"/>
        <v>#VALUE!</v>
      </c>
      <c r="S1433" s="1" t="e">
        <f t="shared" si="325"/>
        <v>#VALUE!</v>
      </c>
      <c r="T1433" s="1" t="e">
        <f t="shared" si="326"/>
        <v>#VALUE!</v>
      </c>
      <c r="U1433" s="26" t="e">
        <f t="shared" si="327"/>
        <v>#VALUE!</v>
      </c>
      <c r="V1433" s="26" t="e">
        <f t="shared" si="328"/>
        <v>#VALUE!</v>
      </c>
      <c r="W1433" s="1" t="e">
        <f t="shared" si="329"/>
        <v>#VALUE!</v>
      </c>
      <c r="X1433" s="26" t="e">
        <f t="shared" si="330"/>
        <v>#VALUE!</v>
      </c>
      <c r="Y1433" s="26" t="e">
        <f t="shared" si="331"/>
        <v>#VALUE!</v>
      </c>
      <c r="Z1433" s="1" t="e">
        <f t="shared" si="332"/>
        <v>#VALUE!</v>
      </c>
      <c r="AA1433"/>
      <c r="AB1433"/>
    </row>
    <row r="1434" spans="1:28" x14ac:dyDescent="0.55000000000000004">
      <c r="A1434" s="1">
        <f t="shared" si="319"/>
        <v>1434</v>
      </c>
      <c r="B1434" t="s">
        <v>35</v>
      </c>
      <c r="C1434" t="s">
        <v>124</v>
      </c>
      <c r="D1434" t="s">
        <v>42</v>
      </c>
      <c r="E1434" t="s">
        <v>405</v>
      </c>
      <c r="F1434" t="s">
        <v>411</v>
      </c>
      <c r="G1434" t="s">
        <v>204</v>
      </c>
      <c r="I1434" t="s">
        <v>210</v>
      </c>
      <c r="K1434" t="s">
        <v>206</v>
      </c>
      <c r="M1434" t="s">
        <v>47</v>
      </c>
      <c r="N1434" s="1" t="e">
        <f t="shared" si="320"/>
        <v>#VALUE!</v>
      </c>
      <c r="O1434" s="1" t="e">
        <f t="shared" si="321"/>
        <v>#VALUE!</v>
      </c>
      <c r="P1434" s="1" t="e">
        <f t="shared" si="322"/>
        <v>#VALUE!</v>
      </c>
      <c r="Q1434" s="1" t="e">
        <f t="shared" si="323"/>
        <v>#VALUE!</v>
      </c>
      <c r="R1434" s="1" t="e">
        <f t="shared" si="324"/>
        <v>#VALUE!</v>
      </c>
      <c r="S1434" s="1" t="e">
        <f t="shared" si="325"/>
        <v>#VALUE!</v>
      </c>
      <c r="T1434" s="1" t="e">
        <f t="shared" si="326"/>
        <v>#VALUE!</v>
      </c>
      <c r="U1434" s="26" t="e">
        <f t="shared" si="327"/>
        <v>#VALUE!</v>
      </c>
      <c r="V1434" s="26" t="e">
        <f t="shared" si="328"/>
        <v>#VALUE!</v>
      </c>
      <c r="W1434" s="1" t="e">
        <f t="shared" si="329"/>
        <v>#VALUE!</v>
      </c>
      <c r="X1434" s="26" t="e">
        <f t="shared" si="330"/>
        <v>#VALUE!</v>
      </c>
      <c r="Y1434" s="26" t="e">
        <f t="shared" si="331"/>
        <v>#VALUE!</v>
      </c>
      <c r="Z1434" s="1" t="e">
        <f t="shared" si="332"/>
        <v>#VALUE!</v>
      </c>
      <c r="AA1434"/>
      <c r="AB1434"/>
    </row>
    <row r="1435" spans="1:28" x14ac:dyDescent="0.55000000000000004">
      <c r="A1435" s="1">
        <f t="shared" si="319"/>
        <v>1435</v>
      </c>
      <c r="B1435" t="s">
        <v>35</v>
      </c>
      <c r="C1435" t="s">
        <v>124</v>
      </c>
      <c r="D1435" t="s">
        <v>42</v>
      </c>
      <c r="E1435" t="s">
        <v>405</v>
      </c>
      <c r="F1435" t="s">
        <v>412</v>
      </c>
      <c r="G1435" t="s">
        <v>207</v>
      </c>
      <c r="I1435" t="s">
        <v>211</v>
      </c>
      <c r="K1435" t="s">
        <v>209</v>
      </c>
      <c r="M1435" t="s">
        <v>47</v>
      </c>
      <c r="N1435" s="1" t="e">
        <f t="shared" si="320"/>
        <v>#VALUE!</v>
      </c>
      <c r="O1435" s="1" t="e">
        <f t="shared" si="321"/>
        <v>#VALUE!</v>
      </c>
      <c r="P1435" s="1" t="e">
        <f t="shared" si="322"/>
        <v>#VALUE!</v>
      </c>
      <c r="Q1435" s="1" t="e">
        <f t="shared" si="323"/>
        <v>#VALUE!</v>
      </c>
      <c r="R1435" s="1" t="e">
        <f t="shared" si="324"/>
        <v>#VALUE!</v>
      </c>
      <c r="S1435" s="1" t="e">
        <f t="shared" si="325"/>
        <v>#VALUE!</v>
      </c>
      <c r="T1435" s="1" t="e">
        <f t="shared" si="326"/>
        <v>#VALUE!</v>
      </c>
      <c r="U1435" s="26" t="e">
        <f t="shared" si="327"/>
        <v>#VALUE!</v>
      </c>
      <c r="V1435" s="26" t="e">
        <f t="shared" si="328"/>
        <v>#VALUE!</v>
      </c>
      <c r="W1435" s="1" t="e">
        <f t="shared" si="329"/>
        <v>#VALUE!</v>
      </c>
      <c r="X1435" s="26" t="e">
        <f t="shared" si="330"/>
        <v>#VALUE!</v>
      </c>
      <c r="Y1435" s="26" t="e">
        <f t="shared" si="331"/>
        <v>#VALUE!</v>
      </c>
      <c r="Z1435" s="1" t="e">
        <f t="shared" si="332"/>
        <v>#VALUE!</v>
      </c>
      <c r="AA1435"/>
      <c r="AB1435"/>
    </row>
    <row r="1436" spans="1:28" x14ac:dyDescent="0.55000000000000004">
      <c r="A1436" s="1">
        <f t="shared" si="319"/>
        <v>1436</v>
      </c>
      <c r="B1436" t="s">
        <v>39</v>
      </c>
      <c r="C1436" t="s">
        <v>176</v>
      </c>
      <c r="D1436" t="s">
        <v>42</v>
      </c>
      <c r="E1436" t="s">
        <v>405</v>
      </c>
      <c r="F1436" t="s">
        <v>218</v>
      </c>
      <c r="G1436" t="s">
        <v>219</v>
      </c>
      <c r="I1436" t="s">
        <v>226</v>
      </c>
      <c r="K1436" t="s">
        <v>221</v>
      </c>
      <c r="M1436" t="s">
        <v>47</v>
      </c>
      <c r="N1436" s="1" t="e">
        <f t="shared" si="320"/>
        <v>#VALUE!</v>
      </c>
      <c r="O1436" s="1" t="e">
        <f t="shared" si="321"/>
        <v>#VALUE!</v>
      </c>
      <c r="P1436" s="1" t="e">
        <f t="shared" si="322"/>
        <v>#VALUE!</v>
      </c>
      <c r="Q1436" s="1" t="e">
        <f t="shared" si="323"/>
        <v>#VALUE!</v>
      </c>
      <c r="R1436" s="1" t="e">
        <f t="shared" si="324"/>
        <v>#VALUE!</v>
      </c>
      <c r="S1436" s="1" t="e">
        <f t="shared" si="325"/>
        <v>#VALUE!</v>
      </c>
      <c r="T1436" s="1" t="e">
        <f t="shared" si="326"/>
        <v>#VALUE!</v>
      </c>
      <c r="U1436" s="26" t="e">
        <f t="shared" si="327"/>
        <v>#VALUE!</v>
      </c>
      <c r="V1436" s="26" t="e">
        <f t="shared" si="328"/>
        <v>#VALUE!</v>
      </c>
      <c r="W1436" s="1" t="e">
        <f t="shared" si="329"/>
        <v>#VALUE!</v>
      </c>
      <c r="X1436" s="26" t="e">
        <f t="shared" si="330"/>
        <v>#VALUE!</v>
      </c>
      <c r="Y1436" s="26" t="e">
        <f t="shared" si="331"/>
        <v>#VALUE!</v>
      </c>
      <c r="Z1436" s="1" t="e">
        <f t="shared" si="332"/>
        <v>#VALUE!</v>
      </c>
      <c r="AA1436"/>
      <c r="AB1436"/>
    </row>
    <row r="1437" spans="1:28" x14ac:dyDescent="0.55000000000000004">
      <c r="A1437" s="1">
        <f t="shared" si="319"/>
        <v>1437</v>
      </c>
      <c r="B1437" t="s">
        <v>39</v>
      </c>
      <c r="C1437" t="s">
        <v>176</v>
      </c>
      <c r="D1437" t="s">
        <v>42</v>
      </c>
      <c r="E1437" t="s">
        <v>405</v>
      </c>
      <c r="F1437" t="s">
        <v>218</v>
      </c>
      <c r="G1437" t="s">
        <v>229</v>
      </c>
      <c r="I1437" t="s">
        <v>220</v>
      </c>
      <c r="K1437" t="s">
        <v>246</v>
      </c>
      <c r="M1437" t="s">
        <v>47</v>
      </c>
      <c r="N1437" s="1" t="e">
        <f t="shared" si="320"/>
        <v>#VALUE!</v>
      </c>
      <c r="O1437" s="1" t="e">
        <f t="shared" si="321"/>
        <v>#VALUE!</v>
      </c>
      <c r="P1437" s="1" t="e">
        <f t="shared" si="322"/>
        <v>#VALUE!</v>
      </c>
      <c r="Q1437" s="1" t="e">
        <f t="shared" si="323"/>
        <v>#VALUE!</v>
      </c>
      <c r="R1437" s="1" t="e">
        <f t="shared" si="324"/>
        <v>#VALUE!</v>
      </c>
      <c r="S1437" s="1" t="e">
        <f t="shared" si="325"/>
        <v>#VALUE!</v>
      </c>
      <c r="T1437" s="1" t="e">
        <f t="shared" si="326"/>
        <v>#VALUE!</v>
      </c>
      <c r="U1437" s="26" t="e">
        <f t="shared" si="327"/>
        <v>#VALUE!</v>
      </c>
      <c r="V1437" s="26" t="e">
        <f t="shared" si="328"/>
        <v>#VALUE!</v>
      </c>
      <c r="W1437" s="1" t="e">
        <f t="shared" si="329"/>
        <v>#VALUE!</v>
      </c>
      <c r="X1437" s="26" t="e">
        <f t="shared" si="330"/>
        <v>#VALUE!</v>
      </c>
      <c r="Y1437" s="26" t="e">
        <f t="shared" si="331"/>
        <v>#VALUE!</v>
      </c>
      <c r="Z1437" s="1" t="e">
        <f t="shared" si="332"/>
        <v>#VALUE!</v>
      </c>
      <c r="AA1437"/>
      <c r="AB1437"/>
    </row>
    <row r="1438" spans="1:28" x14ac:dyDescent="0.55000000000000004">
      <c r="A1438" s="1">
        <f t="shared" si="319"/>
        <v>1438</v>
      </c>
      <c r="B1438" t="s">
        <v>39</v>
      </c>
      <c r="C1438" t="s">
        <v>176</v>
      </c>
      <c r="D1438" t="s">
        <v>42</v>
      </c>
      <c r="E1438" t="s">
        <v>405</v>
      </c>
      <c r="F1438" t="s">
        <v>218</v>
      </c>
      <c r="G1438" t="s">
        <v>223</v>
      </c>
      <c r="I1438" t="s">
        <v>225</v>
      </c>
      <c r="K1438" t="s">
        <v>244</v>
      </c>
      <c r="M1438" t="s">
        <v>47</v>
      </c>
      <c r="N1438" s="1" t="e">
        <f t="shared" si="320"/>
        <v>#VALUE!</v>
      </c>
      <c r="O1438" s="1" t="e">
        <f t="shared" si="321"/>
        <v>#VALUE!</v>
      </c>
      <c r="P1438" s="1" t="e">
        <f t="shared" si="322"/>
        <v>#VALUE!</v>
      </c>
      <c r="Q1438" s="1" t="e">
        <f t="shared" si="323"/>
        <v>#VALUE!</v>
      </c>
      <c r="R1438" s="1" t="e">
        <f t="shared" si="324"/>
        <v>#VALUE!</v>
      </c>
      <c r="S1438" s="1" t="e">
        <f t="shared" si="325"/>
        <v>#VALUE!</v>
      </c>
      <c r="T1438" s="1" t="e">
        <f t="shared" si="326"/>
        <v>#VALUE!</v>
      </c>
      <c r="U1438" s="26" t="e">
        <f t="shared" si="327"/>
        <v>#VALUE!</v>
      </c>
      <c r="V1438" s="26" t="e">
        <f t="shared" si="328"/>
        <v>#VALUE!</v>
      </c>
      <c r="W1438" s="1" t="e">
        <f t="shared" si="329"/>
        <v>#VALUE!</v>
      </c>
      <c r="X1438" s="26" t="e">
        <f t="shared" si="330"/>
        <v>#VALUE!</v>
      </c>
      <c r="Y1438" s="26" t="e">
        <f t="shared" si="331"/>
        <v>#VALUE!</v>
      </c>
      <c r="Z1438" s="1" t="e">
        <f t="shared" si="332"/>
        <v>#VALUE!</v>
      </c>
      <c r="AA1438"/>
      <c r="AB1438"/>
    </row>
    <row r="1439" spans="1:28" x14ac:dyDescent="0.55000000000000004">
      <c r="A1439" s="1">
        <f t="shared" si="319"/>
        <v>1439</v>
      </c>
      <c r="B1439" t="s">
        <v>39</v>
      </c>
      <c r="C1439" t="s">
        <v>176</v>
      </c>
      <c r="D1439" t="s">
        <v>42</v>
      </c>
      <c r="E1439" t="s">
        <v>405</v>
      </c>
      <c r="F1439" t="s">
        <v>218</v>
      </c>
      <c r="G1439" t="s">
        <v>231</v>
      </c>
      <c r="I1439" t="s">
        <v>228</v>
      </c>
      <c r="K1439" t="s">
        <v>233</v>
      </c>
      <c r="M1439" t="s">
        <v>47</v>
      </c>
      <c r="N1439" s="1" t="e">
        <f t="shared" si="320"/>
        <v>#VALUE!</v>
      </c>
      <c r="O1439" s="1" t="e">
        <f t="shared" si="321"/>
        <v>#VALUE!</v>
      </c>
      <c r="P1439" s="1" t="e">
        <f t="shared" si="322"/>
        <v>#VALUE!</v>
      </c>
      <c r="Q1439" s="1" t="e">
        <f t="shared" si="323"/>
        <v>#VALUE!</v>
      </c>
      <c r="R1439" s="1" t="e">
        <f t="shared" si="324"/>
        <v>#VALUE!</v>
      </c>
      <c r="S1439" s="1" t="e">
        <f t="shared" si="325"/>
        <v>#VALUE!</v>
      </c>
      <c r="T1439" s="1" t="e">
        <f t="shared" si="326"/>
        <v>#VALUE!</v>
      </c>
      <c r="U1439" s="26" t="e">
        <f t="shared" si="327"/>
        <v>#VALUE!</v>
      </c>
      <c r="V1439" s="26" t="e">
        <f t="shared" si="328"/>
        <v>#VALUE!</v>
      </c>
      <c r="W1439" s="1" t="e">
        <f t="shared" si="329"/>
        <v>#VALUE!</v>
      </c>
      <c r="X1439" s="26" t="e">
        <f t="shared" si="330"/>
        <v>#VALUE!</v>
      </c>
      <c r="Y1439" s="26" t="e">
        <f t="shared" si="331"/>
        <v>#VALUE!</v>
      </c>
      <c r="Z1439" s="1" t="e">
        <f t="shared" si="332"/>
        <v>#VALUE!</v>
      </c>
      <c r="AA1439"/>
      <c r="AB1439"/>
    </row>
    <row r="1440" spans="1:28" x14ac:dyDescent="0.55000000000000004">
      <c r="A1440" s="1">
        <f t="shared" si="319"/>
        <v>1440</v>
      </c>
      <c r="B1440" t="s">
        <v>31</v>
      </c>
      <c r="C1440" t="s">
        <v>200</v>
      </c>
      <c r="D1440" t="s">
        <v>42</v>
      </c>
      <c r="E1440" t="s">
        <v>405</v>
      </c>
      <c r="F1440" t="s">
        <v>357</v>
      </c>
      <c r="G1440" t="s">
        <v>136</v>
      </c>
      <c r="I1440" t="s">
        <v>144</v>
      </c>
      <c r="K1440" t="s">
        <v>158</v>
      </c>
      <c r="M1440" t="s">
        <v>47</v>
      </c>
      <c r="N1440" s="1" t="e">
        <f t="shared" si="320"/>
        <v>#VALUE!</v>
      </c>
      <c r="O1440" s="1" t="e">
        <f t="shared" si="321"/>
        <v>#VALUE!</v>
      </c>
      <c r="P1440" s="1" t="e">
        <f t="shared" si="322"/>
        <v>#VALUE!</v>
      </c>
      <c r="Q1440" s="1" t="e">
        <f t="shared" si="323"/>
        <v>#VALUE!</v>
      </c>
      <c r="R1440" s="1" t="e">
        <f t="shared" si="324"/>
        <v>#VALUE!</v>
      </c>
      <c r="S1440" s="1" t="e">
        <f t="shared" si="325"/>
        <v>#VALUE!</v>
      </c>
      <c r="T1440" s="1" t="e">
        <f t="shared" si="326"/>
        <v>#VALUE!</v>
      </c>
      <c r="U1440" s="26" t="e">
        <f t="shared" si="327"/>
        <v>#VALUE!</v>
      </c>
      <c r="V1440" s="26" t="e">
        <f t="shared" si="328"/>
        <v>#VALUE!</v>
      </c>
      <c r="W1440" s="1" t="e">
        <f t="shared" si="329"/>
        <v>#VALUE!</v>
      </c>
      <c r="X1440" s="26" t="e">
        <f t="shared" si="330"/>
        <v>#VALUE!</v>
      </c>
      <c r="Y1440" s="26" t="e">
        <f t="shared" si="331"/>
        <v>#VALUE!</v>
      </c>
      <c r="Z1440" s="1" t="e">
        <f t="shared" si="332"/>
        <v>#VALUE!</v>
      </c>
      <c r="AA1440"/>
      <c r="AB1440"/>
    </row>
    <row r="1441" spans="1:28" x14ac:dyDescent="0.55000000000000004">
      <c r="A1441" s="1">
        <f t="shared" si="319"/>
        <v>1441</v>
      </c>
      <c r="B1441" t="s">
        <v>31</v>
      </c>
      <c r="C1441" t="s">
        <v>200</v>
      </c>
      <c r="D1441" t="s">
        <v>42</v>
      </c>
      <c r="E1441" t="s">
        <v>405</v>
      </c>
      <c r="F1441" t="s">
        <v>357</v>
      </c>
      <c r="G1441" t="s">
        <v>148</v>
      </c>
      <c r="I1441" t="s">
        <v>141</v>
      </c>
      <c r="K1441" t="s">
        <v>157</v>
      </c>
      <c r="M1441" t="s">
        <v>47</v>
      </c>
      <c r="N1441" s="1" t="e">
        <f t="shared" si="320"/>
        <v>#VALUE!</v>
      </c>
      <c r="O1441" s="1" t="e">
        <f t="shared" si="321"/>
        <v>#VALUE!</v>
      </c>
      <c r="P1441" s="1" t="e">
        <f t="shared" si="322"/>
        <v>#VALUE!</v>
      </c>
      <c r="Q1441" s="1" t="e">
        <f t="shared" si="323"/>
        <v>#VALUE!</v>
      </c>
      <c r="R1441" s="1" t="e">
        <f t="shared" si="324"/>
        <v>#VALUE!</v>
      </c>
      <c r="S1441" s="1" t="e">
        <f t="shared" si="325"/>
        <v>#VALUE!</v>
      </c>
      <c r="T1441" s="1" t="e">
        <f t="shared" si="326"/>
        <v>#VALUE!</v>
      </c>
      <c r="U1441" s="26" t="e">
        <f t="shared" si="327"/>
        <v>#VALUE!</v>
      </c>
      <c r="V1441" s="26" t="e">
        <f t="shared" si="328"/>
        <v>#VALUE!</v>
      </c>
      <c r="W1441" s="1" t="e">
        <f t="shared" si="329"/>
        <v>#VALUE!</v>
      </c>
      <c r="X1441" s="26" t="e">
        <f t="shared" si="330"/>
        <v>#VALUE!</v>
      </c>
      <c r="Y1441" s="26" t="e">
        <f t="shared" si="331"/>
        <v>#VALUE!</v>
      </c>
      <c r="Z1441" s="1" t="e">
        <f t="shared" si="332"/>
        <v>#VALUE!</v>
      </c>
      <c r="AA1441"/>
      <c r="AB1441"/>
    </row>
    <row r="1442" spans="1:28" x14ac:dyDescent="0.55000000000000004">
      <c r="A1442" s="1">
        <f t="shared" si="319"/>
        <v>1442</v>
      </c>
      <c r="B1442" t="s">
        <v>35</v>
      </c>
      <c r="C1442" t="s">
        <v>124</v>
      </c>
      <c r="D1442" t="s">
        <v>42</v>
      </c>
      <c r="E1442" t="s">
        <v>405</v>
      </c>
      <c r="F1442" t="s">
        <v>357</v>
      </c>
      <c r="G1442" t="s">
        <v>386</v>
      </c>
      <c r="I1442" t="s">
        <v>213</v>
      </c>
      <c r="K1442" t="s">
        <v>418</v>
      </c>
      <c r="M1442" t="s">
        <v>47</v>
      </c>
      <c r="N1442" s="1" t="e">
        <f t="shared" si="320"/>
        <v>#VALUE!</v>
      </c>
      <c r="O1442" s="1" t="e">
        <f t="shared" si="321"/>
        <v>#VALUE!</v>
      </c>
      <c r="P1442" s="1" t="e">
        <f t="shared" si="322"/>
        <v>#VALUE!</v>
      </c>
      <c r="Q1442" s="1" t="e">
        <f t="shared" si="323"/>
        <v>#VALUE!</v>
      </c>
      <c r="R1442" s="1" t="e">
        <f t="shared" si="324"/>
        <v>#VALUE!</v>
      </c>
      <c r="S1442" s="1" t="e">
        <f t="shared" si="325"/>
        <v>#VALUE!</v>
      </c>
      <c r="T1442" s="1" t="e">
        <f t="shared" si="326"/>
        <v>#VALUE!</v>
      </c>
      <c r="U1442" s="26" t="e">
        <f t="shared" si="327"/>
        <v>#VALUE!</v>
      </c>
      <c r="V1442" s="26" t="e">
        <f t="shared" si="328"/>
        <v>#VALUE!</v>
      </c>
      <c r="W1442" s="1" t="e">
        <f t="shared" si="329"/>
        <v>#VALUE!</v>
      </c>
      <c r="X1442" s="26" t="e">
        <f t="shared" si="330"/>
        <v>#VALUE!</v>
      </c>
      <c r="Y1442" s="26" t="e">
        <f t="shared" si="331"/>
        <v>#VALUE!</v>
      </c>
      <c r="Z1442" s="1" t="e">
        <f t="shared" si="332"/>
        <v>#VALUE!</v>
      </c>
      <c r="AA1442"/>
      <c r="AB1442"/>
    </row>
    <row r="1443" spans="1:28" x14ac:dyDescent="0.55000000000000004">
      <c r="A1443" s="1">
        <f t="shared" si="319"/>
        <v>1443</v>
      </c>
      <c r="B1443" t="s">
        <v>35</v>
      </c>
      <c r="C1443" t="s">
        <v>124</v>
      </c>
      <c r="D1443" t="s">
        <v>42</v>
      </c>
      <c r="E1443" t="s">
        <v>405</v>
      </c>
      <c r="F1443" t="s">
        <v>357</v>
      </c>
      <c r="G1443" t="s">
        <v>303</v>
      </c>
      <c r="I1443" t="s">
        <v>384</v>
      </c>
      <c r="K1443" t="s">
        <v>305</v>
      </c>
      <c r="M1443" t="s">
        <v>47</v>
      </c>
      <c r="N1443" s="1" t="e">
        <f t="shared" si="320"/>
        <v>#VALUE!</v>
      </c>
      <c r="O1443" s="1" t="e">
        <f t="shared" si="321"/>
        <v>#VALUE!</v>
      </c>
      <c r="P1443" s="1" t="e">
        <f t="shared" si="322"/>
        <v>#VALUE!</v>
      </c>
      <c r="Q1443" s="1" t="e">
        <f t="shared" si="323"/>
        <v>#VALUE!</v>
      </c>
      <c r="R1443" s="1" t="e">
        <f t="shared" si="324"/>
        <v>#VALUE!</v>
      </c>
      <c r="S1443" s="1" t="e">
        <f t="shared" si="325"/>
        <v>#VALUE!</v>
      </c>
      <c r="T1443" s="1" t="e">
        <f t="shared" si="326"/>
        <v>#VALUE!</v>
      </c>
      <c r="U1443" s="26" t="e">
        <f t="shared" si="327"/>
        <v>#VALUE!</v>
      </c>
      <c r="V1443" s="26" t="e">
        <f t="shared" si="328"/>
        <v>#VALUE!</v>
      </c>
      <c r="W1443" s="1" t="e">
        <f t="shared" si="329"/>
        <v>#VALUE!</v>
      </c>
      <c r="X1443" s="26" t="e">
        <f t="shared" si="330"/>
        <v>#VALUE!</v>
      </c>
      <c r="Y1443" s="26" t="e">
        <f t="shared" si="331"/>
        <v>#VALUE!</v>
      </c>
      <c r="Z1443" s="1" t="e">
        <f t="shared" si="332"/>
        <v>#VALUE!</v>
      </c>
      <c r="AA1443"/>
      <c r="AB1443"/>
    </row>
    <row r="1444" spans="1:28" x14ac:dyDescent="0.55000000000000004">
      <c r="A1444" s="1">
        <f t="shared" si="319"/>
        <v>1444</v>
      </c>
      <c r="B1444" t="s">
        <v>35</v>
      </c>
      <c r="C1444" t="s">
        <v>124</v>
      </c>
      <c r="D1444" t="s">
        <v>42</v>
      </c>
      <c r="E1444" t="s">
        <v>405</v>
      </c>
      <c r="F1444" t="s">
        <v>357</v>
      </c>
      <c r="G1444" t="s">
        <v>307</v>
      </c>
      <c r="I1444" t="s">
        <v>304</v>
      </c>
      <c r="K1444" t="s">
        <v>379</v>
      </c>
      <c r="M1444" t="s">
        <v>47</v>
      </c>
      <c r="N1444" s="1" t="e">
        <f t="shared" si="320"/>
        <v>#VALUE!</v>
      </c>
      <c r="O1444" s="1" t="e">
        <f t="shared" si="321"/>
        <v>#VALUE!</v>
      </c>
      <c r="P1444" s="1" t="e">
        <f t="shared" si="322"/>
        <v>#VALUE!</v>
      </c>
      <c r="Q1444" s="1" t="e">
        <f t="shared" si="323"/>
        <v>#VALUE!</v>
      </c>
      <c r="R1444" s="1" t="e">
        <f t="shared" si="324"/>
        <v>#VALUE!</v>
      </c>
      <c r="S1444" s="1" t="e">
        <f t="shared" si="325"/>
        <v>#VALUE!</v>
      </c>
      <c r="T1444" s="1" t="e">
        <f t="shared" si="326"/>
        <v>#VALUE!</v>
      </c>
      <c r="U1444" s="26" t="e">
        <f t="shared" si="327"/>
        <v>#VALUE!</v>
      </c>
      <c r="V1444" s="26" t="e">
        <f t="shared" si="328"/>
        <v>#VALUE!</v>
      </c>
      <c r="W1444" s="1" t="e">
        <f t="shared" si="329"/>
        <v>#VALUE!</v>
      </c>
      <c r="X1444" s="26" t="e">
        <f t="shared" si="330"/>
        <v>#VALUE!</v>
      </c>
      <c r="Y1444" s="26" t="e">
        <f t="shared" si="331"/>
        <v>#VALUE!</v>
      </c>
      <c r="Z1444" s="1" t="e">
        <f t="shared" si="332"/>
        <v>#VALUE!</v>
      </c>
      <c r="AA1444"/>
      <c r="AB1444"/>
    </row>
    <row r="1445" spans="1:28" x14ac:dyDescent="0.55000000000000004">
      <c r="A1445" s="1">
        <f t="shared" si="319"/>
        <v>1445</v>
      </c>
      <c r="B1445" t="s">
        <v>35</v>
      </c>
      <c r="C1445" t="s">
        <v>124</v>
      </c>
      <c r="D1445" t="s">
        <v>42</v>
      </c>
      <c r="E1445" t="s">
        <v>405</v>
      </c>
      <c r="F1445" t="s">
        <v>357</v>
      </c>
      <c r="G1445" t="s">
        <v>205</v>
      </c>
      <c r="I1445" t="s">
        <v>377</v>
      </c>
      <c r="K1445" t="s">
        <v>417</v>
      </c>
      <c r="M1445" t="s">
        <v>47</v>
      </c>
      <c r="N1445" s="1" t="e">
        <f t="shared" si="320"/>
        <v>#VALUE!</v>
      </c>
      <c r="O1445" s="1" t="e">
        <f t="shared" si="321"/>
        <v>#VALUE!</v>
      </c>
      <c r="P1445" s="1" t="e">
        <f t="shared" si="322"/>
        <v>#VALUE!</v>
      </c>
      <c r="Q1445" s="1" t="e">
        <f t="shared" si="323"/>
        <v>#VALUE!</v>
      </c>
      <c r="R1445" s="1" t="e">
        <f t="shared" si="324"/>
        <v>#VALUE!</v>
      </c>
      <c r="S1445" s="1" t="e">
        <f t="shared" si="325"/>
        <v>#VALUE!</v>
      </c>
      <c r="T1445" s="1" t="e">
        <f t="shared" si="326"/>
        <v>#VALUE!</v>
      </c>
      <c r="U1445" s="26" t="e">
        <f t="shared" si="327"/>
        <v>#VALUE!</v>
      </c>
      <c r="V1445" s="26" t="e">
        <f t="shared" si="328"/>
        <v>#VALUE!</v>
      </c>
      <c r="W1445" s="1" t="e">
        <f t="shared" si="329"/>
        <v>#VALUE!</v>
      </c>
      <c r="X1445" s="26" t="e">
        <f t="shared" si="330"/>
        <v>#VALUE!</v>
      </c>
      <c r="Y1445" s="26" t="e">
        <f t="shared" si="331"/>
        <v>#VALUE!</v>
      </c>
      <c r="Z1445" s="1" t="e">
        <f t="shared" si="332"/>
        <v>#VALUE!</v>
      </c>
      <c r="AA1445"/>
      <c r="AB1445"/>
    </row>
    <row r="1446" spans="1:28" x14ac:dyDescent="0.55000000000000004">
      <c r="A1446" s="1">
        <f t="shared" si="319"/>
        <v>1446</v>
      </c>
      <c r="B1446" t="s">
        <v>30</v>
      </c>
      <c r="C1446" t="s">
        <v>124</v>
      </c>
      <c r="D1446" t="s">
        <v>179</v>
      </c>
      <c r="E1446" t="s">
        <v>188</v>
      </c>
      <c r="F1446" t="s">
        <v>181</v>
      </c>
      <c r="G1446" t="s">
        <v>52</v>
      </c>
      <c r="I1446" t="s">
        <v>55</v>
      </c>
      <c r="K1446" t="s">
        <v>71</v>
      </c>
      <c r="M1446" t="s">
        <v>47</v>
      </c>
      <c r="N1446" s="1" t="e">
        <f t="shared" si="320"/>
        <v>#VALUE!</v>
      </c>
      <c r="O1446" s="1" t="e">
        <f t="shared" si="321"/>
        <v>#VALUE!</v>
      </c>
      <c r="P1446" s="1" t="e">
        <f t="shared" si="322"/>
        <v>#VALUE!</v>
      </c>
      <c r="Q1446" s="1" t="e">
        <f t="shared" si="323"/>
        <v>#VALUE!</v>
      </c>
      <c r="R1446" s="1" t="e">
        <f t="shared" si="324"/>
        <v>#VALUE!</v>
      </c>
      <c r="S1446" s="1" t="e">
        <f t="shared" si="325"/>
        <v>#VALUE!</v>
      </c>
      <c r="T1446" s="1" t="e">
        <f t="shared" si="326"/>
        <v>#VALUE!</v>
      </c>
      <c r="U1446" s="26" t="e">
        <f t="shared" si="327"/>
        <v>#VALUE!</v>
      </c>
      <c r="V1446" s="26" t="e">
        <f t="shared" si="328"/>
        <v>#VALUE!</v>
      </c>
      <c r="W1446" s="1" t="e">
        <f t="shared" si="329"/>
        <v>#VALUE!</v>
      </c>
      <c r="X1446" s="26" t="e">
        <f t="shared" si="330"/>
        <v>#VALUE!</v>
      </c>
      <c r="Y1446" s="26" t="e">
        <f t="shared" si="331"/>
        <v>#VALUE!</v>
      </c>
      <c r="Z1446" s="1" t="e">
        <f t="shared" si="332"/>
        <v>#VALUE!</v>
      </c>
      <c r="AA1446"/>
      <c r="AB1446"/>
    </row>
    <row r="1447" spans="1:28" x14ac:dyDescent="0.55000000000000004">
      <c r="A1447" s="1">
        <f t="shared" si="319"/>
        <v>1447</v>
      </c>
      <c r="B1447" t="s">
        <v>30</v>
      </c>
      <c r="C1447" t="s">
        <v>124</v>
      </c>
      <c r="D1447" t="s">
        <v>179</v>
      </c>
      <c r="E1447" t="s">
        <v>188</v>
      </c>
      <c r="F1447" t="s">
        <v>181</v>
      </c>
      <c r="G1447" t="s">
        <v>48</v>
      </c>
      <c r="I1447" t="s">
        <v>66</v>
      </c>
      <c r="K1447" t="s">
        <v>50</v>
      </c>
      <c r="M1447" t="s">
        <v>47</v>
      </c>
      <c r="N1447" s="1" t="e">
        <f t="shared" si="320"/>
        <v>#VALUE!</v>
      </c>
      <c r="O1447" s="1" t="e">
        <f t="shared" si="321"/>
        <v>#VALUE!</v>
      </c>
      <c r="P1447" s="1" t="e">
        <f t="shared" si="322"/>
        <v>#VALUE!</v>
      </c>
      <c r="Q1447" s="1" t="e">
        <f t="shared" si="323"/>
        <v>#VALUE!</v>
      </c>
      <c r="R1447" s="1" t="e">
        <f t="shared" si="324"/>
        <v>#VALUE!</v>
      </c>
      <c r="S1447" s="1" t="e">
        <f t="shared" si="325"/>
        <v>#VALUE!</v>
      </c>
      <c r="T1447" s="1" t="e">
        <f t="shared" si="326"/>
        <v>#VALUE!</v>
      </c>
      <c r="U1447" s="26" t="e">
        <f t="shared" si="327"/>
        <v>#VALUE!</v>
      </c>
      <c r="V1447" s="26" t="e">
        <f t="shared" si="328"/>
        <v>#VALUE!</v>
      </c>
      <c r="W1447" s="1" t="e">
        <f t="shared" si="329"/>
        <v>#VALUE!</v>
      </c>
      <c r="X1447" s="26" t="e">
        <f t="shared" si="330"/>
        <v>#VALUE!</v>
      </c>
      <c r="Y1447" s="26" t="e">
        <f t="shared" si="331"/>
        <v>#VALUE!</v>
      </c>
      <c r="Z1447" s="1" t="e">
        <f t="shared" si="332"/>
        <v>#VALUE!</v>
      </c>
      <c r="AA1447"/>
      <c r="AB1447"/>
    </row>
    <row r="1448" spans="1:28" x14ac:dyDescent="0.55000000000000004">
      <c r="A1448" s="1">
        <f t="shared" si="319"/>
        <v>1448</v>
      </c>
      <c r="B1448" t="s">
        <v>30</v>
      </c>
      <c r="C1448" t="s">
        <v>124</v>
      </c>
      <c r="D1448" t="s">
        <v>179</v>
      </c>
      <c r="E1448" t="s">
        <v>188</v>
      </c>
      <c r="F1448" t="s">
        <v>182</v>
      </c>
      <c r="G1448" t="s">
        <v>61</v>
      </c>
      <c r="I1448" t="s">
        <v>51</v>
      </c>
      <c r="K1448" t="s">
        <v>62</v>
      </c>
      <c r="M1448" t="s">
        <v>47</v>
      </c>
      <c r="N1448" s="1" t="e">
        <f t="shared" si="320"/>
        <v>#VALUE!</v>
      </c>
      <c r="O1448" s="1" t="e">
        <f t="shared" si="321"/>
        <v>#VALUE!</v>
      </c>
      <c r="P1448" s="1" t="e">
        <f t="shared" si="322"/>
        <v>#VALUE!</v>
      </c>
      <c r="Q1448" s="1" t="e">
        <f t="shared" si="323"/>
        <v>#VALUE!</v>
      </c>
      <c r="R1448" s="1" t="e">
        <f t="shared" si="324"/>
        <v>#VALUE!</v>
      </c>
      <c r="S1448" s="1" t="e">
        <f t="shared" si="325"/>
        <v>#VALUE!</v>
      </c>
      <c r="T1448" s="1" t="e">
        <f t="shared" si="326"/>
        <v>#VALUE!</v>
      </c>
      <c r="U1448" s="26" t="e">
        <f t="shared" si="327"/>
        <v>#VALUE!</v>
      </c>
      <c r="V1448" s="26" t="e">
        <f t="shared" si="328"/>
        <v>#VALUE!</v>
      </c>
      <c r="W1448" s="1" t="e">
        <f t="shared" si="329"/>
        <v>#VALUE!</v>
      </c>
      <c r="X1448" s="26" t="e">
        <f t="shared" si="330"/>
        <v>#VALUE!</v>
      </c>
      <c r="Y1448" s="26" t="e">
        <f t="shared" si="331"/>
        <v>#VALUE!</v>
      </c>
      <c r="Z1448" s="1" t="e">
        <f t="shared" si="332"/>
        <v>#VALUE!</v>
      </c>
      <c r="AA1448"/>
      <c r="AB1448"/>
    </row>
    <row r="1449" spans="1:28" x14ac:dyDescent="0.55000000000000004">
      <c r="A1449" s="1">
        <f t="shared" si="319"/>
        <v>1449</v>
      </c>
      <c r="B1449" t="s">
        <v>34</v>
      </c>
      <c r="C1449" t="s">
        <v>132</v>
      </c>
      <c r="D1449" t="s">
        <v>179</v>
      </c>
      <c r="E1449" t="s">
        <v>188</v>
      </c>
      <c r="F1449" t="s">
        <v>181</v>
      </c>
      <c r="G1449" t="s">
        <v>86</v>
      </c>
      <c r="I1449" t="s">
        <v>96</v>
      </c>
      <c r="K1449" t="s">
        <v>88</v>
      </c>
      <c r="M1449" t="s">
        <v>47</v>
      </c>
      <c r="N1449" s="1" t="e">
        <f t="shared" si="320"/>
        <v>#VALUE!</v>
      </c>
      <c r="O1449" s="1" t="e">
        <f t="shared" si="321"/>
        <v>#VALUE!</v>
      </c>
      <c r="P1449" s="1" t="e">
        <f t="shared" si="322"/>
        <v>#VALUE!</v>
      </c>
      <c r="Q1449" s="1" t="e">
        <f t="shared" si="323"/>
        <v>#VALUE!</v>
      </c>
      <c r="R1449" s="1" t="e">
        <f t="shared" si="324"/>
        <v>#VALUE!</v>
      </c>
      <c r="S1449" s="1" t="e">
        <f t="shared" si="325"/>
        <v>#VALUE!</v>
      </c>
      <c r="T1449" s="1" t="e">
        <f t="shared" si="326"/>
        <v>#VALUE!</v>
      </c>
      <c r="U1449" s="26" t="e">
        <f t="shared" si="327"/>
        <v>#VALUE!</v>
      </c>
      <c r="V1449" s="26" t="e">
        <f t="shared" si="328"/>
        <v>#VALUE!</v>
      </c>
      <c r="W1449" s="1" t="e">
        <f t="shared" si="329"/>
        <v>#VALUE!</v>
      </c>
      <c r="X1449" s="26" t="e">
        <f t="shared" si="330"/>
        <v>#VALUE!</v>
      </c>
      <c r="Y1449" s="26" t="e">
        <f t="shared" si="331"/>
        <v>#VALUE!</v>
      </c>
      <c r="Z1449" s="1" t="e">
        <f t="shared" si="332"/>
        <v>#VALUE!</v>
      </c>
      <c r="AA1449"/>
      <c r="AB1449"/>
    </row>
    <row r="1450" spans="1:28" x14ac:dyDescent="0.55000000000000004">
      <c r="A1450" s="1">
        <f t="shared" si="319"/>
        <v>1450</v>
      </c>
      <c r="B1450" t="s">
        <v>40</v>
      </c>
      <c r="C1450" t="s">
        <v>130</v>
      </c>
      <c r="D1450" t="s">
        <v>179</v>
      </c>
      <c r="E1450" t="s">
        <v>188</v>
      </c>
      <c r="F1450" t="s">
        <v>251</v>
      </c>
      <c r="G1450" t="s">
        <v>260</v>
      </c>
      <c r="I1450" t="s">
        <v>261</v>
      </c>
      <c r="K1450" t="s">
        <v>250</v>
      </c>
      <c r="M1450" t="s">
        <v>47</v>
      </c>
      <c r="N1450" s="1" t="e">
        <f t="shared" si="320"/>
        <v>#VALUE!</v>
      </c>
      <c r="O1450" s="1" t="e">
        <f t="shared" si="321"/>
        <v>#VALUE!</v>
      </c>
      <c r="P1450" s="1" t="e">
        <f t="shared" si="322"/>
        <v>#VALUE!</v>
      </c>
      <c r="Q1450" s="1" t="e">
        <f t="shared" si="323"/>
        <v>#VALUE!</v>
      </c>
      <c r="R1450" s="1" t="e">
        <f t="shared" si="324"/>
        <v>#VALUE!</v>
      </c>
      <c r="S1450" s="1" t="e">
        <f t="shared" si="325"/>
        <v>#VALUE!</v>
      </c>
      <c r="T1450" s="1" t="e">
        <f t="shared" si="326"/>
        <v>#VALUE!</v>
      </c>
      <c r="U1450" s="26" t="e">
        <f t="shared" si="327"/>
        <v>#VALUE!</v>
      </c>
      <c r="V1450" s="26" t="e">
        <f t="shared" si="328"/>
        <v>#VALUE!</v>
      </c>
      <c r="W1450" s="1" t="e">
        <f t="shared" si="329"/>
        <v>#VALUE!</v>
      </c>
      <c r="X1450" s="26" t="e">
        <f t="shared" si="330"/>
        <v>#VALUE!</v>
      </c>
      <c r="Y1450" s="26" t="e">
        <f t="shared" si="331"/>
        <v>#VALUE!</v>
      </c>
      <c r="Z1450" s="1" t="e">
        <f t="shared" si="332"/>
        <v>#VALUE!</v>
      </c>
      <c r="AA1450"/>
      <c r="AB1450"/>
    </row>
    <row r="1451" spans="1:28" x14ac:dyDescent="0.55000000000000004">
      <c r="A1451" s="1">
        <f t="shared" si="319"/>
        <v>1451</v>
      </c>
      <c r="B1451" t="s">
        <v>40</v>
      </c>
      <c r="C1451" t="s">
        <v>130</v>
      </c>
      <c r="D1451" t="s">
        <v>179</v>
      </c>
      <c r="E1451" t="s">
        <v>188</v>
      </c>
      <c r="F1451" t="s">
        <v>251</v>
      </c>
      <c r="G1451" t="s">
        <v>249</v>
      </c>
      <c r="I1451" t="s">
        <v>256</v>
      </c>
      <c r="K1451" t="s">
        <v>262</v>
      </c>
      <c r="M1451" t="s">
        <v>47</v>
      </c>
      <c r="N1451" s="1" t="e">
        <f t="shared" si="320"/>
        <v>#VALUE!</v>
      </c>
      <c r="O1451" s="1" t="e">
        <f t="shared" si="321"/>
        <v>#VALUE!</v>
      </c>
      <c r="P1451" s="1" t="e">
        <f t="shared" si="322"/>
        <v>#VALUE!</v>
      </c>
      <c r="Q1451" s="1" t="e">
        <f t="shared" si="323"/>
        <v>#VALUE!</v>
      </c>
      <c r="R1451" s="1" t="e">
        <f t="shared" si="324"/>
        <v>#VALUE!</v>
      </c>
      <c r="S1451" s="1" t="e">
        <f t="shared" si="325"/>
        <v>#VALUE!</v>
      </c>
      <c r="T1451" s="1" t="e">
        <f t="shared" si="326"/>
        <v>#VALUE!</v>
      </c>
      <c r="U1451" s="26" t="e">
        <f t="shared" si="327"/>
        <v>#VALUE!</v>
      </c>
      <c r="V1451" s="26" t="e">
        <f t="shared" si="328"/>
        <v>#VALUE!</v>
      </c>
      <c r="W1451" s="1" t="e">
        <f t="shared" si="329"/>
        <v>#VALUE!</v>
      </c>
      <c r="X1451" s="26" t="e">
        <f t="shared" si="330"/>
        <v>#VALUE!</v>
      </c>
      <c r="Y1451" s="26" t="e">
        <f t="shared" si="331"/>
        <v>#VALUE!</v>
      </c>
      <c r="Z1451" s="1" t="e">
        <f t="shared" si="332"/>
        <v>#VALUE!</v>
      </c>
      <c r="AA1451"/>
      <c r="AB1451"/>
    </row>
    <row r="1452" spans="1:28" x14ac:dyDescent="0.55000000000000004">
      <c r="A1452" s="1">
        <f t="shared" si="319"/>
        <v>1452</v>
      </c>
      <c r="B1452" t="s">
        <v>40</v>
      </c>
      <c r="C1452" t="s">
        <v>130</v>
      </c>
      <c r="D1452" t="s">
        <v>179</v>
      </c>
      <c r="E1452" t="s">
        <v>188</v>
      </c>
      <c r="F1452" t="s">
        <v>251</v>
      </c>
      <c r="G1452" t="s">
        <v>263</v>
      </c>
      <c r="I1452" t="s">
        <v>253</v>
      </c>
      <c r="K1452" t="s">
        <v>264</v>
      </c>
      <c r="M1452" t="s">
        <v>47</v>
      </c>
      <c r="N1452" s="1" t="e">
        <f t="shared" si="320"/>
        <v>#VALUE!</v>
      </c>
      <c r="O1452" s="1" t="e">
        <f t="shared" si="321"/>
        <v>#VALUE!</v>
      </c>
      <c r="P1452" s="1" t="e">
        <f t="shared" si="322"/>
        <v>#VALUE!</v>
      </c>
      <c r="Q1452" s="1" t="e">
        <f t="shared" si="323"/>
        <v>#VALUE!</v>
      </c>
      <c r="R1452" s="1" t="e">
        <f t="shared" si="324"/>
        <v>#VALUE!</v>
      </c>
      <c r="S1452" s="1" t="e">
        <f t="shared" si="325"/>
        <v>#VALUE!</v>
      </c>
      <c r="T1452" s="1" t="e">
        <f t="shared" si="326"/>
        <v>#VALUE!</v>
      </c>
      <c r="U1452" s="26" t="e">
        <f t="shared" si="327"/>
        <v>#VALUE!</v>
      </c>
      <c r="V1452" s="26" t="e">
        <f t="shared" si="328"/>
        <v>#VALUE!</v>
      </c>
      <c r="W1452" s="1" t="e">
        <f t="shared" si="329"/>
        <v>#VALUE!</v>
      </c>
      <c r="X1452" s="26" t="e">
        <f t="shared" si="330"/>
        <v>#VALUE!</v>
      </c>
      <c r="Y1452" s="26" t="e">
        <f t="shared" si="331"/>
        <v>#VALUE!</v>
      </c>
      <c r="Z1452" s="1" t="e">
        <f t="shared" si="332"/>
        <v>#VALUE!</v>
      </c>
      <c r="AA1452"/>
      <c r="AB1452"/>
    </row>
    <row r="1453" spans="1:28" x14ac:dyDescent="0.55000000000000004">
      <c r="A1453" s="1">
        <f t="shared" si="319"/>
        <v>1453</v>
      </c>
      <c r="B1453" t="s">
        <v>40</v>
      </c>
      <c r="C1453" t="s">
        <v>130</v>
      </c>
      <c r="D1453" t="s">
        <v>179</v>
      </c>
      <c r="E1453" t="s">
        <v>188</v>
      </c>
      <c r="F1453" t="s">
        <v>251</v>
      </c>
      <c r="G1453" t="s">
        <v>258</v>
      </c>
      <c r="I1453" t="s">
        <v>248</v>
      </c>
      <c r="K1453" t="s">
        <v>259</v>
      </c>
      <c r="M1453" t="s">
        <v>47</v>
      </c>
      <c r="N1453" s="1" t="e">
        <f t="shared" si="320"/>
        <v>#VALUE!</v>
      </c>
      <c r="O1453" s="1" t="e">
        <f t="shared" si="321"/>
        <v>#VALUE!</v>
      </c>
      <c r="P1453" s="1" t="e">
        <f t="shared" si="322"/>
        <v>#VALUE!</v>
      </c>
      <c r="Q1453" s="1" t="e">
        <f t="shared" si="323"/>
        <v>#VALUE!</v>
      </c>
      <c r="R1453" s="1" t="e">
        <f t="shared" si="324"/>
        <v>#VALUE!</v>
      </c>
      <c r="S1453" s="1" t="e">
        <f t="shared" si="325"/>
        <v>#VALUE!</v>
      </c>
      <c r="T1453" s="1" t="e">
        <f t="shared" si="326"/>
        <v>#VALUE!</v>
      </c>
      <c r="U1453" s="26" t="e">
        <f t="shared" si="327"/>
        <v>#VALUE!</v>
      </c>
      <c r="V1453" s="26" t="e">
        <f t="shared" si="328"/>
        <v>#VALUE!</v>
      </c>
      <c r="W1453" s="1" t="e">
        <f t="shared" si="329"/>
        <v>#VALUE!</v>
      </c>
      <c r="X1453" s="26" t="e">
        <f t="shared" si="330"/>
        <v>#VALUE!</v>
      </c>
      <c r="Y1453" s="26" t="e">
        <f t="shared" si="331"/>
        <v>#VALUE!</v>
      </c>
      <c r="Z1453" s="1" t="e">
        <f t="shared" si="332"/>
        <v>#VALUE!</v>
      </c>
      <c r="AA1453"/>
      <c r="AB1453"/>
    </row>
    <row r="1454" spans="1:28" x14ac:dyDescent="0.55000000000000004">
      <c r="A1454" s="1">
        <f t="shared" si="319"/>
        <v>1454</v>
      </c>
      <c r="B1454" t="s">
        <v>40</v>
      </c>
      <c r="C1454" t="s">
        <v>130</v>
      </c>
      <c r="D1454" t="s">
        <v>179</v>
      </c>
      <c r="E1454" t="s">
        <v>188</v>
      </c>
      <c r="F1454" t="s">
        <v>251</v>
      </c>
      <c r="G1454" t="s">
        <v>252</v>
      </c>
      <c r="I1454" t="s">
        <v>265</v>
      </c>
      <c r="K1454" t="s">
        <v>254</v>
      </c>
      <c r="M1454" t="s">
        <v>47</v>
      </c>
      <c r="N1454" s="1" t="e">
        <f t="shared" si="320"/>
        <v>#VALUE!</v>
      </c>
      <c r="O1454" s="1" t="e">
        <f t="shared" si="321"/>
        <v>#VALUE!</v>
      </c>
      <c r="P1454" s="1" t="e">
        <f t="shared" si="322"/>
        <v>#VALUE!</v>
      </c>
      <c r="Q1454" s="1" t="e">
        <f t="shared" si="323"/>
        <v>#VALUE!</v>
      </c>
      <c r="R1454" s="1" t="e">
        <f t="shared" si="324"/>
        <v>#VALUE!</v>
      </c>
      <c r="S1454" s="1" t="e">
        <f t="shared" si="325"/>
        <v>#VALUE!</v>
      </c>
      <c r="T1454" s="1" t="e">
        <f t="shared" si="326"/>
        <v>#VALUE!</v>
      </c>
      <c r="U1454" s="26" t="e">
        <f t="shared" si="327"/>
        <v>#VALUE!</v>
      </c>
      <c r="V1454" s="26" t="e">
        <f t="shared" si="328"/>
        <v>#VALUE!</v>
      </c>
      <c r="W1454" s="1" t="e">
        <f t="shared" si="329"/>
        <v>#VALUE!</v>
      </c>
      <c r="X1454" s="26" t="e">
        <f t="shared" si="330"/>
        <v>#VALUE!</v>
      </c>
      <c r="Y1454" s="26" t="e">
        <f t="shared" si="331"/>
        <v>#VALUE!</v>
      </c>
      <c r="Z1454" s="1" t="e">
        <f t="shared" si="332"/>
        <v>#VALUE!</v>
      </c>
      <c r="AA1454"/>
      <c r="AB1454"/>
    </row>
    <row r="1455" spans="1:28" x14ac:dyDescent="0.55000000000000004">
      <c r="A1455" s="1">
        <f t="shared" si="319"/>
        <v>1455</v>
      </c>
      <c r="B1455" t="s">
        <v>40</v>
      </c>
      <c r="C1455" t="s">
        <v>130</v>
      </c>
      <c r="D1455" t="s">
        <v>179</v>
      </c>
      <c r="E1455" t="s">
        <v>188</v>
      </c>
      <c r="F1455" t="s">
        <v>251</v>
      </c>
      <c r="G1455" t="s">
        <v>266</v>
      </c>
      <c r="I1455" t="s">
        <v>255</v>
      </c>
      <c r="K1455" t="s">
        <v>267</v>
      </c>
      <c r="M1455" t="s">
        <v>47</v>
      </c>
      <c r="N1455" s="1" t="e">
        <f t="shared" si="320"/>
        <v>#VALUE!</v>
      </c>
      <c r="O1455" s="1" t="e">
        <f t="shared" si="321"/>
        <v>#VALUE!</v>
      </c>
      <c r="P1455" s="1" t="e">
        <f t="shared" si="322"/>
        <v>#VALUE!</v>
      </c>
      <c r="Q1455" s="1" t="e">
        <f t="shared" si="323"/>
        <v>#VALUE!</v>
      </c>
      <c r="R1455" s="1" t="e">
        <f t="shared" si="324"/>
        <v>#VALUE!</v>
      </c>
      <c r="S1455" s="1" t="e">
        <f t="shared" si="325"/>
        <v>#VALUE!</v>
      </c>
      <c r="T1455" s="1" t="e">
        <f t="shared" si="326"/>
        <v>#VALUE!</v>
      </c>
      <c r="U1455" s="26" t="e">
        <f t="shared" si="327"/>
        <v>#VALUE!</v>
      </c>
      <c r="V1455" s="26" t="e">
        <f t="shared" si="328"/>
        <v>#VALUE!</v>
      </c>
      <c r="W1455" s="1" t="e">
        <f t="shared" si="329"/>
        <v>#VALUE!</v>
      </c>
      <c r="X1455" s="26" t="e">
        <f t="shared" si="330"/>
        <v>#VALUE!</v>
      </c>
      <c r="Y1455" s="26" t="e">
        <f t="shared" si="331"/>
        <v>#VALUE!</v>
      </c>
      <c r="Z1455" s="1" t="e">
        <f t="shared" si="332"/>
        <v>#VALUE!</v>
      </c>
      <c r="AA1455"/>
      <c r="AB1455"/>
    </row>
    <row r="1456" spans="1:28" x14ac:dyDescent="0.55000000000000004">
      <c r="A1456" s="1">
        <f t="shared" si="319"/>
        <v>1456</v>
      </c>
      <c r="B1456" t="s">
        <v>34</v>
      </c>
      <c r="C1456" t="s">
        <v>198</v>
      </c>
      <c r="D1456" t="s">
        <v>177</v>
      </c>
      <c r="E1456" t="s">
        <v>201</v>
      </c>
      <c r="F1456" t="s">
        <v>202</v>
      </c>
      <c r="G1456" t="s">
        <v>93</v>
      </c>
      <c r="I1456" t="s">
        <v>89</v>
      </c>
      <c r="K1456" t="s">
        <v>113</v>
      </c>
      <c r="M1456" t="s">
        <v>47</v>
      </c>
      <c r="N1456" s="1" t="e">
        <f t="shared" si="320"/>
        <v>#VALUE!</v>
      </c>
      <c r="O1456" s="1" t="e">
        <f t="shared" si="321"/>
        <v>#VALUE!</v>
      </c>
      <c r="P1456" s="1" t="e">
        <f t="shared" si="322"/>
        <v>#VALUE!</v>
      </c>
      <c r="Q1456" s="1" t="e">
        <f t="shared" si="323"/>
        <v>#VALUE!</v>
      </c>
      <c r="R1456" s="1" t="e">
        <f t="shared" si="324"/>
        <v>#VALUE!</v>
      </c>
      <c r="S1456" s="1" t="e">
        <f t="shared" si="325"/>
        <v>#VALUE!</v>
      </c>
      <c r="T1456" s="1" t="e">
        <f t="shared" si="326"/>
        <v>#VALUE!</v>
      </c>
      <c r="U1456" s="26" t="e">
        <f t="shared" si="327"/>
        <v>#VALUE!</v>
      </c>
      <c r="V1456" s="26" t="e">
        <f t="shared" si="328"/>
        <v>#VALUE!</v>
      </c>
      <c r="W1456" s="1" t="e">
        <f t="shared" si="329"/>
        <v>#VALUE!</v>
      </c>
      <c r="X1456" s="26" t="e">
        <f t="shared" si="330"/>
        <v>#VALUE!</v>
      </c>
      <c r="Y1456" s="26" t="e">
        <f t="shared" si="331"/>
        <v>#VALUE!</v>
      </c>
      <c r="Z1456" s="1" t="e">
        <f t="shared" si="332"/>
        <v>#VALUE!</v>
      </c>
      <c r="AA1456"/>
      <c r="AB1456"/>
    </row>
    <row r="1457" spans="1:28" x14ac:dyDescent="0.55000000000000004">
      <c r="A1457" s="1">
        <f t="shared" si="319"/>
        <v>1457</v>
      </c>
      <c r="B1457" t="s">
        <v>30</v>
      </c>
      <c r="C1457" t="s">
        <v>111</v>
      </c>
      <c r="D1457" t="s">
        <v>189</v>
      </c>
      <c r="E1457" t="s">
        <v>190</v>
      </c>
      <c r="F1457" t="s">
        <v>181</v>
      </c>
      <c r="G1457" t="s">
        <v>55</v>
      </c>
      <c r="I1457" t="s">
        <v>52</v>
      </c>
      <c r="K1457" t="s">
        <v>75</v>
      </c>
      <c r="M1457" t="s">
        <v>47</v>
      </c>
      <c r="N1457" s="1" t="e">
        <f t="shared" si="320"/>
        <v>#VALUE!</v>
      </c>
      <c r="O1457" s="1" t="e">
        <f t="shared" si="321"/>
        <v>#VALUE!</v>
      </c>
      <c r="P1457" s="1" t="e">
        <f t="shared" si="322"/>
        <v>#VALUE!</v>
      </c>
      <c r="Q1457" s="1" t="e">
        <f t="shared" si="323"/>
        <v>#VALUE!</v>
      </c>
      <c r="R1457" s="1" t="e">
        <f t="shared" si="324"/>
        <v>#VALUE!</v>
      </c>
      <c r="S1457" s="1" t="e">
        <f t="shared" si="325"/>
        <v>#VALUE!</v>
      </c>
      <c r="T1457" s="1" t="e">
        <f t="shared" si="326"/>
        <v>#VALUE!</v>
      </c>
      <c r="U1457" s="26" t="e">
        <f t="shared" si="327"/>
        <v>#VALUE!</v>
      </c>
      <c r="V1457" s="26" t="e">
        <f t="shared" si="328"/>
        <v>#VALUE!</v>
      </c>
      <c r="W1457" s="1" t="e">
        <f t="shared" si="329"/>
        <v>#VALUE!</v>
      </c>
      <c r="X1457" s="26" t="e">
        <f t="shared" si="330"/>
        <v>#VALUE!</v>
      </c>
      <c r="Y1457" s="26" t="e">
        <f t="shared" si="331"/>
        <v>#VALUE!</v>
      </c>
      <c r="Z1457" s="1" t="e">
        <f t="shared" si="332"/>
        <v>#VALUE!</v>
      </c>
      <c r="AA1457"/>
      <c r="AB1457"/>
    </row>
    <row r="1458" spans="1:28" x14ac:dyDescent="0.55000000000000004">
      <c r="A1458" s="1">
        <f t="shared" si="319"/>
        <v>1458</v>
      </c>
      <c r="B1458" t="s">
        <v>34</v>
      </c>
      <c r="C1458" t="s">
        <v>198</v>
      </c>
      <c r="D1458" t="s">
        <v>189</v>
      </c>
      <c r="E1458" t="s">
        <v>190</v>
      </c>
      <c r="F1458" t="s">
        <v>202</v>
      </c>
      <c r="G1458" t="s">
        <v>86</v>
      </c>
      <c r="I1458" t="s">
        <v>92</v>
      </c>
      <c r="K1458" t="s">
        <v>88</v>
      </c>
      <c r="M1458" t="s">
        <v>47</v>
      </c>
      <c r="N1458" s="1" t="e">
        <f t="shared" si="320"/>
        <v>#VALUE!</v>
      </c>
      <c r="O1458" s="1" t="e">
        <f t="shared" si="321"/>
        <v>#VALUE!</v>
      </c>
      <c r="P1458" s="1" t="e">
        <f t="shared" si="322"/>
        <v>#VALUE!</v>
      </c>
      <c r="Q1458" s="1" t="e">
        <f t="shared" si="323"/>
        <v>#VALUE!</v>
      </c>
      <c r="R1458" s="1" t="e">
        <f t="shared" si="324"/>
        <v>#VALUE!</v>
      </c>
      <c r="S1458" s="1" t="e">
        <f t="shared" si="325"/>
        <v>#VALUE!</v>
      </c>
      <c r="T1458" s="1" t="e">
        <f t="shared" si="326"/>
        <v>#VALUE!</v>
      </c>
      <c r="U1458" s="26" t="e">
        <f t="shared" si="327"/>
        <v>#VALUE!</v>
      </c>
      <c r="V1458" s="26" t="e">
        <f t="shared" si="328"/>
        <v>#VALUE!</v>
      </c>
      <c r="W1458" s="1" t="e">
        <f t="shared" si="329"/>
        <v>#VALUE!</v>
      </c>
      <c r="X1458" s="26" t="e">
        <f t="shared" si="330"/>
        <v>#VALUE!</v>
      </c>
      <c r="Y1458" s="26" t="e">
        <f t="shared" si="331"/>
        <v>#VALUE!</v>
      </c>
      <c r="Z1458" s="1" t="e">
        <f t="shared" si="332"/>
        <v>#VALUE!</v>
      </c>
      <c r="AA1458"/>
      <c r="AB1458"/>
    </row>
    <row r="1459" spans="1:28" x14ac:dyDescent="0.55000000000000004">
      <c r="A1459" s="1">
        <f t="shared" si="319"/>
        <v>1459</v>
      </c>
      <c r="B1459" t="s">
        <v>34</v>
      </c>
      <c r="C1459" t="s">
        <v>153</v>
      </c>
      <c r="D1459" t="s">
        <v>174</v>
      </c>
      <c r="E1459" t="s">
        <v>300</v>
      </c>
      <c r="F1459" t="s">
        <v>181</v>
      </c>
      <c r="G1459" t="s">
        <v>99</v>
      </c>
      <c r="I1459" t="s">
        <v>95</v>
      </c>
      <c r="K1459" t="s">
        <v>107</v>
      </c>
      <c r="M1459" t="s">
        <v>47</v>
      </c>
      <c r="N1459" s="1" t="e">
        <f t="shared" si="320"/>
        <v>#VALUE!</v>
      </c>
      <c r="O1459" s="1" t="e">
        <f t="shared" si="321"/>
        <v>#VALUE!</v>
      </c>
      <c r="P1459" s="1" t="e">
        <f t="shared" si="322"/>
        <v>#VALUE!</v>
      </c>
      <c r="Q1459" s="1" t="e">
        <f t="shared" si="323"/>
        <v>#VALUE!</v>
      </c>
      <c r="R1459" s="1" t="e">
        <f t="shared" si="324"/>
        <v>#VALUE!</v>
      </c>
      <c r="S1459" s="1" t="e">
        <f t="shared" si="325"/>
        <v>#VALUE!</v>
      </c>
      <c r="T1459" s="1" t="e">
        <f t="shared" si="326"/>
        <v>#VALUE!</v>
      </c>
      <c r="U1459" s="26" t="e">
        <f t="shared" si="327"/>
        <v>#VALUE!</v>
      </c>
      <c r="V1459" s="26" t="e">
        <f t="shared" si="328"/>
        <v>#VALUE!</v>
      </c>
      <c r="W1459" s="1" t="e">
        <f t="shared" si="329"/>
        <v>#VALUE!</v>
      </c>
      <c r="X1459" s="26" t="e">
        <f t="shared" si="330"/>
        <v>#VALUE!</v>
      </c>
      <c r="Y1459" s="26" t="e">
        <f t="shared" si="331"/>
        <v>#VALUE!</v>
      </c>
      <c r="Z1459" s="1" t="e">
        <f t="shared" si="332"/>
        <v>#VALUE!</v>
      </c>
      <c r="AA1459"/>
      <c r="AB1459"/>
    </row>
    <row r="1460" spans="1:28" x14ac:dyDescent="0.55000000000000004">
      <c r="A1460" s="1">
        <f t="shared" si="319"/>
        <v>1460</v>
      </c>
      <c r="B1460" t="s">
        <v>35</v>
      </c>
      <c r="C1460" t="s">
        <v>126</v>
      </c>
      <c r="D1460" t="s">
        <v>174</v>
      </c>
      <c r="E1460" t="s">
        <v>300</v>
      </c>
      <c r="F1460" t="s">
        <v>181</v>
      </c>
      <c r="G1460" t="s">
        <v>306</v>
      </c>
      <c r="I1460" t="s">
        <v>307</v>
      </c>
      <c r="K1460" t="s">
        <v>308</v>
      </c>
      <c r="M1460" t="s">
        <v>47</v>
      </c>
      <c r="N1460" s="1" t="e">
        <f t="shared" si="320"/>
        <v>#VALUE!</v>
      </c>
      <c r="O1460" s="1" t="e">
        <f t="shared" si="321"/>
        <v>#VALUE!</v>
      </c>
      <c r="P1460" s="1" t="e">
        <f t="shared" si="322"/>
        <v>#VALUE!</v>
      </c>
      <c r="Q1460" s="1" t="e">
        <f t="shared" si="323"/>
        <v>#VALUE!</v>
      </c>
      <c r="R1460" s="1" t="e">
        <f t="shared" si="324"/>
        <v>#VALUE!</v>
      </c>
      <c r="S1460" s="1" t="e">
        <f t="shared" si="325"/>
        <v>#VALUE!</v>
      </c>
      <c r="T1460" s="1" t="e">
        <f t="shared" si="326"/>
        <v>#VALUE!</v>
      </c>
      <c r="U1460" s="26" t="e">
        <f t="shared" si="327"/>
        <v>#VALUE!</v>
      </c>
      <c r="V1460" s="26" t="e">
        <f t="shared" si="328"/>
        <v>#VALUE!</v>
      </c>
      <c r="W1460" s="1" t="e">
        <f t="shared" si="329"/>
        <v>#VALUE!</v>
      </c>
      <c r="X1460" s="26" t="e">
        <f t="shared" si="330"/>
        <v>#VALUE!</v>
      </c>
      <c r="Y1460" s="26" t="e">
        <f t="shared" si="331"/>
        <v>#VALUE!</v>
      </c>
      <c r="Z1460" s="1" t="e">
        <f t="shared" si="332"/>
        <v>#VALUE!</v>
      </c>
      <c r="AA1460"/>
      <c r="AB1460"/>
    </row>
    <row r="1461" spans="1:28" x14ac:dyDescent="0.55000000000000004">
      <c r="A1461" s="1">
        <f t="shared" si="319"/>
        <v>1461</v>
      </c>
      <c r="B1461" t="s">
        <v>35</v>
      </c>
      <c r="C1461" t="s">
        <v>126</v>
      </c>
      <c r="D1461" t="s">
        <v>174</v>
      </c>
      <c r="E1461" t="s">
        <v>300</v>
      </c>
      <c r="F1461" t="s">
        <v>181</v>
      </c>
      <c r="G1461" t="s">
        <v>211</v>
      </c>
      <c r="I1461" t="s">
        <v>204</v>
      </c>
      <c r="K1461" t="s">
        <v>309</v>
      </c>
      <c r="M1461" t="s">
        <v>47</v>
      </c>
      <c r="N1461" s="1" t="e">
        <f t="shared" si="320"/>
        <v>#VALUE!</v>
      </c>
      <c r="O1461" s="1" t="e">
        <f t="shared" si="321"/>
        <v>#VALUE!</v>
      </c>
      <c r="P1461" s="1" t="e">
        <f t="shared" si="322"/>
        <v>#VALUE!</v>
      </c>
      <c r="Q1461" s="1" t="e">
        <f t="shared" si="323"/>
        <v>#VALUE!</v>
      </c>
      <c r="R1461" s="1" t="e">
        <f t="shared" si="324"/>
        <v>#VALUE!</v>
      </c>
      <c r="S1461" s="1" t="e">
        <f t="shared" si="325"/>
        <v>#VALUE!</v>
      </c>
      <c r="T1461" s="1" t="e">
        <f t="shared" si="326"/>
        <v>#VALUE!</v>
      </c>
      <c r="U1461" s="26" t="e">
        <f t="shared" si="327"/>
        <v>#VALUE!</v>
      </c>
      <c r="V1461" s="26" t="e">
        <f t="shared" si="328"/>
        <v>#VALUE!</v>
      </c>
      <c r="W1461" s="1" t="e">
        <f t="shared" si="329"/>
        <v>#VALUE!</v>
      </c>
      <c r="X1461" s="26" t="e">
        <f t="shared" si="330"/>
        <v>#VALUE!</v>
      </c>
      <c r="Y1461" s="26" t="e">
        <f t="shared" si="331"/>
        <v>#VALUE!</v>
      </c>
      <c r="Z1461" s="1" t="e">
        <f t="shared" si="332"/>
        <v>#VALUE!</v>
      </c>
      <c r="AA1461"/>
      <c r="AB1461"/>
    </row>
    <row r="1462" spans="1:28" x14ac:dyDescent="0.55000000000000004">
      <c r="A1462" s="1">
        <f t="shared" si="319"/>
        <v>1462</v>
      </c>
      <c r="B1462" t="s">
        <v>35</v>
      </c>
      <c r="C1462" t="s">
        <v>126</v>
      </c>
      <c r="D1462" t="s">
        <v>174</v>
      </c>
      <c r="E1462" t="s">
        <v>300</v>
      </c>
      <c r="F1462" t="s">
        <v>302</v>
      </c>
      <c r="G1462" t="s">
        <v>303</v>
      </c>
      <c r="I1462" t="s">
        <v>208</v>
      </c>
      <c r="K1462" t="s">
        <v>305</v>
      </c>
      <c r="M1462" t="s">
        <v>47</v>
      </c>
      <c r="N1462" s="1" t="e">
        <f t="shared" si="320"/>
        <v>#VALUE!</v>
      </c>
      <c r="O1462" s="1" t="e">
        <f t="shared" si="321"/>
        <v>#VALUE!</v>
      </c>
      <c r="P1462" s="1" t="e">
        <f t="shared" si="322"/>
        <v>#VALUE!</v>
      </c>
      <c r="Q1462" s="1" t="e">
        <f t="shared" si="323"/>
        <v>#VALUE!</v>
      </c>
      <c r="R1462" s="1" t="e">
        <f t="shared" si="324"/>
        <v>#VALUE!</v>
      </c>
      <c r="S1462" s="1" t="e">
        <f t="shared" si="325"/>
        <v>#VALUE!</v>
      </c>
      <c r="T1462" s="1" t="e">
        <f t="shared" si="326"/>
        <v>#VALUE!</v>
      </c>
      <c r="U1462" s="26" t="e">
        <f t="shared" si="327"/>
        <v>#VALUE!</v>
      </c>
      <c r="V1462" s="26" t="e">
        <f t="shared" si="328"/>
        <v>#VALUE!</v>
      </c>
      <c r="W1462" s="1" t="e">
        <f t="shared" si="329"/>
        <v>#VALUE!</v>
      </c>
      <c r="X1462" s="26" t="e">
        <f t="shared" si="330"/>
        <v>#VALUE!</v>
      </c>
      <c r="Y1462" s="26" t="e">
        <f t="shared" si="331"/>
        <v>#VALUE!</v>
      </c>
      <c r="Z1462" s="1" t="e">
        <f t="shared" si="332"/>
        <v>#VALUE!</v>
      </c>
      <c r="AA1462"/>
      <c r="AB1462"/>
    </row>
    <row r="1463" spans="1:28" x14ac:dyDescent="0.55000000000000004">
      <c r="A1463" s="1">
        <f t="shared" si="319"/>
        <v>1463</v>
      </c>
      <c r="B1463" t="s">
        <v>37</v>
      </c>
      <c r="C1463" t="s">
        <v>82</v>
      </c>
      <c r="D1463" t="s">
        <v>174</v>
      </c>
      <c r="E1463" t="s">
        <v>300</v>
      </c>
      <c r="F1463" t="s">
        <v>315</v>
      </c>
      <c r="G1463" t="s">
        <v>313</v>
      </c>
      <c r="I1463" t="s">
        <v>312</v>
      </c>
      <c r="K1463" t="s">
        <v>317</v>
      </c>
      <c r="M1463" t="s">
        <v>47</v>
      </c>
      <c r="N1463" s="1" t="e">
        <f t="shared" si="320"/>
        <v>#VALUE!</v>
      </c>
      <c r="O1463" s="1" t="e">
        <f t="shared" si="321"/>
        <v>#VALUE!</v>
      </c>
      <c r="P1463" s="1" t="e">
        <f t="shared" si="322"/>
        <v>#VALUE!</v>
      </c>
      <c r="Q1463" s="1" t="e">
        <f t="shared" si="323"/>
        <v>#VALUE!</v>
      </c>
      <c r="R1463" s="1" t="e">
        <f t="shared" si="324"/>
        <v>#VALUE!</v>
      </c>
      <c r="S1463" s="1" t="e">
        <f t="shared" si="325"/>
        <v>#VALUE!</v>
      </c>
      <c r="T1463" s="1" t="e">
        <f t="shared" si="326"/>
        <v>#VALUE!</v>
      </c>
      <c r="U1463" s="26" t="e">
        <f t="shared" si="327"/>
        <v>#VALUE!</v>
      </c>
      <c r="V1463" s="26" t="e">
        <f t="shared" si="328"/>
        <v>#VALUE!</v>
      </c>
      <c r="W1463" s="1" t="e">
        <f t="shared" si="329"/>
        <v>#VALUE!</v>
      </c>
      <c r="X1463" s="26" t="e">
        <f t="shared" si="330"/>
        <v>#VALUE!</v>
      </c>
      <c r="Y1463" s="26" t="e">
        <f t="shared" si="331"/>
        <v>#VALUE!</v>
      </c>
      <c r="Z1463" s="1" t="e">
        <f t="shared" si="332"/>
        <v>#VALUE!</v>
      </c>
      <c r="AA1463"/>
      <c r="AB1463"/>
    </row>
    <row r="1464" spans="1:28" x14ac:dyDescent="0.55000000000000004">
      <c r="A1464" s="1">
        <f t="shared" si="319"/>
        <v>1464</v>
      </c>
      <c r="B1464" t="s">
        <v>37</v>
      </c>
      <c r="C1464" t="s">
        <v>82</v>
      </c>
      <c r="D1464" t="s">
        <v>174</v>
      </c>
      <c r="E1464" t="s">
        <v>300</v>
      </c>
      <c r="F1464" t="s">
        <v>315</v>
      </c>
      <c r="G1464" t="s">
        <v>321</v>
      </c>
      <c r="I1464" t="s">
        <v>324</v>
      </c>
      <c r="K1464" t="s">
        <v>323</v>
      </c>
      <c r="M1464" t="s">
        <v>47</v>
      </c>
      <c r="N1464" s="1" t="e">
        <f t="shared" si="320"/>
        <v>#VALUE!</v>
      </c>
      <c r="O1464" s="1" t="e">
        <f t="shared" si="321"/>
        <v>#VALUE!</v>
      </c>
      <c r="P1464" s="1" t="e">
        <f t="shared" si="322"/>
        <v>#VALUE!</v>
      </c>
      <c r="Q1464" s="1" t="e">
        <f t="shared" si="323"/>
        <v>#VALUE!</v>
      </c>
      <c r="R1464" s="1" t="e">
        <f t="shared" si="324"/>
        <v>#VALUE!</v>
      </c>
      <c r="S1464" s="1" t="e">
        <f t="shared" si="325"/>
        <v>#VALUE!</v>
      </c>
      <c r="T1464" s="1" t="e">
        <f t="shared" si="326"/>
        <v>#VALUE!</v>
      </c>
      <c r="U1464" s="26" t="e">
        <f t="shared" si="327"/>
        <v>#VALUE!</v>
      </c>
      <c r="V1464" s="26" t="e">
        <f t="shared" si="328"/>
        <v>#VALUE!</v>
      </c>
      <c r="W1464" s="1" t="e">
        <f t="shared" si="329"/>
        <v>#VALUE!</v>
      </c>
      <c r="X1464" s="26" t="e">
        <f t="shared" si="330"/>
        <v>#VALUE!</v>
      </c>
      <c r="Y1464" s="26" t="e">
        <f t="shared" si="331"/>
        <v>#VALUE!</v>
      </c>
      <c r="Z1464" s="1" t="e">
        <f t="shared" si="332"/>
        <v>#VALUE!</v>
      </c>
      <c r="AA1464"/>
      <c r="AB1464"/>
    </row>
    <row r="1465" spans="1:28" x14ac:dyDescent="0.55000000000000004">
      <c r="A1465" s="1">
        <f t="shared" si="319"/>
        <v>1465</v>
      </c>
      <c r="B1465" t="s">
        <v>37</v>
      </c>
      <c r="C1465" t="s">
        <v>82</v>
      </c>
      <c r="D1465" t="s">
        <v>174</v>
      </c>
      <c r="E1465" t="s">
        <v>300</v>
      </c>
      <c r="F1465" t="s">
        <v>315</v>
      </c>
      <c r="G1465" t="s">
        <v>328</v>
      </c>
      <c r="I1465" t="s">
        <v>318</v>
      </c>
      <c r="K1465" t="s">
        <v>329</v>
      </c>
      <c r="M1465" t="s">
        <v>47</v>
      </c>
      <c r="N1465" s="1" t="e">
        <f t="shared" si="320"/>
        <v>#VALUE!</v>
      </c>
      <c r="O1465" s="1" t="e">
        <f t="shared" si="321"/>
        <v>#VALUE!</v>
      </c>
      <c r="P1465" s="1" t="e">
        <f t="shared" si="322"/>
        <v>#VALUE!</v>
      </c>
      <c r="Q1465" s="1" t="e">
        <f t="shared" si="323"/>
        <v>#VALUE!</v>
      </c>
      <c r="R1465" s="1" t="e">
        <f t="shared" si="324"/>
        <v>#VALUE!</v>
      </c>
      <c r="S1465" s="1" t="e">
        <f t="shared" si="325"/>
        <v>#VALUE!</v>
      </c>
      <c r="T1465" s="1" t="e">
        <f t="shared" si="326"/>
        <v>#VALUE!</v>
      </c>
      <c r="U1465" s="26" t="e">
        <f t="shared" si="327"/>
        <v>#VALUE!</v>
      </c>
      <c r="V1465" s="26" t="e">
        <f t="shared" si="328"/>
        <v>#VALUE!</v>
      </c>
      <c r="W1465" s="1" t="e">
        <f t="shared" si="329"/>
        <v>#VALUE!</v>
      </c>
      <c r="X1465" s="26" t="e">
        <f t="shared" si="330"/>
        <v>#VALUE!</v>
      </c>
      <c r="Y1465" s="26" t="e">
        <f t="shared" si="331"/>
        <v>#VALUE!</v>
      </c>
      <c r="Z1465" s="1" t="e">
        <f t="shared" si="332"/>
        <v>#VALUE!</v>
      </c>
      <c r="AA1465"/>
      <c r="AB1465"/>
    </row>
    <row r="1466" spans="1:28" x14ac:dyDescent="0.55000000000000004">
      <c r="A1466" s="1">
        <f t="shared" si="319"/>
        <v>1466</v>
      </c>
      <c r="B1466" t="s">
        <v>37</v>
      </c>
      <c r="C1466" t="s">
        <v>82</v>
      </c>
      <c r="D1466" t="s">
        <v>174</v>
      </c>
      <c r="E1466" t="s">
        <v>300</v>
      </c>
      <c r="F1466" t="s">
        <v>311</v>
      </c>
      <c r="G1466" t="s">
        <v>319</v>
      </c>
      <c r="I1466" t="s">
        <v>322</v>
      </c>
      <c r="K1466" t="s">
        <v>330</v>
      </c>
      <c r="M1466" t="s">
        <v>47</v>
      </c>
      <c r="N1466" s="1" t="e">
        <f t="shared" si="320"/>
        <v>#VALUE!</v>
      </c>
      <c r="O1466" s="1" t="e">
        <f t="shared" si="321"/>
        <v>#VALUE!</v>
      </c>
      <c r="P1466" s="1" t="e">
        <f t="shared" si="322"/>
        <v>#VALUE!</v>
      </c>
      <c r="Q1466" s="1" t="e">
        <f t="shared" si="323"/>
        <v>#VALUE!</v>
      </c>
      <c r="R1466" s="1" t="e">
        <f t="shared" si="324"/>
        <v>#VALUE!</v>
      </c>
      <c r="S1466" s="1" t="e">
        <f t="shared" si="325"/>
        <v>#VALUE!</v>
      </c>
      <c r="T1466" s="1" t="e">
        <f t="shared" si="326"/>
        <v>#VALUE!</v>
      </c>
      <c r="U1466" s="26" t="e">
        <f t="shared" si="327"/>
        <v>#VALUE!</v>
      </c>
      <c r="V1466" s="26" t="e">
        <f t="shared" si="328"/>
        <v>#VALUE!</v>
      </c>
      <c r="W1466" s="1" t="e">
        <f t="shared" si="329"/>
        <v>#VALUE!</v>
      </c>
      <c r="X1466" s="26" t="e">
        <f t="shared" si="330"/>
        <v>#VALUE!</v>
      </c>
      <c r="Y1466" s="26" t="e">
        <f t="shared" si="331"/>
        <v>#VALUE!</v>
      </c>
      <c r="Z1466" s="1" t="e">
        <f t="shared" si="332"/>
        <v>#VALUE!</v>
      </c>
      <c r="AA1466"/>
      <c r="AB1466"/>
    </row>
    <row r="1467" spans="1:28" x14ac:dyDescent="0.55000000000000004">
      <c r="A1467" s="1">
        <f t="shared" si="319"/>
        <v>1467</v>
      </c>
      <c r="B1467" t="s">
        <v>30</v>
      </c>
      <c r="C1467" t="s">
        <v>126</v>
      </c>
      <c r="D1467" t="s">
        <v>133</v>
      </c>
      <c r="E1467" t="s">
        <v>354</v>
      </c>
      <c r="F1467" t="s">
        <v>346</v>
      </c>
      <c r="G1467" t="s">
        <v>44</v>
      </c>
      <c r="I1467" t="s">
        <v>57</v>
      </c>
      <c r="K1467" t="s">
        <v>355</v>
      </c>
      <c r="M1467" t="s">
        <v>47</v>
      </c>
      <c r="N1467" s="1" t="e">
        <f t="shared" si="320"/>
        <v>#VALUE!</v>
      </c>
      <c r="O1467" s="1" t="e">
        <f t="shared" si="321"/>
        <v>#VALUE!</v>
      </c>
      <c r="P1467" s="1" t="e">
        <f t="shared" si="322"/>
        <v>#VALUE!</v>
      </c>
      <c r="Q1467" s="1" t="e">
        <f t="shared" si="323"/>
        <v>#VALUE!</v>
      </c>
      <c r="R1467" s="1" t="e">
        <f t="shared" si="324"/>
        <v>#VALUE!</v>
      </c>
      <c r="S1467" s="1" t="e">
        <f t="shared" si="325"/>
        <v>#VALUE!</v>
      </c>
      <c r="T1467" s="1" t="e">
        <f t="shared" si="326"/>
        <v>#VALUE!</v>
      </c>
      <c r="U1467" s="26" t="e">
        <f t="shared" si="327"/>
        <v>#VALUE!</v>
      </c>
      <c r="V1467" s="26" t="e">
        <f t="shared" si="328"/>
        <v>#VALUE!</v>
      </c>
      <c r="W1467" s="1" t="e">
        <f t="shared" si="329"/>
        <v>#VALUE!</v>
      </c>
      <c r="X1467" s="26" t="e">
        <f t="shared" si="330"/>
        <v>#VALUE!</v>
      </c>
      <c r="Y1467" s="26" t="e">
        <f t="shared" si="331"/>
        <v>#VALUE!</v>
      </c>
      <c r="Z1467" s="1" t="e">
        <f t="shared" si="332"/>
        <v>#VALUE!</v>
      </c>
      <c r="AA1467"/>
      <c r="AB1467"/>
    </row>
    <row r="1468" spans="1:28" x14ac:dyDescent="0.55000000000000004">
      <c r="A1468" s="1">
        <f t="shared" si="319"/>
        <v>1468</v>
      </c>
      <c r="B1468" t="s">
        <v>30</v>
      </c>
      <c r="C1468" t="s">
        <v>126</v>
      </c>
      <c r="D1468" t="s">
        <v>133</v>
      </c>
      <c r="E1468" t="s">
        <v>354</v>
      </c>
      <c r="F1468" t="s">
        <v>350</v>
      </c>
      <c r="G1468" t="s">
        <v>61</v>
      </c>
      <c r="I1468" t="s">
        <v>67</v>
      </c>
      <c r="K1468" t="s">
        <v>62</v>
      </c>
      <c r="M1468" t="s">
        <v>47</v>
      </c>
      <c r="N1468" s="1" t="e">
        <f t="shared" si="320"/>
        <v>#VALUE!</v>
      </c>
      <c r="O1468" s="1" t="e">
        <f t="shared" si="321"/>
        <v>#VALUE!</v>
      </c>
      <c r="P1468" s="1" t="e">
        <f t="shared" si="322"/>
        <v>#VALUE!</v>
      </c>
      <c r="Q1468" s="1" t="e">
        <f t="shared" si="323"/>
        <v>#VALUE!</v>
      </c>
      <c r="R1468" s="1" t="e">
        <f t="shared" si="324"/>
        <v>#VALUE!</v>
      </c>
      <c r="S1468" s="1" t="e">
        <f t="shared" si="325"/>
        <v>#VALUE!</v>
      </c>
      <c r="T1468" s="1" t="e">
        <f t="shared" si="326"/>
        <v>#VALUE!</v>
      </c>
      <c r="U1468" s="26" t="e">
        <f t="shared" si="327"/>
        <v>#VALUE!</v>
      </c>
      <c r="V1468" s="26" t="e">
        <f t="shared" si="328"/>
        <v>#VALUE!</v>
      </c>
      <c r="W1468" s="1" t="e">
        <f t="shared" si="329"/>
        <v>#VALUE!</v>
      </c>
      <c r="X1468" s="26" t="e">
        <f t="shared" si="330"/>
        <v>#VALUE!</v>
      </c>
      <c r="Y1468" s="26" t="e">
        <f t="shared" si="331"/>
        <v>#VALUE!</v>
      </c>
      <c r="Z1468" s="1" t="e">
        <f t="shared" si="332"/>
        <v>#VALUE!</v>
      </c>
      <c r="AA1468"/>
      <c r="AB1468"/>
    </row>
    <row r="1469" spans="1:28" x14ac:dyDescent="0.55000000000000004">
      <c r="A1469" s="1">
        <f t="shared" si="319"/>
        <v>1469</v>
      </c>
      <c r="B1469" t="s">
        <v>30</v>
      </c>
      <c r="C1469" t="s">
        <v>126</v>
      </c>
      <c r="D1469" t="s">
        <v>133</v>
      </c>
      <c r="E1469" t="s">
        <v>354</v>
      </c>
      <c r="F1469" t="s">
        <v>347</v>
      </c>
      <c r="G1469" t="s">
        <v>54</v>
      </c>
      <c r="I1469" t="s">
        <v>48</v>
      </c>
      <c r="K1469" t="s">
        <v>56</v>
      </c>
      <c r="M1469" t="s">
        <v>47</v>
      </c>
      <c r="N1469" s="1" t="e">
        <f t="shared" si="320"/>
        <v>#VALUE!</v>
      </c>
      <c r="O1469" s="1" t="e">
        <f t="shared" si="321"/>
        <v>#VALUE!</v>
      </c>
      <c r="P1469" s="1" t="e">
        <f t="shared" si="322"/>
        <v>#VALUE!</v>
      </c>
      <c r="Q1469" s="1" t="e">
        <f t="shared" si="323"/>
        <v>#VALUE!</v>
      </c>
      <c r="R1469" s="1" t="e">
        <f t="shared" si="324"/>
        <v>#VALUE!</v>
      </c>
      <c r="S1469" s="1" t="e">
        <f t="shared" si="325"/>
        <v>#VALUE!</v>
      </c>
      <c r="T1469" s="1" t="e">
        <f t="shared" si="326"/>
        <v>#VALUE!</v>
      </c>
      <c r="U1469" s="26" t="e">
        <f t="shared" si="327"/>
        <v>#VALUE!</v>
      </c>
      <c r="V1469" s="26" t="e">
        <f t="shared" si="328"/>
        <v>#VALUE!</v>
      </c>
      <c r="W1469" s="1" t="e">
        <f t="shared" si="329"/>
        <v>#VALUE!</v>
      </c>
      <c r="X1469" s="26" t="e">
        <f t="shared" si="330"/>
        <v>#VALUE!</v>
      </c>
      <c r="Y1469" s="26" t="e">
        <f t="shared" si="331"/>
        <v>#VALUE!</v>
      </c>
      <c r="Z1469" s="1" t="e">
        <f t="shared" si="332"/>
        <v>#VALUE!</v>
      </c>
      <c r="AA1469"/>
      <c r="AB1469"/>
    </row>
    <row r="1470" spans="1:28" x14ac:dyDescent="0.55000000000000004">
      <c r="A1470" s="1">
        <f t="shared" si="319"/>
        <v>1470</v>
      </c>
      <c r="B1470" t="s">
        <v>33</v>
      </c>
      <c r="C1470" t="s">
        <v>176</v>
      </c>
      <c r="D1470" t="s">
        <v>133</v>
      </c>
      <c r="E1470" t="s">
        <v>354</v>
      </c>
      <c r="F1470" t="s">
        <v>364</v>
      </c>
      <c r="G1470" t="s">
        <v>287</v>
      </c>
      <c r="I1470" t="s">
        <v>291</v>
      </c>
      <c r="K1470" t="s">
        <v>289</v>
      </c>
      <c r="M1470" t="s">
        <v>47</v>
      </c>
      <c r="N1470" s="1" t="e">
        <f t="shared" si="320"/>
        <v>#VALUE!</v>
      </c>
      <c r="O1470" s="1" t="e">
        <f t="shared" si="321"/>
        <v>#VALUE!</v>
      </c>
      <c r="P1470" s="1" t="e">
        <f t="shared" si="322"/>
        <v>#VALUE!</v>
      </c>
      <c r="Q1470" s="1" t="e">
        <f t="shared" si="323"/>
        <v>#VALUE!</v>
      </c>
      <c r="R1470" s="1" t="e">
        <f t="shared" si="324"/>
        <v>#VALUE!</v>
      </c>
      <c r="S1470" s="1" t="e">
        <f t="shared" si="325"/>
        <v>#VALUE!</v>
      </c>
      <c r="T1470" s="1" t="e">
        <f t="shared" si="326"/>
        <v>#VALUE!</v>
      </c>
      <c r="U1470" s="26" t="e">
        <f t="shared" si="327"/>
        <v>#VALUE!</v>
      </c>
      <c r="V1470" s="26" t="e">
        <f t="shared" si="328"/>
        <v>#VALUE!</v>
      </c>
      <c r="W1470" s="1" t="e">
        <f t="shared" si="329"/>
        <v>#VALUE!</v>
      </c>
      <c r="X1470" s="26" t="e">
        <f t="shared" si="330"/>
        <v>#VALUE!</v>
      </c>
      <c r="Y1470" s="26" t="e">
        <f t="shared" si="331"/>
        <v>#VALUE!</v>
      </c>
      <c r="Z1470" s="1" t="e">
        <f t="shared" si="332"/>
        <v>#VALUE!</v>
      </c>
      <c r="AA1470"/>
      <c r="AB1470"/>
    </row>
    <row r="1471" spans="1:28" x14ac:dyDescent="0.55000000000000004">
      <c r="A1471" s="1">
        <f t="shared" si="319"/>
        <v>1471</v>
      </c>
      <c r="B1471" t="s">
        <v>33</v>
      </c>
      <c r="C1471" t="s">
        <v>176</v>
      </c>
      <c r="D1471" t="s">
        <v>133</v>
      </c>
      <c r="E1471" t="s">
        <v>354</v>
      </c>
      <c r="F1471" t="s">
        <v>277</v>
      </c>
      <c r="G1471" t="s">
        <v>279</v>
      </c>
      <c r="I1471" t="s">
        <v>285</v>
      </c>
      <c r="K1471" t="s">
        <v>294</v>
      </c>
      <c r="M1471" t="s">
        <v>47</v>
      </c>
      <c r="N1471" s="1" t="e">
        <f t="shared" si="320"/>
        <v>#VALUE!</v>
      </c>
      <c r="O1471" s="1" t="e">
        <f t="shared" si="321"/>
        <v>#VALUE!</v>
      </c>
      <c r="P1471" s="1" t="e">
        <f t="shared" si="322"/>
        <v>#VALUE!</v>
      </c>
      <c r="Q1471" s="1" t="e">
        <f t="shared" si="323"/>
        <v>#VALUE!</v>
      </c>
      <c r="R1471" s="1" t="e">
        <f t="shared" si="324"/>
        <v>#VALUE!</v>
      </c>
      <c r="S1471" s="1" t="e">
        <f t="shared" si="325"/>
        <v>#VALUE!</v>
      </c>
      <c r="T1471" s="1" t="e">
        <f t="shared" si="326"/>
        <v>#VALUE!</v>
      </c>
      <c r="U1471" s="26" t="e">
        <f t="shared" si="327"/>
        <v>#VALUE!</v>
      </c>
      <c r="V1471" s="26" t="e">
        <f t="shared" si="328"/>
        <v>#VALUE!</v>
      </c>
      <c r="W1471" s="1" t="e">
        <f t="shared" si="329"/>
        <v>#VALUE!</v>
      </c>
      <c r="X1471" s="26" t="e">
        <f t="shared" si="330"/>
        <v>#VALUE!</v>
      </c>
      <c r="Y1471" s="26" t="e">
        <f t="shared" si="331"/>
        <v>#VALUE!</v>
      </c>
      <c r="Z1471" s="1" t="e">
        <f t="shared" si="332"/>
        <v>#VALUE!</v>
      </c>
      <c r="AA1471"/>
      <c r="AB1471"/>
    </row>
    <row r="1472" spans="1:28" x14ac:dyDescent="0.55000000000000004">
      <c r="A1472" s="1">
        <f t="shared" si="319"/>
        <v>1472</v>
      </c>
      <c r="B1472" t="s">
        <v>33</v>
      </c>
      <c r="C1472" t="s">
        <v>176</v>
      </c>
      <c r="D1472" t="s">
        <v>133</v>
      </c>
      <c r="E1472" t="s">
        <v>354</v>
      </c>
      <c r="F1472" t="s">
        <v>277</v>
      </c>
      <c r="G1472" t="s">
        <v>288</v>
      </c>
      <c r="I1472" t="s">
        <v>281</v>
      </c>
      <c r="K1472" t="s">
        <v>361</v>
      </c>
      <c r="M1472" t="s">
        <v>47</v>
      </c>
      <c r="N1472" s="1" t="e">
        <f t="shared" si="320"/>
        <v>#VALUE!</v>
      </c>
      <c r="O1472" s="1" t="e">
        <f t="shared" si="321"/>
        <v>#VALUE!</v>
      </c>
      <c r="P1472" s="1" t="e">
        <f t="shared" si="322"/>
        <v>#VALUE!</v>
      </c>
      <c r="Q1472" s="1" t="e">
        <f t="shared" si="323"/>
        <v>#VALUE!</v>
      </c>
      <c r="R1472" s="1" t="e">
        <f t="shared" si="324"/>
        <v>#VALUE!</v>
      </c>
      <c r="S1472" s="1" t="e">
        <f t="shared" si="325"/>
        <v>#VALUE!</v>
      </c>
      <c r="T1472" s="1" t="e">
        <f t="shared" si="326"/>
        <v>#VALUE!</v>
      </c>
      <c r="U1472" s="26" t="e">
        <f t="shared" si="327"/>
        <v>#VALUE!</v>
      </c>
      <c r="V1472" s="26" t="e">
        <f t="shared" si="328"/>
        <v>#VALUE!</v>
      </c>
      <c r="W1472" s="1" t="e">
        <f t="shared" si="329"/>
        <v>#VALUE!</v>
      </c>
      <c r="X1472" s="26" t="e">
        <f t="shared" si="330"/>
        <v>#VALUE!</v>
      </c>
      <c r="Y1472" s="26" t="e">
        <f t="shared" si="331"/>
        <v>#VALUE!</v>
      </c>
      <c r="Z1472" s="1" t="e">
        <f t="shared" si="332"/>
        <v>#VALUE!</v>
      </c>
      <c r="AA1472"/>
      <c r="AB1472"/>
    </row>
    <row r="1473" spans="1:28" x14ac:dyDescent="0.55000000000000004">
      <c r="A1473" s="1">
        <f t="shared" si="319"/>
        <v>1473</v>
      </c>
      <c r="B1473" t="s">
        <v>33</v>
      </c>
      <c r="C1473" t="s">
        <v>176</v>
      </c>
      <c r="D1473" t="s">
        <v>133</v>
      </c>
      <c r="E1473" t="s">
        <v>354</v>
      </c>
      <c r="F1473" t="s">
        <v>290</v>
      </c>
      <c r="G1473" t="s">
        <v>284</v>
      </c>
      <c r="I1473" t="s">
        <v>282</v>
      </c>
      <c r="K1473" t="s">
        <v>286</v>
      </c>
      <c r="M1473" t="s">
        <v>47</v>
      </c>
      <c r="N1473" s="1" t="e">
        <f t="shared" si="320"/>
        <v>#VALUE!</v>
      </c>
      <c r="O1473" s="1" t="e">
        <f t="shared" si="321"/>
        <v>#VALUE!</v>
      </c>
      <c r="P1473" s="1" t="e">
        <f t="shared" si="322"/>
        <v>#VALUE!</v>
      </c>
      <c r="Q1473" s="1" t="e">
        <f t="shared" si="323"/>
        <v>#VALUE!</v>
      </c>
      <c r="R1473" s="1" t="e">
        <f t="shared" si="324"/>
        <v>#VALUE!</v>
      </c>
      <c r="S1473" s="1" t="e">
        <f t="shared" si="325"/>
        <v>#VALUE!</v>
      </c>
      <c r="T1473" s="1" t="e">
        <f t="shared" si="326"/>
        <v>#VALUE!</v>
      </c>
      <c r="U1473" s="26" t="e">
        <f t="shared" si="327"/>
        <v>#VALUE!</v>
      </c>
      <c r="V1473" s="26" t="e">
        <f t="shared" si="328"/>
        <v>#VALUE!</v>
      </c>
      <c r="W1473" s="1" t="e">
        <f t="shared" si="329"/>
        <v>#VALUE!</v>
      </c>
      <c r="X1473" s="26" t="e">
        <f t="shared" si="330"/>
        <v>#VALUE!</v>
      </c>
      <c r="Y1473" s="26" t="e">
        <f t="shared" si="331"/>
        <v>#VALUE!</v>
      </c>
      <c r="Z1473" s="1" t="e">
        <f t="shared" si="332"/>
        <v>#VALUE!</v>
      </c>
      <c r="AA1473"/>
      <c r="AB1473"/>
    </row>
    <row r="1474" spans="1:28" x14ac:dyDescent="0.55000000000000004">
      <c r="A1474" s="1">
        <f t="shared" si="319"/>
        <v>1474</v>
      </c>
      <c r="B1474" t="s">
        <v>34</v>
      </c>
      <c r="C1474" t="s">
        <v>153</v>
      </c>
      <c r="D1474" t="s">
        <v>133</v>
      </c>
      <c r="E1474" t="s">
        <v>354</v>
      </c>
      <c r="F1474" t="s">
        <v>375</v>
      </c>
      <c r="G1474" t="s">
        <v>93</v>
      </c>
      <c r="I1474" t="s">
        <v>98</v>
      </c>
      <c r="K1474" t="s">
        <v>113</v>
      </c>
      <c r="M1474" t="s">
        <v>47</v>
      </c>
      <c r="N1474" s="1" t="e">
        <f t="shared" si="320"/>
        <v>#VALUE!</v>
      </c>
      <c r="O1474" s="1" t="e">
        <f t="shared" si="321"/>
        <v>#VALUE!</v>
      </c>
      <c r="P1474" s="1" t="e">
        <f t="shared" si="322"/>
        <v>#VALUE!</v>
      </c>
      <c r="Q1474" s="1" t="e">
        <f t="shared" si="323"/>
        <v>#VALUE!</v>
      </c>
      <c r="R1474" s="1" t="e">
        <f t="shared" si="324"/>
        <v>#VALUE!</v>
      </c>
      <c r="S1474" s="1" t="e">
        <f t="shared" si="325"/>
        <v>#VALUE!</v>
      </c>
      <c r="T1474" s="1" t="e">
        <f t="shared" si="326"/>
        <v>#VALUE!</v>
      </c>
      <c r="U1474" s="26" t="e">
        <f t="shared" si="327"/>
        <v>#VALUE!</v>
      </c>
      <c r="V1474" s="26" t="e">
        <f t="shared" si="328"/>
        <v>#VALUE!</v>
      </c>
      <c r="W1474" s="1" t="e">
        <f t="shared" si="329"/>
        <v>#VALUE!</v>
      </c>
      <c r="X1474" s="26" t="e">
        <f t="shared" si="330"/>
        <v>#VALUE!</v>
      </c>
      <c r="Y1474" s="26" t="e">
        <f t="shared" si="331"/>
        <v>#VALUE!</v>
      </c>
      <c r="Z1474" s="1" t="e">
        <f t="shared" si="332"/>
        <v>#VALUE!</v>
      </c>
      <c r="AA1474"/>
      <c r="AB1474"/>
    </row>
    <row r="1475" spans="1:28" x14ac:dyDescent="0.55000000000000004">
      <c r="A1475" s="1">
        <f t="shared" ref="A1475:A1538" si="333">A1474+1</f>
        <v>1475</v>
      </c>
      <c r="B1475" t="s">
        <v>35</v>
      </c>
      <c r="C1475" t="s">
        <v>126</v>
      </c>
      <c r="D1475" t="s">
        <v>133</v>
      </c>
      <c r="E1475" t="s">
        <v>354</v>
      </c>
      <c r="F1475" t="s">
        <v>376</v>
      </c>
      <c r="G1475" t="s">
        <v>210</v>
      </c>
      <c r="I1475" t="s">
        <v>205</v>
      </c>
      <c r="K1475" t="s">
        <v>212</v>
      </c>
      <c r="M1475" t="s">
        <v>47</v>
      </c>
      <c r="N1475" s="1" t="e">
        <f t="shared" ref="N1475:N1538" si="334">VALUE(LEFT(H1475,1))</f>
        <v>#VALUE!</v>
      </c>
      <c r="O1475" s="1" t="e">
        <f t="shared" ref="O1475:O1538" si="335">VALUE(RIGHT(H1475,1))</f>
        <v>#VALUE!</v>
      </c>
      <c r="P1475" s="1" t="e">
        <f t="shared" ref="P1475:P1538" si="336">SUM(N1475,O1475)</f>
        <v>#VALUE!</v>
      </c>
      <c r="Q1475" s="1" t="e">
        <f t="shared" ref="Q1475:Q1538" si="337">IF(N1475&lt;&gt;O1475, 1, 0)</f>
        <v>#VALUE!</v>
      </c>
      <c r="R1475" s="1" t="e">
        <f t="shared" ref="R1475:R1538" si="338">IF(P1475&lt;=4,1,0)</f>
        <v>#VALUE!</v>
      </c>
      <c r="S1475" s="1" t="e">
        <f t="shared" ref="S1475:S1538" si="339">IF(AND(Q1475=1,R1475=1),1,0)</f>
        <v>#VALUE!</v>
      </c>
      <c r="T1475" s="1" t="e">
        <f t="shared" ref="T1475:T1538" si="340">IF(N1475&lt;=2,1,0)</f>
        <v>#VALUE!</v>
      </c>
      <c r="U1475" s="26" t="e">
        <f t="shared" ref="U1475:U1538" si="341">IF(AND(N1475&gt;=1,N1475&lt;=3),1,0)</f>
        <v>#VALUE!</v>
      </c>
      <c r="V1475" s="26" t="e">
        <f t="shared" ref="V1475:V1538" si="342">IF(AND(N1475&gt;=2,N1475&lt;=5),1,0)</f>
        <v>#VALUE!</v>
      </c>
      <c r="W1475" s="1" t="e">
        <f t="shared" ref="W1475:W1538" si="343">IF(O1475&lt;=2,1,0)</f>
        <v>#VALUE!</v>
      </c>
      <c r="X1475" s="26" t="e">
        <f t="shared" ref="X1475:X1538" si="344">IF(AND(O1475&gt;=1,O1475&lt;=3),1,0)</f>
        <v>#VALUE!</v>
      </c>
      <c r="Y1475" s="26" t="e">
        <f t="shared" ref="Y1475:Y1538" si="345">IF(AND(O1475&gt;=2,O1475&lt;=5),1,0)</f>
        <v>#VALUE!</v>
      </c>
      <c r="Z1475" s="1" t="e">
        <f t="shared" ref="Z1475:Z1538" si="346">IF(P1475&gt;=2,1,0)</f>
        <v>#VALUE!</v>
      </c>
      <c r="AA1475"/>
      <c r="AB1475"/>
    </row>
    <row r="1476" spans="1:28" x14ac:dyDescent="0.55000000000000004">
      <c r="A1476" s="1">
        <f t="shared" si="333"/>
        <v>1476</v>
      </c>
      <c r="B1476" t="s">
        <v>35</v>
      </c>
      <c r="C1476" t="s">
        <v>126</v>
      </c>
      <c r="D1476" t="s">
        <v>133</v>
      </c>
      <c r="E1476" t="s">
        <v>354</v>
      </c>
      <c r="F1476" t="s">
        <v>375</v>
      </c>
      <c r="G1476" t="s">
        <v>384</v>
      </c>
      <c r="I1476" t="s">
        <v>207</v>
      </c>
      <c r="K1476" t="s">
        <v>385</v>
      </c>
      <c r="M1476" t="s">
        <v>47</v>
      </c>
      <c r="N1476" s="1" t="e">
        <f t="shared" si="334"/>
        <v>#VALUE!</v>
      </c>
      <c r="O1476" s="1" t="e">
        <f t="shared" si="335"/>
        <v>#VALUE!</v>
      </c>
      <c r="P1476" s="1" t="e">
        <f t="shared" si="336"/>
        <v>#VALUE!</v>
      </c>
      <c r="Q1476" s="1" t="e">
        <f t="shared" si="337"/>
        <v>#VALUE!</v>
      </c>
      <c r="R1476" s="1" t="e">
        <f t="shared" si="338"/>
        <v>#VALUE!</v>
      </c>
      <c r="S1476" s="1" t="e">
        <f t="shared" si="339"/>
        <v>#VALUE!</v>
      </c>
      <c r="T1476" s="1" t="e">
        <f t="shared" si="340"/>
        <v>#VALUE!</v>
      </c>
      <c r="U1476" s="26" t="e">
        <f t="shared" si="341"/>
        <v>#VALUE!</v>
      </c>
      <c r="V1476" s="26" t="e">
        <f t="shared" si="342"/>
        <v>#VALUE!</v>
      </c>
      <c r="W1476" s="1" t="e">
        <f t="shared" si="343"/>
        <v>#VALUE!</v>
      </c>
      <c r="X1476" s="26" t="e">
        <f t="shared" si="344"/>
        <v>#VALUE!</v>
      </c>
      <c r="Y1476" s="26" t="e">
        <f t="shared" si="345"/>
        <v>#VALUE!</v>
      </c>
      <c r="Z1476" s="1" t="e">
        <f t="shared" si="346"/>
        <v>#VALUE!</v>
      </c>
      <c r="AA1476"/>
      <c r="AB1476"/>
    </row>
    <row r="1477" spans="1:28" x14ac:dyDescent="0.55000000000000004">
      <c r="A1477" s="1">
        <f t="shared" si="333"/>
        <v>1477</v>
      </c>
      <c r="B1477" t="s">
        <v>37</v>
      </c>
      <c r="C1477" t="s">
        <v>82</v>
      </c>
      <c r="D1477" t="s">
        <v>133</v>
      </c>
      <c r="E1477" t="s">
        <v>354</v>
      </c>
      <c r="F1477" t="s">
        <v>315</v>
      </c>
      <c r="G1477" t="s">
        <v>316</v>
      </c>
      <c r="I1477" t="s">
        <v>326</v>
      </c>
      <c r="K1477" t="s">
        <v>341</v>
      </c>
      <c r="M1477" t="s">
        <v>47</v>
      </c>
      <c r="N1477" s="1" t="e">
        <f t="shared" si="334"/>
        <v>#VALUE!</v>
      </c>
      <c r="O1477" s="1" t="e">
        <f t="shared" si="335"/>
        <v>#VALUE!</v>
      </c>
      <c r="P1477" s="1" t="e">
        <f t="shared" si="336"/>
        <v>#VALUE!</v>
      </c>
      <c r="Q1477" s="1" t="e">
        <f t="shared" si="337"/>
        <v>#VALUE!</v>
      </c>
      <c r="R1477" s="1" t="e">
        <f t="shared" si="338"/>
        <v>#VALUE!</v>
      </c>
      <c r="S1477" s="1" t="e">
        <f t="shared" si="339"/>
        <v>#VALUE!</v>
      </c>
      <c r="T1477" s="1" t="e">
        <f t="shared" si="340"/>
        <v>#VALUE!</v>
      </c>
      <c r="U1477" s="26" t="e">
        <f t="shared" si="341"/>
        <v>#VALUE!</v>
      </c>
      <c r="V1477" s="26" t="e">
        <f t="shared" si="342"/>
        <v>#VALUE!</v>
      </c>
      <c r="W1477" s="1" t="e">
        <f t="shared" si="343"/>
        <v>#VALUE!</v>
      </c>
      <c r="X1477" s="26" t="e">
        <f t="shared" si="344"/>
        <v>#VALUE!</v>
      </c>
      <c r="Y1477" s="26" t="e">
        <f t="shared" si="345"/>
        <v>#VALUE!</v>
      </c>
      <c r="Z1477" s="1" t="e">
        <f t="shared" si="346"/>
        <v>#VALUE!</v>
      </c>
      <c r="AA1477"/>
      <c r="AB1477"/>
    </row>
    <row r="1478" spans="1:28" x14ac:dyDescent="0.55000000000000004">
      <c r="A1478" s="1">
        <f t="shared" si="333"/>
        <v>1478</v>
      </c>
      <c r="B1478" t="s">
        <v>39</v>
      </c>
      <c r="C1478" t="s">
        <v>76</v>
      </c>
      <c r="D1478" t="s">
        <v>133</v>
      </c>
      <c r="E1478" t="s">
        <v>354</v>
      </c>
      <c r="F1478" t="s">
        <v>390</v>
      </c>
      <c r="G1478" t="s">
        <v>228</v>
      </c>
      <c r="I1478" t="s">
        <v>223</v>
      </c>
      <c r="K1478" t="s">
        <v>230</v>
      </c>
      <c r="M1478" t="s">
        <v>47</v>
      </c>
      <c r="N1478" s="1" t="e">
        <f t="shared" si="334"/>
        <v>#VALUE!</v>
      </c>
      <c r="O1478" s="1" t="e">
        <f t="shared" si="335"/>
        <v>#VALUE!</v>
      </c>
      <c r="P1478" s="1" t="e">
        <f t="shared" si="336"/>
        <v>#VALUE!</v>
      </c>
      <c r="Q1478" s="1" t="e">
        <f t="shared" si="337"/>
        <v>#VALUE!</v>
      </c>
      <c r="R1478" s="1" t="e">
        <f t="shared" si="338"/>
        <v>#VALUE!</v>
      </c>
      <c r="S1478" s="1" t="e">
        <f t="shared" si="339"/>
        <v>#VALUE!</v>
      </c>
      <c r="T1478" s="1" t="e">
        <f t="shared" si="340"/>
        <v>#VALUE!</v>
      </c>
      <c r="U1478" s="26" t="e">
        <f t="shared" si="341"/>
        <v>#VALUE!</v>
      </c>
      <c r="V1478" s="26" t="e">
        <f t="shared" si="342"/>
        <v>#VALUE!</v>
      </c>
      <c r="W1478" s="1" t="e">
        <f t="shared" si="343"/>
        <v>#VALUE!</v>
      </c>
      <c r="X1478" s="26" t="e">
        <f t="shared" si="344"/>
        <v>#VALUE!</v>
      </c>
      <c r="Y1478" s="26" t="e">
        <f t="shared" si="345"/>
        <v>#VALUE!</v>
      </c>
      <c r="Z1478" s="1" t="e">
        <f t="shared" si="346"/>
        <v>#VALUE!</v>
      </c>
      <c r="AA1478"/>
      <c r="AB1478"/>
    </row>
    <row r="1479" spans="1:28" x14ac:dyDescent="0.55000000000000004">
      <c r="A1479" s="1">
        <f t="shared" si="333"/>
        <v>1479</v>
      </c>
      <c r="B1479" t="s">
        <v>39</v>
      </c>
      <c r="C1479" t="s">
        <v>76</v>
      </c>
      <c r="D1479" t="s">
        <v>133</v>
      </c>
      <c r="E1479" t="s">
        <v>354</v>
      </c>
      <c r="F1479" t="s">
        <v>390</v>
      </c>
      <c r="G1479" t="s">
        <v>234</v>
      </c>
      <c r="I1479" t="s">
        <v>226</v>
      </c>
      <c r="K1479" t="s">
        <v>236</v>
      </c>
      <c r="M1479" t="s">
        <v>47</v>
      </c>
      <c r="N1479" s="1" t="e">
        <f t="shared" si="334"/>
        <v>#VALUE!</v>
      </c>
      <c r="O1479" s="1" t="e">
        <f t="shared" si="335"/>
        <v>#VALUE!</v>
      </c>
      <c r="P1479" s="1" t="e">
        <f t="shared" si="336"/>
        <v>#VALUE!</v>
      </c>
      <c r="Q1479" s="1" t="e">
        <f t="shared" si="337"/>
        <v>#VALUE!</v>
      </c>
      <c r="R1479" s="1" t="e">
        <f t="shared" si="338"/>
        <v>#VALUE!</v>
      </c>
      <c r="S1479" s="1" t="e">
        <f t="shared" si="339"/>
        <v>#VALUE!</v>
      </c>
      <c r="T1479" s="1" t="e">
        <f t="shared" si="340"/>
        <v>#VALUE!</v>
      </c>
      <c r="U1479" s="26" t="e">
        <f t="shared" si="341"/>
        <v>#VALUE!</v>
      </c>
      <c r="V1479" s="26" t="e">
        <f t="shared" si="342"/>
        <v>#VALUE!</v>
      </c>
      <c r="W1479" s="1" t="e">
        <f t="shared" si="343"/>
        <v>#VALUE!</v>
      </c>
      <c r="X1479" s="26" t="e">
        <f t="shared" si="344"/>
        <v>#VALUE!</v>
      </c>
      <c r="Y1479" s="26" t="e">
        <f t="shared" si="345"/>
        <v>#VALUE!</v>
      </c>
      <c r="Z1479" s="1" t="e">
        <f t="shared" si="346"/>
        <v>#VALUE!</v>
      </c>
      <c r="AA1479"/>
      <c r="AB1479"/>
    </row>
    <row r="1480" spans="1:28" x14ac:dyDescent="0.55000000000000004">
      <c r="A1480" s="1">
        <f t="shared" si="333"/>
        <v>1480</v>
      </c>
      <c r="B1480" t="s">
        <v>39</v>
      </c>
      <c r="C1480" t="s">
        <v>76</v>
      </c>
      <c r="D1480" t="s">
        <v>133</v>
      </c>
      <c r="E1480" t="s">
        <v>354</v>
      </c>
      <c r="F1480" t="s">
        <v>390</v>
      </c>
      <c r="G1480" t="s">
        <v>225</v>
      </c>
      <c r="I1480" t="s">
        <v>229</v>
      </c>
      <c r="K1480" t="s">
        <v>227</v>
      </c>
      <c r="M1480" t="s">
        <v>47</v>
      </c>
      <c r="N1480" s="1" t="e">
        <f t="shared" si="334"/>
        <v>#VALUE!</v>
      </c>
      <c r="O1480" s="1" t="e">
        <f t="shared" si="335"/>
        <v>#VALUE!</v>
      </c>
      <c r="P1480" s="1" t="e">
        <f t="shared" si="336"/>
        <v>#VALUE!</v>
      </c>
      <c r="Q1480" s="1" t="e">
        <f t="shared" si="337"/>
        <v>#VALUE!</v>
      </c>
      <c r="R1480" s="1" t="e">
        <f t="shared" si="338"/>
        <v>#VALUE!</v>
      </c>
      <c r="S1480" s="1" t="e">
        <f t="shared" si="339"/>
        <v>#VALUE!</v>
      </c>
      <c r="T1480" s="1" t="e">
        <f t="shared" si="340"/>
        <v>#VALUE!</v>
      </c>
      <c r="U1480" s="26" t="e">
        <f t="shared" si="341"/>
        <v>#VALUE!</v>
      </c>
      <c r="V1480" s="26" t="e">
        <f t="shared" si="342"/>
        <v>#VALUE!</v>
      </c>
      <c r="W1480" s="1" t="e">
        <f t="shared" si="343"/>
        <v>#VALUE!</v>
      </c>
      <c r="X1480" s="26" t="e">
        <f t="shared" si="344"/>
        <v>#VALUE!</v>
      </c>
      <c r="Y1480" s="26" t="e">
        <f t="shared" si="345"/>
        <v>#VALUE!</v>
      </c>
      <c r="Z1480" s="1" t="e">
        <f t="shared" si="346"/>
        <v>#VALUE!</v>
      </c>
      <c r="AA1480"/>
      <c r="AB1480"/>
    </row>
    <row r="1481" spans="1:28" x14ac:dyDescent="0.55000000000000004">
      <c r="A1481" s="1">
        <f t="shared" si="333"/>
        <v>1481</v>
      </c>
      <c r="B1481" t="s">
        <v>39</v>
      </c>
      <c r="C1481" t="s">
        <v>76</v>
      </c>
      <c r="D1481" t="s">
        <v>133</v>
      </c>
      <c r="E1481" t="s">
        <v>354</v>
      </c>
      <c r="F1481" t="s">
        <v>390</v>
      </c>
      <c r="G1481" t="s">
        <v>219</v>
      </c>
      <c r="I1481" t="s">
        <v>222</v>
      </c>
      <c r="K1481" t="s">
        <v>221</v>
      </c>
      <c r="M1481" t="s">
        <v>47</v>
      </c>
      <c r="N1481" s="1" t="e">
        <f t="shared" si="334"/>
        <v>#VALUE!</v>
      </c>
      <c r="O1481" s="1" t="e">
        <f t="shared" si="335"/>
        <v>#VALUE!</v>
      </c>
      <c r="P1481" s="1" t="e">
        <f t="shared" si="336"/>
        <v>#VALUE!</v>
      </c>
      <c r="Q1481" s="1" t="e">
        <f t="shared" si="337"/>
        <v>#VALUE!</v>
      </c>
      <c r="R1481" s="1" t="e">
        <f t="shared" si="338"/>
        <v>#VALUE!</v>
      </c>
      <c r="S1481" s="1" t="e">
        <f t="shared" si="339"/>
        <v>#VALUE!</v>
      </c>
      <c r="T1481" s="1" t="e">
        <f t="shared" si="340"/>
        <v>#VALUE!</v>
      </c>
      <c r="U1481" s="26" t="e">
        <f t="shared" si="341"/>
        <v>#VALUE!</v>
      </c>
      <c r="V1481" s="26" t="e">
        <f t="shared" si="342"/>
        <v>#VALUE!</v>
      </c>
      <c r="W1481" s="1" t="e">
        <f t="shared" si="343"/>
        <v>#VALUE!</v>
      </c>
      <c r="X1481" s="26" t="e">
        <f t="shared" si="344"/>
        <v>#VALUE!</v>
      </c>
      <c r="Y1481" s="26" t="e">
        <f t="shared" si="345"/>
        <v>#VALUE!</v>
      </c>
      <c r="Z1481" s="1" t="e">
        <f t="shared" si="346"/>
        <v>#VALUE!</v>
      </c>
      <c r="AA1481"/>
      <c r="AB1481"/>
    </row>
    <row r="1482" spans="1:28" x14ac:dyDescent="0.55000000000000004">
      <c r="A1482" s="1">
        <f t="shared" si="333"/>
        <v>1482</v>
      </c>
      <c r="B1482" t="s">
        <v>30</v>
      </c>
      <c r="C1482" t="s">
        <v>126</v>
      </c>
      <c r="D1482" t="s">
        <v>42</v>
      </c>
      <c r="E1482" t="s">
        <v>406</v>
      </c>
      <c r="F1482" t="s">
        <v>394</v>
      </c>
      <c r="G1482" t="s">
        <v>60</v>
      </c>
      <c r="I1482" t="s">
        <v>58</v>
      </c>
      <c r="K1482" t="s">
        <v>62</v>
      </c>
      <c r="M1482" t="s">
        <v>47</v>
      </c>
      <c r="N1482" s="1" t="e">
        <f t="shared" si="334"/>
        <v>#VALUE!</v>
      </c>
      <c r="O1482" s="1" t="e">
        <f t="shared" si="335"/>
        <v>#VALUE!</v>
      </c>
      <c r="P1482" s="1" t="e">
        <f t="shared" si="336"/>
        <v>#VALUE!</v>
      </c>
      <c r="Q1482" s="1" t="e">
        <f t="shared" si="337"/>
        <v>#VALUE!</v>
      </c>
      <c r="R1482" s="1" t="e">
        <f t="shared" si="338"/>
        <v>#VALUE!</v>
      </c>
      <c r="S1482" s="1" t="e">
        <f t="shared" si="339"/>
        <v>#VALUE!</v>
      </c>
      <c r="T1482" s="1" t="e">
        <f t="shared" si="340"/>
        <v>#VALUE!</v>
      </c>
      <c r="U1482" s="26" t="e">
        <f t="shared" si="341"/>
        <v>#VALUE!</v>
      </c>
      <c r="V1482" s="26" t="e">
        <f t="shared" si="342"/>
        <v>#VALUE!</v>
      </c>
      <c r="W1482" s="1" t="e">
        <f t="shared" si="343"/>
        <v>#VALUE!</v>
      </c>
      <c r="X1482" s="26" t="e">
        <f t="shared" si="344"/>
        <v>#VALUE!</v>
      </c>
      <c r="Y1482" s="26" t="e">
        <f t="shared" si="345"/>
        <v>#VALUE!</v>
      </c>
      <c r="Z1482" s="1" t="e">
        <f t="shared" si="346"/>
        <v>#VALUE!</v>
      </c>
      <c r="AA1482"/>
      <c r="AB1482"/>
    </row>
    <row r="1483" spans="1:28" x14ac:dyDescent="0.55000000000000004">
      <c r="A1483" s="1">
        <f t="shared" si="333"/>
        <v>1483</v>
      </c>
      <c r="B1483" t="s">
        <v>30</v>
      </c>
      <c r="C1483" t="s">
        <v>126</v>
      </c>
      <c r="D1483" t="s">
        <v>42</v>
      </c>
      <c r="E1483" t="s">
        <v>406</v>
      </c>
      <c r="F1483" t="s">
        <v>398</v>
      </c>
      <c r="G1483" t="s">
        <v>51</v>
      </c>
      <c r="I1483" t="s">
        <v>49</v>
      </c>
      <c r="K1483" t="s">
        <v>53</v>
      </c>
      <c r="M1483" t="s">
        <v>47</v>
      </c>
      <c r="N1483" s="1" t="e">
        <f t="shared" si="334"/>
        <v>#VALUE!</v>
      </c>
      <c r="O1483" s="1" t="e">
        <f t="shared" si="335"/>
        <v>#VALUE!</v>
      </c>
      <c r="P1483" s="1" t="e">
        <f t="shared" si="336"/>
        <v>#VALUE!</v>
      </c>
      <c r="Q1483" s="1" t="e">
        <f t="shared" si="337"/>
        <v>#VALUE!</v>
      </c>
      <c r="R1483" s="1" t="e">
        <f t="shared" si="338"/>
        <v>#VALUE!</v>
      </c>
      <c r="S1483" s="1" t="e">
        <f t="shared" si="339"/>
        <v>#VALUE!</v>
      </c>
      <c r="T1483" s="1" t="e">
        <f t="shared" si="340"/>
        <v>#VALUE!</v>
      </c>
      <c r="U1483" s="26" t="e">
        <f t="shared" si="341"/>
        <v>#VALUE!</v>
      </c>
      <c r="V1483" s="26" t="e">
        <f t="shared" si="342"/>
        <v>#VALUE!</v>
      </c>
      <c r="W1483" s="1" t="e">
        <f t="shared" si="343"/>
        <v>#VALUE!</v>
      </c>
      <c r="X1483" s="26" t="e">
        <f t="shared" si="344"/>
        <v>#VALUE!</v>
      </c>
      <c r="Y1483" s="26" t="e">
        <f t="shared" si="345"/>
        <v>#VALUE!</v>
      </c>
      <c r="Z1483" s="1" t="e">
        <f t="shared" si="346"/>
        <v>#VALUE!</v>
      </c>
      <c r="AA1483"/>
      <c r="AB1483"/>
    </row>
    <row r="1484" spans="1:28" x14ac:dyDescent="0.55000000000000004">
      <c r="A1484" s="1">
        <f t="shared" si="333"/>
        <v>1484</v>
      </c>
      <c r="B1484" t="s">
        <v>33</v>
      </c>
      <c r="C1484" t="s">
        <v>176</v>
      </c>
      <c r="D1484" t="s">
        <v>42</v>
      </c>
      <c r="E1484" t="s">
        <v>406</v>
      </c>
      <c r="F1484" t="s">
        <v>364</v>
      </c>
      <c r="G1484" t="s">
        <v>292</v>
      </c>
      <c r="I1484" t="s">
        <v>360</v>
      </c>
      <c r="K1484" t="s">
        <v>408</v>
      </c>
      <c r="M1484" t="s">
        <v>47</v>
      </c>
      <c r="N1484" s="1" t="e">
        <f t="shared" si="334"/>
        <v>#VALUE!</v>
      </c>
      <c r="O1484" s="1" t="e">
        <f t="shared" si="335"/>
        <v>#VALUE!</v>
      </c>
      <c r="P1484" s="1" t="e">
        <f t="shared" si="336"/>
        <v>#VALUE!</v>
      </c>
      <c r="Q1484" s="1" t="e">
        <f t="shared" si="337"/>
        <v>#VALUE!</v>
      </c>
      <c r="R1484" s="1" t="e">
        <f t="shared" si="338"/>
        <v>#VALUE!</v>
      </c>
      <c r="S1484" s="1" t="e">
        <f t="shared" si="339"/>
        <v>#VALUE!</v>
      </c>
      <c r="T1484" s="1" t="e">
        <f t="shared" si="340"/>
        <v>#VALUE!</v>
      </c>
      <c r="U1484" s="26" t="e">
        <f t="shared" si="341"/>
        <v>#VALUE!</v>
      </c>
      <c r="V1484" s="26" t="e">
        <f t="shared" si="342"/>
        <v>#VALUE!</v>
      </c>
      <c r="W1484" s="1" t="e">
        <f t="shared" si="343"/>
        <v>#VALUE!</v>
      </c>
      <c r="X1484" s="26" t="e">
        <f t="shared" si="344"/>
        <v>#VALUE!</v>
      </c>
      <c r="Y1484" s="26" t="e">
        <f t="shared" si="345"/>
        <v>#VALUE!</v>
      </c>
      <c r="Z1484" s="1" t="e">
        <f t="shared" si="346"/>
        <v>#VALUE!</v>
      </c>
      <c r="AA1484"/>
      <c r="AB1484"/>
    </row>
    <row r="1485" spans="1:28" x14ac:dyDescent="0.55000000000000004">
      <c r="A1485" s="1">
        <f t="shared" si="333"/>
        <v>1485</v>
      </c>
      <c r="B1485" t="s">
        <v>33</v>
      </c>
      <c r="C1485" t="s">
        <v>176</v>
      </c>
      <c r="D1485" t="s">
        <v>42</v>
      </c>
      <c r="E1485" t="s">
        <v>406</v>
      </c>
      <c r="F1485" t="s">
        <v>277</v>
      </c>
      <c r="G1485" t="s">
        <v>278</v>
      </c>
      <c r="I1485" t="s">
        <v>367</v>
      </c>
      <c r="K1485" t="s">
        <v>280</v>
      </c>
      <c r="M1485" t="s">
        <v>47</v>
      </c>
      <c r="N1485" s="1" t="e">
        <f t="shared" si="334"/>
        <v>#VALUE!</v>
      </c>
      <c r="O1485" s="1" t="e">
        <f t="shared" si="335"/>
        <v>#VALUE!</v>
      </c>
      <c r="P1485" s="1" t="e">
        <f t="shared" si="336"/>
        <v>#VALUE!</v>
      </c>
      <c r="Q1485" s="1" t="e">
        <f t="shared" si="337"/>
        <v>#VALUE!</v>
      </c>
      <c r="R1485" s="1" t="e">
        <f t="shared" si="338"/>
        <v>#VALUE!</v>
      </c>
      <c r="S1485" s="1" t="e">
        <f t="shared" si="339"/>
        <v>#VALUE!</v>
      </c>
      <c r="T1485" s="1" t="e">
        <f t="shared" si="340"/>
        <v>#VALUE!</v>
      </c>
      <c r="U1485" s="26" t="e">
        <f t="shared" si="341"/>
        <v>#VALUE!</v>
      </c>
      <c r="V1485" s="26" t="e">
        <f t="shared" si="342"/>
        <v>#VALUE!</v>
      </c>
      <c r="W1485" s="1" t="e">
        <f t="shared" si="343"/>
        <v>#VALUE!</v>
      </c>
      <c r="X1485" s="26" t="e">
        <f t="shared" si="344"/>
        <v>#VALUE!</v>
      </c>
      <c r="Y1485" s="26" t="e">
        <f t="shared" si="345"/>
        <v>#VALUE!</v>
      </c>
      <c r="Z1485" s="1" t="e">
        <f t="shared" si="346"/>
        <v>#VALUE!</v>
      </c>
      <c r="AA1485"/>
      <c r="AB1485"/>
    </row>
    <row r="1486" spans="1:28" x14ac:dyDescent="0.55000000000000004">
      <c r="A1486" s="1">
        <f t="shared" si="333"/>
        <v>1486</v>
      </c>
      <c r="B1486" t="s">
        <v>33</v>
      </c>
      <c r="C1486" t="s">
        <v>176</v>
      </c>
      <c r="D1486" t="s">
        <v>42</v>
      </c>
      <c r="E1486" t="s">
        <v>406</v>
      </c>
      <c r="F1486" t="s">
        <v>277</v>
      </c>
      <c r="G1486" t="s">
        <v>365</v>
      </c>
      <c r="I1486" t="s">
        <v>362</v>
      </c>
      <c r="K1486" t="s">
        <v>369</v>
      </c>
      <c r="M1486" t="s">
        <v>47</v>
      </c>
      <c r="N1486" s="1" t="e">
        <f t="shared" si="334"/>
        <v>#VALUE!</v>
      </c>
      <c r="O1486" s="1" t="e">
        <f t="shared" si="335"/>
        <v>#VALUE!</v>
      </c>
      <c r="P1486" s="1" t="e">
        <f t="shared" si="336"/>
        <v>#VALUE!</v>
      </c>
      <c r="Q1486" s="1" t="e">
        <f t="shared" si="337"/>
        <v>#VALUE!</v>
      </c>
      <c r="R1486" s="1" t="e">
        <f t="shared" si="338"/>
        <v>#VALUE!</v>
      </c>
      <c r="S1486" s="1" t="e">
        <f t="shared" si="339"/>
        <v>#VALUE!</v>
      </c>
      <c r="T1486" s="1" t="e">
        <f t="shared" si="340"/>
        <v>#VALUE!</v>
      </c>
      <c r="U1486" s="26" t="e">
        <f t="shared" si="341"/>
        <v>#VALUE!</v>
      </c>
      <c r="V1486" s="26" t="e">
        <f t="shared" si="342"/>
        <v>#VALUE!</v>
      </c>
      <c r="W1486" s="1" t="e">
        <f t="shared" si="343"/>
        <v>#VALUE!</v>
      </c>
      <c r="X1486" s="26" t="e">
        <f t="shared" si="344"/>
        <v>#VALUE!</v>
      </c>
      <c r="Y1486" s="26" t="e">
        <f t="shared" si="345"/>
        <v>#VALUE!</v>
      </c>
      <c r="Z1486" s="1" t="e">
        <f t="shared" si="346"/>
        <v>#VALUE!</v>
      </c>
      <c r="AA1486"/>
      <c r="AB1486"/>
    </row>
    <row r="1487" spans="1:28" x14ac:dyDescent="0.55000000000000004">
      <c r="A1487" s="1">
        <f t="shared" si="333"/>
        <v>1487</v>
      </c>
      <c r="B1487" t="s">
        <v>33</v>
      </c>
      <c r="C1487" t="s">
        <v>176</v>
      </c>
      <c r="D1487" t="s">
        <v>42</v>
      </c>
      <c r="E1487" t="s">
        <v>406</v>
      </c>
      <c r="F1487" t="s">
        <v>290</v>
      </c>
      <c r="G1487" t="s">
        <v>299</v>
      </c>
      <c r="I1487" t="s">
        <v>296</v>
      </c>
      <c r="K1487" t="s">
        <v>366</v>
      </c>
      <c r="M1487" t="s">
        <v>47</v>
      </c>
      <c r="N1487" s="1" t="e">
        <f t="shared" si="334"/>
        <v>#VALUE!</v>
      </c>
      <c r="O1487" s="1" t="e">
        <f t="shared" si="335"/>
        <v>#VALUE!</v>
      </c>
      <c r="P1487" s="1" t="e">
        <f t="shared" si="336"/>
        <v>#VALUE!</v>
      </c>
      <c r="Q1487" s="1" t="e">
        <f t="shared" si="337"/>
        <v>#VALUE!</v>
      </c>
      <c r="R1487" s="1" t="e">
        <f t="shared" si="338"/>
        <v>#VALUE!</v>
      </c>
      <c r="S1487" s="1" t="e">
        <f t="shared" si="339"/>
        <v>#VALUE!</v>
      </c>
      <c r="T1487" s="1" t="e">
        <f t="shared" si="340"/>
        <v>#VALUE!</v>
      </c>
      <c r="U1487" s="26" t="e">
        <f t="shared" si="341"/>
        <v>#VALUE!</v>
      </c>
      <c r="V1487" s="26" t="e">
        <f t="shared" si="342"/>
        <v>#VALUE!</v>
      </c>
      <c r="W1487" s="1" t="e">
        <f t="shared" si="343"/>
        <v>#VALUE!</v>
      </c>
      <c r="X1487" s="26" t="e">
        <f t="shared" si="344"/>
        <v>#VALUE!</v>
      </c>
      <c r="Y1487" s="26" t="e">
        <f t="shared" si="345"/>
        <v>#VALUE!</v>
      </c>
      <c r="Z1487" s="1" t="e">
        <f t="shared" si="346"/>
        <v>#VALUE!</v>
      </c>
      <c r="AA1487"/>
      <c r="AB1487"/>
    </row>
    <row r="1488" spans="1:28" x14ac:dyDescent="0.55000000000000004">
      <c r="A1488" s="1">
        <f t="shared" si="333"/>
        <v>1488</v>
      </c>
      <c r="B1488" t="s">
        <v>34</v>
      </c>
      <c r="C1488" t="s">
        <v>153</v>
      </c>
      <c r="D1488" t="s">
        <v>42</v>
      </c>
      <c r="E1488" t="s">
        <v>406</v>
      </c>
      <c r="F1488" t="s">
        <v>380</v>
      </c>
      <c r="G1488" t="s">
        <v>96</v>
      </c>
      <c r="I1488" t="s">
        <v>87</v>
      </c>
      <c r="K1488" t="s">
        <v>110</v>
      </c>
      <c r="M1488" t="s">
        <v>47</v>
      </c>
      <c r="N1488" s="1" t="e">
        <f t="shared" si="334"/>
        <v>#VALUE!</v>
      </c>
      <c r="O1488" s="1" t="e">
        <f t="shared" si="335"/>
        <v>#VALUE!</v>
      </c>
      <c r="P1488" s="1" t="e">
        <f t="shared" si="336"/>
        <v>#VALUE!</v>
      </c>
      <c r="Q1488" s="1" t="e">
        <f t="shared" si="337"/>
        <v>#VALUE!</v>
      </c>
      <c r="R1488" s="1" t="e">
        <f t="shared" si="338"/>
        <v>#VALUE!</v>
      </c>
      <c r="S1488" s="1" t="e">
        <f t="shared" si="339"/>
        <v>#VALUE!</v>
      </c>
      <c r="T1488" s="1" t="e">
        <f t="shared" si="340"/>
        <v>#VALUE!</v>
      </c>
      <c r="U1488" s="26" t="e">
        <f t="shared" si="341"/>
        <v>#VALUE!</v>
      </c>
      <c r="V1488" s="26" t="e">
        <f t="shared" si="342"/>
        <v>#VALUE!</v>
      </c>
      <c r="W1488" s="1" t="e">
        <f t="shared" si="343"/>
        <v>#VALUE!</v>
      </c>
      <c r="X1488" s="26" t="e">
        <f t="shared" si="344"/>
        <v>#VALUE!</v>
      </c>
      <c r="Y1488" s="26" t="e">
        <f t="shared" si="345"/>
        <v>#VALUE!</v>
      </c>
      <c r="Z1488" s="1" t="e">
        <f t="shared" si="346"/>
        <v>#VALUE!</v>
      </c>
      <c r="AA1488"/>
      <c r="AB1488"/>
    </row>
    <row r="1489" spans="1:28" x14ac:dyDescent="0.55000000000000004">
      <c r="A1489" s="1">
        <f t="shared" si="333"/>
        <v>1489</v>
      </c>
      <c r="B1489" t="s">
        <v>34</v>
      </c>
      <c r="C1489" t="s">
        <v>153</v>
      </c>
      <c r="D1489" t="s">
        <v>42</v>
      </c>
      <c r="E1489" t="s">
        <v>406</v>
      </c>
      <c r="F1489" t="s">
        <v>376</v>
      </c>
      <c r="G1489" t="s">
        <v>102</v>
      </c>
      <c r="I1489" t="s">
        <v>86</v>
      </c>
      <c r="K1489" t="s">
        <v>106</v>
      </c>
      <c r="M1489" t="s">
        <v>47</v>
      </c>
      <c r="N1489" s="1" t="e">
        <f t="shared" si="334"/>
        <v>#VALUE!</v>
      </c>
      <c r="O1489" s="1" t="e">
        <f t="shared" si="335"/>
        <v>#VALUE!</v>
      </c>
      <c r="P1489" s="1" t="e">
        <f t="shared" si="336"/>
        <v>#VALUE!</v>
      </c>
      <c r="Q1489" s="1" t="e">
        <f t="shared" si="337"/>
        <v>#VALUE!</v>
      </c>
      <c r="R1489" s="1" t="e">
        <f t="shared" si="338"/>
        <v>#VALUE!</v>
      </c>
      <c r="S1489" s="1" t="e">
        <f t="shared" si="339"/>
        <v>#VALUE!</v>
      </c>
      <c r="T1489" s="1" t="e">
        <f t="shared" si="340"/>
        <v>#VALUE!</v>
      </c>
      <c r="U1489" s="26" t="e">
        <f t="shared" si="341"/>
        <v>#VALUE!</v>
      </c>
      <c r="V1489" s="26" t="e">
        <f t="shared" si="342"/>
        <v>#VALUE!</v>
      </c>
      <c r="W1489" s="1" t="e">
        <f t="shared" si="343"/>
        <v>#VALUE!</v>
      </c>
      <c r="X1489" s="26" t="e">
        <f t="shared" si="344"/>
        <v>#VALUE!</v>
      </c>
      <c r="Y1489" s="26" t="e">
        <f t="shared" si="345"/>
        <v>#VALUE!</v>
      </c>
      <c r="Z1489" s="1" t="e">
        <f t="shared" si="346"/>
        <v>#VALUE!</v>
      </c>
      <c r="AA1489"/>
      <c r="AB1489"/>
    </row>
    <row r="1490" spans="1:28" x14ac:dyDescent="0.55000000000000004">
      <c r="A1490" s="1">
        <f t="shared" si="333"/>
        <v>1490</v>
      </c>
      <c r="B1490" t="s">
        <v>34</v>
      </c>
      <c r="C1490" t="s">
        <v>153</v>
      </c>
      <c r="D1490" t="s">
        <v>42</v>
      </c>
      <c r="E1490" t="s">
        <v>406</v>
      </c>
      <c r="F1490" t="s">
        <v>375</v>
      </c>
      <c r="G1490" t="s">
        <v>90</v>
      </c>
      <c r="I1490" t="s">
        <v>101</v>
      </c>
      <c r="K1490" t="s">
        <v>108</v>
      </c>
      <c r="M1490" t="s">
        <v>47</v>
      </c>
      <c r="N1490" s="1" t="e">
        <f t="shared" si="334"/>
        <v>#VALUE!</v>
      </c>
      <c r="O1490" s="1" t="e">
        <f t="shared" si="335"/>
        <v>#VALUE!</v>
      </c>
      <c r="P1490" s="1" t="e">
        <f t="shared" si="336"/>
        <v>#VALUE!</v>
      </c>
      <c r="Q1490" s="1" t="e">
        <f t="shared" si="337"/>
        <v>#VALUE!</v>
      </c>
      <c r="R1490" s="1" t="e">
        <f t="shared" si="338"/>
        <v>#VALUE!</v>
      </c>
      <c r="S1490" s="1" t="e">
        <f t="shared" si="339"/>
        <v>#VALUE!</v>
      </c>
      <c r="T1490" s="1" t="e">
        <f t="shared" si="340"/>
        <v>#VALUE!</v>
      </c>
      <c r="U1490" s="26" t="e">
        <f t="shared" si="341"/>
        <v>#VALUE!</v>
      </c>
      <c r="V1490" s="26" t="e">
        <f t="shared" si="342"/>
        <v>#VALUE!</v>
      </c>
      <c r="W1490" s="1" t="e">
        <f t="shared" si="343"/>
        <v>#VALUE!</v>
      </c>
      <c r="X1490" s="26" t="e">
        <f t="shared" si="344"/>
        <v>#VALUE!</v>
      </c>
      <c r="Y1490" s="26" t="e">
        <f t="shared" si="345"/>
        <v>#VALUE!</v>
      </c>
      <c r="Z1490" s="1" t="e">
        <f t="shared" si="346"/>
        <v>#VALUE!</v>
      </c>
      <c r="AA1490"/>
      <c r="AB1490"/>
    </row>
    <row r="1491" spans="1:28" x14ac:dyDescent="0.55000000000000004">
      <c r="A1491" s="1">
        <f t="shared" si="333"/>
        <v>1491</v>
      </c>
      <c r="B1491" t="s">
        <v>35</v>
      </c>
      <c r="C1491" t="s">
        <v>126</v>
      </c>
      <c r="D1491" t="s">
        <v>42</v>
      </c>
      <c r="E1491" t="s">
        <v>406</v>
      </c>
      <c r="F1491" t="s">
        <v>412</v>
      </c>
      <c r="G1491" t="s">
        <v>377</v>
      </c>
      <c r="I1491" t="s">
        <v>386</v>
      </c>
      <c r="K1491" t="s">
        <v>378</v>
      </c>
      <c r="M1491" t="s">
        <v>47</v>
      </c>
      <c r="N1491" s="1" t="e">
        <f t="shared" si="334"/>
        <v>#VALUE!</v>
      </c>
      <c r="O1491" s="1" t="e">
        <f t="shared" si="335"/>
        <v>#VALUE!</v>
      </c>
      <c r="P1491" s="1" t="e">
        <f t="shared" si="336"/>
        <v>#VALUE!</v>
      </c>
      <c r="Q1491" s="1" t="e">
        <f t="shared" si="337"/>
        <v>#VALUE!</v>
      </c>
      <c r="R1491" s="1" t="e">
        <f t="shared" si="338"/>
        <v>#VALUE!</v>
      </c>
      <c r="S1491" s="1" t="e">
        <f t="shared" si="339"/>
        <v>#VALUE!</v>
      </c>
      <c r="T1491" s="1" t="e">
        <f t="shared" si="340"/>
        <v>#VALUE!</v>
      </c>
      <c r="U1491" s="26" t="e">
        <f t="shared" si="341"/>
        <v>#VALUE!</v>
      </c>
      <c r="V1491" s="26" t="e">
        <f t="shared" si="342"/>
        <v>#VALUE!</v>
      </c>
      <c r="W1491" s="1" t="e">
        <f t="shared" si="343"/>
        <v>#VALUE!</v>
      </c>
      <c r="X1491" s="26" t="e">
        <f t="shared" si="344"/>
        <v>#VALUE!</v>
      </c>
      <c r="Y1491" s="26" t="e">
        <f t="shared" si="345"/>
        <v>#VALUE!</v>
      </c>
      <c r="Z1491" s="1" t="e">
        <f t="shared" si="346"/>
        <v>#VALUE!</v>
      </c>
      <c r="AA1491"/>
      <c r="AB1491"/>
    </row>
    <row r="1492" spans="1:28" x14ac:dyDescent="0.55000000000000004">
      <c r="A1492" s="1">
        <f t="shared" si="333"/>
        <v>1492</v>
      </c>
      <c r="B1492" t="s">
        <v>39</v>
      </c>
      <c r="C1492" t="s">
        <v>76</v>
      </c>
      <c r="D1492" t="s">
        <v>42</v>
      </c>
      <c r="E1492" t="s">
        <v>406</v>
      </c>
      <c r="F1492" t="s">
        <v>390</v>
      </c>
      <c r="G1492" t="s">
        <v>235</v>
      </c>
      <c r="I1492" t="s">
        <v>220</v>
      </c>
      <c r="K1492" t="s">
        <v>242</v>
      </c>
      <c r="M1492" t="s">
        <v>47</v>
      </c>
      <c r="N1492" s="1" t="e">
        <f t="shared" si="334"/>
        <v>#VALUE!</v>
      </c>
      <c r="O1492" s="1" t="e">
        <f t="shared" si="335"/>
        <v>#VALUE!</v>
      </c>
      <c r="P1492" s="1" t="e">
        <f t="shared" si="336"/>
        <v>#VALUE!</v>
      </c>
      <c r="Q1492" s="1" t="e">
        <f t="shared" si="337"/>
        <v>#VALUE!</v>
      </c>
      <c r="R1492" s="1" t="e">
        <f t="shared" si="338"/>
        <v>#VALUE!</v>
      </c>
      <c r="S1492" s="1" t="e">
        <f t="shared" si="339"/>
        <v>#VALUE!</v>
      </c>
      <c r="T1492" s="1" t="e">
        <f t="shared" si="340"/>
        <v>#VALUE!</v>
      </c>
      <c r="U1492" s="26" t="e">
        <f t="shared" si="341"/>
        <v>#VALUE!</v>
      </c>
      <c r="V1492" s="26" t="e">
        <f t="shared" si="342"/>
        <v>#VALUE!</v>
      </c>
      <c r="W1492" s="1" t="e">
        <f t="shared" si="343"/>
        <v>#VALUE!</v>
      </c>
      <c r="X1492" s="26" t="e">
        <f t="shared" si="344"/>
        <v>#VALUE!</v>
      </c>
      <c r="Y1492" s="26" t="e">
        <f t="shared" si="345"/>
        <v>#VALUE!</v>
      </c>
      <c r="Z1492" s="1" t="e">
        <f t="shared" si="346"/>
        <v>#VALUE!</v>
      </c>
      <c r="AA1492"/>
      <c r="AB1492"/>
    </row>
    <row r="1493" spans="1:28" x14ac:dyDescent="0.55000000000000004">
      <c r="A1493" s="1">
        <f t="shared" si="333"/>
        <v>1493</v>
      </c>
      <c r="B1493" t="s">
        <v>39</v>
      </c>
      <c r="C1493" t="s">
        <v>76</v>
      </c>
      <c r="D1493" t="s">
        <v>42</v>
      </c>
      <c r="E1493" t="s">
        <v>406</v>
      </c>
      <c r="F1493" t="s">
        <v>390</v>
      </c>
      <c r="G1493" t="s">
        <v>232</v>
      </c>
      <c r="I1493" t="s">
        <v>231</v>
      </c>
      <c r="K1493" t="s">
        <v>238</v>
      </c>
      <c r="M1493" t="s">
        <v>47</v>
      </c>
      <c r="N1493" s="1" t="e">
        <f t="shared" si="334"/>
        <v>#VALUE!</v>
      </c>
      <c r="O1493" s="1" t="e">
        <f t="shared" si="335"/>
        <v>#VALUE!</v>
      </c>
      <c r="P1493" s="1" t="e">
        <f t="shared" si="336"/>
        <v>#VALUE!</v>
      </c>
      <c r="Q1493" s="1" t="e">
        <f t="shared" si="337"/>
        <v>#VALUE!</v>
      </c>
      <c r="R1493" s="1" t="e">
        <f t="shared" si="338"/>
        <v>#VALUE!</v>
      </c>
      <c r="S1493" s="1" t="e">
        <f t="shared" si="339"/>
        <v>#VALUE!</v>
      </c>
      <c r="T1493" s="1" t="e">
        <f t="shared" si="340"/>
        <v>#VALUE!</v>
      </c>
      <c r="U1493" s="26" t="e">
        <f t="shared" si="341"/>
        <v>#VALUE!</v>
      </c>
      <c r="V1493" s="26" t="e">
        <f t="shared" si="342"/>
        <v>#VALUE!</v>
      </c>
      <c r="W1493" s="1" t="e">
        <f t="shared" si="343"/>
        <v>#VALUE!</v>
      </c>
      <c r="X1493" s="26" t="e">
        <f t="shared" si="344"/>
        <v>#VALUE!</v>
      </c>
      <c r="Y1493" s="26" t="e">
        <f t="shared" si="345"/>
        <v>#VALUE!</v>
      </c>
      <c r="Z1493" s="1" t="e">
        <f t="shared" si="346"/>
        <v>#VALUE!</v>
      </c>
      <c r="AA1493"/>
      <c r="AB1493"/>
    </row>
    <row r="1494" spans="1:28" x14ac:dyDescent="0.55000000000000004">
      <c r="A1494" s="1">
        <f t="shared" si="333"/>
        <v>1494</v>
      </c>
      <c r="B1494" t="s">
        <v>35</v>
      </c>
      <c r="C1494" t="s">
        <v>126</v>
      </c>
      <c r="D1494" t="s">
        <v>42</v>
      </c>
      <c r="E1494" t="s">
        <v>406</v>
      </c>
      <c r="F1494" t="s">
        <v>357</v>
      </c>
      <c r="G1494" t="s">
        <v>383</v>
      </c>
      <c r="I1494" t="s">
        <v>304</v>
      </c>
      <c r="K1494" t="s">
        <v>387</v>
      </c>
      <c r="M1494" t="s">
        <v>47</v>
      </c>
      <c r="N1494" s="1" t="e">
        <f t="shared" si="334"/>
        <v>#VALUE!</v>
      </c>
      <c r="O1494" s="1" t="e">
        <f t="shared" si="335"/>
        <v>#VALUE!</v>
      </c>
      <c r="P1494" s="1" t="e">
        <f t="shared" si="336"/>
        <v>#VALUE!</v>
      </c>
      <c r="Q1494" s="1" t="e">
        <f t="shared" si="337"/>
        <v>#VALUE!</v>
      </c>
      <c r="R1494" s="1" t="e">
        <f t="shared" si="338"/>
        <v>#VALUE!</v>
      </c>
      <c r="S1494" s="1" t="e">
        <f t="shared" si="339"/>
        <v>#VALUE!</v>
      </c>
      <c r="T1494" s="1" t="e">
        <f t="shared" si="340"/>
        <v>#VALUE!</v>
      </c>
      <c r="U1494" s="26" t="e">
        <f t="shared" si="341"/>
        <v>#VALUE!</v>
      </c>
      <c r="V1494" s="26" t="e">
        <f t="shared" si="342"/>
        <v>#VALUE!</v>
      </c>
      <c r="W1494" s="1" t="e">
        <f t="shared" si="343"/>
        <v>#VALUE!</v>
      </c>
      <c r="X1494" s="26" t="e">
        <f t="shared" si="344"/>
        <v>#VALUE!</v>
      </c>
      <c r="Y1494" s="26" t="e">
        <f t="shared" si="345"/>
        <v>#VALUE!</v>
      </c>
      <c r="Z1494" s="1" t="e">
        <f t="shared" si="346"/>
        <v>#VALUE!</v>
      </c>
      <c r="AA1494"/>
      <c r="AB1494"/>
    </row>
    <row r="1495" spans="1:28" x14ac:dyDescent="0.55000000000000004">
      <c r="A1495" s="1">
        <f t="shared" si="333"/>
        <v>1495</v>
      </c>
      <c r="B1495" t="s">
        <v>30</v>
      </c>
      <c r="C1495" t="s">
        <v>126</v>
      </c>
      <c r="D1495" t="s">
        <v>179</v>
      </c>
      <c r="E1495" t="s">
        <v>191</v>
      </c>
      <c r="F1495" t="s">
        <v>181</v>
      </c>
      <c r="G1495" t="s">
        <v>66</v>
      </c>
      <c r="I1495" t="s">
        <v>63</v>
      </c>
      <c r="K1495" t="s">
        <v>68</v>
      </c>
      <c r="M1495" t="s">
        <v>47</v>
      </c>
      <c r="N1495" s="1" t="e">
        <f t="shared" si="334"/>
        <v>#VALUE!</v>
      </c>
      <c r="O1495" s="1" t="e">
        <f t="shared" si="335"/>
        <v>#VALUE!</v>
      </c>
      <c r="P1495" s="1" t="e">
        <f t="shared" si="336"/>
        <v>#VALUE!</v>
      </c>
      <c r="Q1495" s="1" t="e">
        <f t="shared" si="337"/>
        <v>#VALUE!</v>
      </c>
      <c r="R1495" s="1" t="e">
        <f t="shared" si="338"/>
        <v>#VALUE!</v>
      </c>
      <c r="S1495" s="1" t="e">
        <f t="shared" si="339"/>
        <v>#VALUE!</v>
      </c>
      <c r="T1495" s="1" t="e">
        <f t="shared" si="340"/>
        <v>#VALUE!</v>
      </c>
      <c r="U1495" s="26" t="e">
        <f t="shared" si="341"/>
        <v>#VALUE!</v>
      </c>
      <c r="V1495" s="26" t="e">
        <f t="shared" si="342"/>
        <v>#VALUE!</v>
      </c>
      <c r="W1495" s="1" t="e">
        <f t="shared" si="343"/>
        <v>#VALUE!</v>
      </c>
      <c r="X1495" s="26" t="e">
        <f t="shared" si="344"/>
        <v>#VALUE!</v>
      </c>
      <c r="Y1495" s="26" t="e">
        <f t="shared" si="345"/>
        <v>#VALUE!</v>
      </c>
      <c r="Z1495" s="1" t="e">
        <f t="shared" si="346"/>
        <v>#VALUE!</v>
      </c>
      <c r="AA1495"/>
      <c r="AB1495"/>
    </row>
    <row r="1496" spans="1:28" x14ac:dyDescent="0.55000000000000004">
      <c r="A1496" s="1">
        <f t="shared" si="333"/>
        <v>1496</v>
      </c>
      <c r="B1496" t="s">
        <v>30</v>
      </c>
      <c r="C1496" t="s">
        <v>126</v>
      </c>
      <c r="D1496" t="s">
        <v>179</v>
      </c>
      <c r="E1496" t="s">
        <v>191</v>
      </c>
      <c r="F1496" t="s">
        <v>181</v>
      </c>
      <c r="G1496" t="s">
        <v>55</v>
      </c>
      <c r="I1496" t="s">
        <v>64</v>
      </c>
      <c r="K1496" t="s">
        <v>75</v>
      </c>
      <c r="M1496" t="s">
        <v>47</v>
      </c>
      <c r="N1496" s="1" t="e">
        <f t="shared" si="334"/>
        <v>#VALUE!</v>
      </c>
      <c r="O1496" s="1" t="e">
        <f t="shared" si="335"/>
        <v>#VALUE!</v>
      </c>
      <c r="P1496" s="1" t="e">
        <f t="shared" si="336"/>
        <v>#VALUE!</v>
      </c>
      <c r="Q1496" s="1" t="e">
        <f t="shared" si="337"/>
        <v>#VALUE!</v>
      </c>
      <c r="R1496" s="1" t="e">
        <f t="shared" si="338"/>
        <v>#VALUE!</v>
      </c>
      <c r="S1496" s="1" t="e">
        <f t="shared" si="339"/>
        <v>#VALUE!</v>
      </c>
      <c r="T1496" s="1" t="e">
        <f t="shared" si="340"/>
        <v>#VALUE!</v>
      </c>
      <c r="U1496" s="26" t="e">
        <f t="shared" si="341"/>
        <v>#VALUE!</v>
      </c>
      <c r="V1496" s="26" t="e">
        <f t="shared" si="342"/>
        <v>#VALUE!</v>
      </c>
      <c r="W1496" s="1" t="e">
        <f t="shared" si="343"/>
        <v>#VALUE!</v>
      </c>
      <c r="X1496" s="26" t="e">
        <f t="shared" si="344"/>
        <v>#VALUE!</v>
      </c>
      <c r="Y1496" s="26" t="e">
        <f t="shared" si="345"/>
        <v>#VALUE!</v>
      </c>
      <c r="Z1496" s="1" t="e">
        <f t="shared" si="346"/>
        <v>#VALUE!</v>
      </c>
      <c r="AA1496"/>
      <c r="AB1496"/>
    </row>
    <row r="1497" spans="1:28" x14ac:dyDescent="0.55000000000000004">
      <c r="A1497" s="1">
        <f t="shared" si="333"/>
        <v>1497</v>
      </c>
      <c r="B1497" t="s">
        <v>30</v>
      </c>
      <c r="C1497" t="s">
        <v>126</v>
      </c>
      <c r="D1497" t="s">
        <v>179</v>
      </c>
      <c r="E1497" t="s">
        <v>191</v>
      </c>
      <c r="F1497" t="s">
        <v>181</v>
      </c>
      <c r="G1497" t="s">
        <v>45</v>
      </c>
      <c r="I1497" t="s">
        <v>52</v>
      </c>
      <c r="K1497" t="s">
        <v>74</v>
      </c>
      <c r="M1497" t="s">
        <v>47</v>
      </c>
      <c r="N1497" s="1" t="e">
        <f t="shared" si="334"/>
        <v>#VALUE!</v>
      </c>
      <c r="O1497" s="1" t="e">
        <f t="shared" si="335"/>
        <v>#VALUE!</v>
      </c>
      <c r="P1497" s="1" t="e">
        <f t="shared" si="336"/>
        <v>#VALUE!</v>
      </c>
      <c r="Q1497" s="1" t="e">
        <f t="shared" si="337"/>
        <v>#VALUE!</v>
      </c>
      <c r="R1497" s="1" t="e">
        <f t="shared" si="338"/>
        <v>#VALUE!</v>
      </c>
      <c r="S1497" s="1" t="e">
        <f t="shared" si="339"/>
        <v>#VALUE!</v>
      </c>
      <c r="T1497" s="1" t="e">
        <f t="shared" si="340"/>
        <v>#VALUE!</v>
      </c>
      <c r="U1497" s="26" t="e">
        <f t="shared" si="341"/>
        <v>#VALUE!</v>
      </c>
      <c r="V1497" s="26" t="e">
        <f t="shared" si="342"/>
        <v>#VALUE!</v>
      </c>
      <c r="W1497" s="1" t="e">
        <f t="shared" si="343"/>
        <v>#VALUE!</v>
      </c>
      <c r="X1497" s="26" t="e">
        <f t="shared" si="344"/>
        <v>#VALUE!</v>
      </c>
      <c r="Y1497" s="26" t="e">
        <f t="shared" si="345"/>
        <v>#VALUE!</v>
      </c>
      <c r="Z1497" s="1" t="e">
        <f t="shared" si="346"/>
        <v>#VALUE!</v>
      </c>
      <c r="AA1497"/>
      <c r="AB1497"/>
    </row>
    <row r="1498" spans="1:28" x14ac:dyDescent="0.55000000000000004">
      <c r="A1498" s="1">
        <f t="shared" si="333"/>
        <v>1498</v>
      </c>
      <c r="B1498" t="s">
        <v>34</v>
      </c>
      <c r="C1498" t="s">
        <v>153</v>
      </c>
      <c r="D1498" t="s">
        <v>179</v>
      </c>
      <c r="E1498" t="s">
        <v>191</v>
      </c>
      <c r="F1498" t="s">
        <v>181</v>
      </c>
      <c r="G1498" t="s">
        <v>89</v>
      </c>
      <c r="I1498" t="s">
        <v>92</v>
      </c>
      <c r="K1498" t="s">
        <v>91</v>
      </c>
      <c r="M1498" t="s">
        <v>47</v>
      </c>
      <c r="N1498" s="1" t="e">
        <f t="shared" si="334"/>
        <v>#VALUE!</v>
      </c>
      <c r="O1498" s="1" t="e">
        <f t="shared" si="335"/>
        <v>#VALUE!</v>
      </c>
      <c r="P1498" s="1" t="e">
        <f t="shared" si="336"/>
        <v>#VALUE!</v>
      </c>
      <c r="Q1498" s="1" t="e">
        <f t="shared" si="337"/>
        <v>#VALUE!</v>
      </c>
      <c r="R1498" s="1" t="e">
        <f t="shared" si="338"/>
        <v>#VALUE!</v>
      </c>
      <c r="S1498" s="1" t="e">
        <f t="shared" si="339"/>
        <v>#VALUE!</v>
      </c>
      <c r="T1498" s="1" t="e">
        <f t="shared" si="340"/>
        <v>#VALUE!</v>
      </c>
      <c r="U1498" s="26" t="e">
        <f t="shared" si="341"/>
        <v>#VALUE!</v>
      </c>
      <c r="V1498" s="26" t="e">
        <f t="shared" si="342"/>
        <v>#VALUE!</v>
      </c>
      <c r="W1498" s="1" t="e">
        <f t="shared" si="343"/>
        <v>#VALUE!</v>
      </c>
      <c r="X1498" s="26" t="e">
        <f t="shared" si="344"/>
        <v>#VALUE!</v>
      </c>
      <c r="Y1498" s="26" t="e">
        <f t="shared" si="345"/>
        <v>#VALUE!</v>
      </c>
      <c r="Z1498" s="1" t="e">
        <f t="shared" si="346"/>
        <v>#VALUE!</v>
      </c>
      <c r="AA1498"/>
      <c r="AB1498"/>
    </row>
    <row r="1499" spans="1:28" x14ac:dyDescent="0.55000000000000004">
      <c r="A1499" s="1">
        <f t="shared" si="333"/>
        <v>1499</v>
      </c>
      <c r="B1499" t="s">
        <v>35</v>
      </c>
      <c r="C1499" t="s">
        <v>126</v>
      </c>
      <c r="D1499" t="s">
        <v>179</v>
      </c>
      <c r="E1499" t="s">
        <v>191</v>
      </c>
      <c r="F1499" t="s">
        <v>181</v>
      </c>
      <c r="G1499" t="s">
        <v>213</v>
      </c>
      <c r="I1499" t="s">
        <v>214</v>
      </c>
      <c r="K1499" t="s">
        <v>215</v>
      </c>
      <c r="M1499" t="s">
        <v>47</v>
      </c>
      <c r="N1499" s="1" t="e">
        <f t="shared" si="334"/>
        <v>#VALUE!</v>
      </c>
      <c r="O1499" s="1" t="e">
        <f t="shared" si="335"/>
        <v>#VALUE!</v>
      </c>
      <c r="P1499" s="1" t="e">
        <f t="shared" si="336"/>
        <v>#VALUE!</v>
      </c>
      <c r="Q1499" s="1" t="e">
        <f t="shared" si="337"/>
        <v>#VALUE!</v>
      </c>
      <c r="R1499" s="1" t="e">
        <f t="shared" si="338"/>
        <v>#VALUE!</v>
      </c>
      <c r="S1499" s="1" t="e">
        <f t="shared" si="339"/>
        <v>#VALUE!</v>
      </c>
      <c r="T1499" s="1" t="e">
        <f t="shared" si="340"/>
        <v>#VALUE!</v>
      </c>
      <c r="U1499" s="26" t="e">
        <f t="shared" si="341"/>
        <v>#VALUE!</v>
      </c>
      <c r="V1499" s="26" t="e">
        <f t="shared" si="342"/>
        <v>#VALUE!</v>
      </c>
      <c r="W1499" s="1" t="e">
        <f t="shared" si="343"/>
        <v>#VALUE!</v>
      </c>
      <c r="X1499" s="26" t="e">
        <f t="shared" si="344"/>
        <v>#VALUE!</v>
      </c>
      <c r="Y1499" s="26" t="e">
        <f t="shared" si="345"/>
        <v>#VALUE!</v>
      </c>
      <c r="Z1499" s="1" t="e">
        <f t="shared" si="346"/>
        <v>#VALUE!</v>
      </c>
      <c r="AA1499"/>
      <c r="AB1499"/>
    </row>
    <row r="1500" spans="1:28" x14ac:dyDescent="0.55000000000000004">
      <c r="A1500" s="1">
        <f t="shared" si="333"/>
        <v>1500</v>
      </c>
      <c r="B1500" t="s">
        <v>39</v>
      </c>
      <c r="C1500" t="s">
        <v>78</v>
      </c>
      <c r="D1500" t="s">
        <v>216</v>
      </c>
      <c r="E1500" t="s">
        <v>243</v>
      </c>
      <c r="F1500" t="s">
        <v>218</v>
      </c>
      <c r="G1500" t="s">
        <v>223</v>
      </c>
      <c r="I1500" t="s">
        <v>234</v>
      </c>
      <c r="K1500" t="s">
        <v>244</v>
      </c>
      <c r="M1500" t="s">
        <v>47</v>
      </c>
      <c r="N1500" s="1" t="e">
        <f t="shared" si="334"/>
        <v>#VALUE!</v>
      </c>
      <c r="O1500" s="1" t="e">
        <f t="shared" si="335"/>
        <v>#VALUE!</v>
      </c>
      <c r="P1500" s="1" t="e">
        <f t="shared" si="336"/>
        <v>#VALUE!</v>
      </c>
      <c r="Q1500" s="1" t="e">
        <f t="shared" si="337"/>
        <v>#VALUE!</v>
      </c>
      <c r="R1500" s="1" t="e">
        <f t="shared" si="338"/>
        <v>#VALUE!</v>
      </c>
      <c r="S1500" s="1" t="e">
        <f t="shared" si="339"/>
        <v>#VALUE!</v>
      </c>
      <c r="T1500" s="1" t="e">
        <f t="shared" si="340"/>
        <v>#VALUE!</v>
      </c>
      <c r="U1500" s="26" t="e">
        <f t="shared" si="341"/>
        <v>#VALUE!</v>
      </c>
      <c r="V1500" s="26" t="e">
        <f t="shared" si="342"/>
        <v>#VALUE!</v>
      </c>
      <c r="W1500" s="1" t="e">
        <f t="shared" si="343"/>
        <v>#VALUE!</v>
      </c>
      <c r="X1500" s="26" t="e">
        <f t="shared" si="344"/>
        <v>#VALUE!</v>
      </c>
      <c r="Y1500" s="26" t="e">
        <f t="shared" si="345"/>
        <v>#VALUE!</v>
      </c>
      <c r="Z1500" s="1" t="e">
        <f t="shared" si="346"/>
        <v>#VALUE!</v>
      </c>
      <c r="AA1500"/>
      <c r="AB1500"/>
    </row>
    <row r="1501" spans="1:28" x14ac:dyDescent="0.55000000000000004">
      <c r="A1501" s="1">
        <f t="shared" si="333"/>
        <v>1501</v>
      </c>
      <c r="B1501" t="s">
        <v>39</v>
      </c>
      <c r="C1501" t="s">
        <v>78</v>
      </c>
      <c r="D1501" t="s">
        <v>216</v>
      </c>
      <c r="E1501" t="s">
        <v>243</v>
      </c>
      <c r="F1501" t="s">
        <v>218</v>
      </c>
      <c r="G1501" t="s">
        <v>222</v>
      </c>
      <c r="I1501" t="s">
        <v>228</v>
      </c>
      <c r="K1501" t="s">
        <v>224</v>
      </c>
      <c r="M1501" t="s">
        <v>47</v>
      </c>
      <c r="N1501" s="1" t="e">
        <f t="shared" si="334"/>
        <v>#VALUE!</v>
      </c>
      <c r="O1501" s="1" t="e">
        <f t="shared" si="335"/>
        <v>#VALUE!</v>
      </c>
      <c r="P1501" s="1" t="e">
        <f t="shared" si="336"/>
        <v>#VALUE!</v>
      </c>
      <c r="Q1501" s="1" t="e">
        <f t="shared" si="337"/>
        <v>#VALUE!</v>
      </c>
      <c r="R1501" s="1" t="e">
        <f t="shared" si="338"/>
        <v>#VALUE!</v>
      </c>
      <c r="S1501" s="1" t="e">
        <f t="shared" si="339"/>
        <v>#VALUE!</v>
      </c>
      <c r="T1501" s="1" t="e">
        <f t="shared" si="340"/>
        <v>#VALUE!</v>
      </c>
      <c r="U1501" s="26" t="e">
        <f t="shared" si="341"/>
        <v>#VALUE!</v>
      </c>
      <c r="V1501" s="26" t="e">
        <f t="shared" si="342"/>
        <v>#VALUE!</v>
      </c>
      <c r="W1501" s="1" t="e">
        <f t="shared" si="343"/>
        <v>#VALUE!</v>
      </c>
      <c r="X1501" s="26" t="e">
        <f t="shared" si="344"/>
        <v>#VALUE!</v>
      </c>
      <c r="Y1501" s="26" t="e">
        <f t="shared" si="345"/>
        <v>#VALUE!</v>
      </c>
      <c r="Z1501" s="1" t="e">
        <f t="shared" si="346"/>
        <v>#VALUE!</v>
      </c>
      <c r="AA1501"/>
      <c r="AB1501"/>
    </row>
    <row r="1502" spans="1:28" x14ac:dyDescent="0.55000000000000004">
      <c r="A1502" s="1">
        <f t="shared" si="333"/>
        <v>1502</v>
      </c>
      <c r="B1502" t="s">
        <v>39</v>
      </c>
      <c r="C1502" t="s">
        <v>78</v>
      </c>
      <c r="D1502" t="s">
        <v>177</v>
      </c>
      <c r="E1502" t="s">
        <v>245</v>
      </c>
      <c r="F1502" t="s">
        <v>218</v>
      </c>
      <c r="G1502" t="s">
        <v>231</v>
      </c>
      <c r="I1502" t="s">
        <v>219</v>
      </c>
      <c r="K1502" t="s">
        <v>233</v>
      </c>
      <c r="M1502" t="s">
        <v>47</v>
      </c>
      <c r="N1502" s="1" t="e">
        <f t="shared" si="334"/>
        <v>#VALUE!</v>
      </c>
      <c r="O1502" s="1" t="e">
        <f t="shared" si="335"/>
        <v>#VALUE!</v>
      </c>
      <c r="P1502" s="1" t="e">
        <f t="shared" si="336"/>
        <v>#VALUE!</v>
      </c>
      <c r="Q1502" s="1" t="e">
        <f t="shared" si="337"/>
        <v>#VALUE!</v>
      </c>
      <c r="R1502" s="1" t="e">
        <f t="shared" si="338"/>
        <v>#VALUE!</v>
      </c>
      <c r="S1502" s="1" t="e">
        <f t="shared" si="339"/>
        <v>#VALUE!</v>
      </c>
      <c r="T1502" s="1" t="e">
        <f t="shared" si="340"/>
        <v>#VALUE!</v>
      </c>
      <c r="U1502" s="26" t="e">
        <f t="shared" si="341"/>
        <v>#VALUE!</v>
      </c>
      <c r="V1502" s="26" t="e">
        <f t="shared" si="342"/>
        <v>#VALUE!</v>
      </c>
      <c r="W1502" s="1" t="e">
        <f t="shared" si="343"/>
        <v>#VALUE!</v>
      </c>
      <c r="X1502" s="26" t="e">
        <f t="shared" si="344"/>
        <v>#VALUE!</v>
      </c>
      <c r="Y1502" s="26" t="e">
        <f t="shared" si="345"/>
        <v>#VALUE!</v>
      </c>
      <c r="Z1502" s="1" t="e">
        <f t="shared" si="346"/>
        <v>#VALUE!</v>
      </c>
      <c r="AA1502"/>
      <c r="AB1502"/>
    </row>
    <row r="1503" spans="1:28" x14ac:dyDescent="0.55000000000000004">
      <c r="A1503" s="1">
        <f t="shared" si="333"/>
        <v>1503</v>
      </c>
      <c r="B1503" t="s">
        <v>39</v>
      </c>
      <c r="C1503" t="s">
        <v>78</v>
      </c>
      <c r="D1503" t="s">
        <v>177</v>
      </c>
      <c r="E1503" t="s">
        <v>245</v>
      </c>
      <c r="F1503" t="s">
        <v>218</v>
      </c>
      <c r="G1503" t="s">
        <v>229</v>
      </c>
      <c r="I1503" t="s">
        <v>232</v>
      </c>
      <c r="K1503" t="s">
        <v>246</v>
      </c>
      <c r="M1503" t="s">
        <v>47</v>
      </c>
      <c r="N1503" s="1" t="e">
        <f t="shared" si="334"/>
        <v>#VALUE!</v>
      </c>
      <c r="O1503" s="1" t="e">
        <f t="shared" si="335"/>
        <v>#VALUE!</v>
      </c>
      <c r="P1503" s="1" t="e">
        <f t="shared" si="336"/>
        <v>#VALUE!</v>
      </c>
      <c r="Q1503" s="1" t="e">
        <f t="shared" si="337"/>
        <v>#VALUE!</v>
      </c>
      <c r="R1503" s="1" t="e">
        <f t="shared" si="338"/>
        <v>#VALUE!</v>
      </c>
      <c r="S1503" s="1" t="e">
        <f t="shared" si="339"/>
        <v>#VALUE!</v>
      </c>
      <c r="T1503" s="1" t="e">
        <f t="shared" si="340"/>
        <v>#VALUE!</v>
      </c>
      <c r="U1503" s="26" t="e">
        <f t="shared" si="341"/>
        <v>#VALUE!</v>
      </c>
      <c r="V1503" s="26" t="e">
        <f t="shared" si="342"/>
        <v>#VALUE!</v>
      </c>
      <c r="W1503" s="1" t="e">
        <f t="shared" si="343"/>
        <v>#VALUE!</v>
      </c>
      <c r="X1503" s="26" t="e">
        <f t="shared" si="344"/>
        <v>#VALUE!</v>
      </c>
      <c r="Y1503" s="26" t="e">
        <f t="shared" si="345"/>
        <v>#VALUE!</v>
      </c>
      <c r="Z1503" s="1" t="e">
        <f t="shared" si="346"/>
        <v>#VALUE!</v>
      </c>
      <c r="AA1503"/>
      <c r="AB1503"/>
    </row>
    <row r="1504" spans="1:28" x14ac:dyDescent="0.55000000000000004">
      <c r="A1504" s="1">
        <f t="shared" si="333"/>
        <v>1504</v>
      </c>
      <c r="B1504" t="s">
        <v>39</v>
      </c>
      <c r="C1504" t="s">
        <v>78</v>
      </c>
      <c r="D1504" t="s">
        <v>177</v>
      </c>
      <c r="E1504" t="s">
        <v>245</v>
      </c>
      <c r="F1504" t="s">
        <v>218</v>
      </c>
      <c r="G1504" t="s">
        <v>226</v>
      </c>
      <c r="I1504" t="s">
        <v>235</v>
      </c>
      <c r="K1504" t="s">
        <v>241</v>
      </c>
      <c r="M1504" t="s">
        <v>47</v>
      </c>
      <c r="N1504" s="1" t="e">
        <f t="shared" si="334"/>
        <v>#VALUE!</v>
      </c>
      <c r="O1504" s="1" t="e">
        <f t="shared" si="335"/>
        <v>#VALUE!</v>
      </c>
      <c r="P1504" s="1" t="e">
        <f t="shared" si="336"/>
        <v>#VALUE!</v>
      </c>
      <c r="Q1504" s="1" t="e">
        <f t="shared" si="337"/>
        <v>#VALUE!</v>
      </c>
      <c r="R1504" s="1" t="e">
        <f t="shared" si="338"/>
        <v>#VALUE!</v>
      </c>
      <c r="S1504" s="1" t="e">
        <f t="shared" si="339"/>
        <v>#VALUE!</v>
      </c>
      <c r="T1504" s="1" t="e">
        <f t="shared" si="340"/>
        <v>#VALUE!</v>
      </c>
      <c r="U1504" s="26" t="e">
        <f t="shared" si="341"/>
        <v>#VALUE!</v>
      </c>
      <c r="V1504" s="26" t="e">
        <f t="shared" si="342"/>
        <v>#VALUE!</v>
      </c>
      <c r="W1504" s="1" t="e">
        <f t="shared" si="343"/>
        <v>#VALUE!</v>
      </c>
      <c r="X1504" s="26" t="e">
        <f t="shared" si="344"/>
        <v>#VALUE!</v>
      </c>
      <c r="Y1504" s="26" t="e">
        <f t="shared" si="345"/>
        <v>#VALUE!</v>
      </c>
      <c r="Z1504" s="1" t="e">
        <f t="shared" si="346"/>
        <v>#VALUE!</v>
      </c>
      <c r="AA1504"/>
      <c r="AB1504"/>
    </row>
    <row r="1505" spans="1:28" x14ac:dyDescent="0.55000000000000004">
      <c r="A1505" s="1">
        <f t="shared" si="333"/>
        <v>1505</v>
      </c>
      <c r="B1505" t="s">
        <v>39</v>
      </c>
      <c r="C1505" t="s">
        <v>78</v>
      </c>
      <c r="D1505" t="s">
        <v>177</v>
      </c>
      <c r="E1505" t="s">
        <v>245</v>
      </c>
      <c r="F1505" t="s">
        <v>218</v>
      </c>
      <c r="G1505" t="s">
        <v>220</v>
      </c>
      <c r="I1505" t="s">
        <v>225</v>
      </c>
      <c r="K1505" t="s">
        <v>240</v>
      </c>
      <c r="M1505" t="s">
        <v>47</v>
      </c>
      <c r="N1505" s="1" t="e">
        <f t="shared" si="334"/>
        <v>#VALUE!</v>
      </c>
      <c r="O1505" s="1" t="e">
        <f t="shared" si="335"/>
        <v>#VALUE!</v>
      </c>
      <c r="P1505" s="1" t="e">
        <f t="shared" si="336"/>
        <v>#VALUE!</v>
      </c>
      <c r="Q1505" s="1" t="e">
        <f t="shared" si="337"/>
        <v>#VALUE!</v>
      </c>
      <c r="R1505" s="1" t="e">
        <f t="shared" si="338"/>
        <v>#VALUE!</v>
      </c>
      <c r="S1505" s="1" t="e">
        <f t="shared" si="339"/>
        <v>#VALUE!</v>
      </c>
      <c r="T1505" s="1" t="e">
        <f t="shared" si="340"/>
        <v>#VALUE!</v>
      </c>
      <c r="U1505" s="26" t="e">
        <f t="shared" si="341"/>
        <v>#VALUE!</v>
      </c>
      <c r="V1505" s="26" t="e">
        <f t="shared" si="342"/>
        <v>#VALUE!</v>
      </c>
      <c r="W1505" s="1" t="e">
        <f t="shared" si="343"/>
        <v>#VALUE!</v>
      </c>
      <c r="X1505" s="26" t="e">
        <f t="shared" si="344"/>
        <v>#VALUE!</v>
      </c>
      <c r="Y1505" s="26" t="e">
        <f t="shared" si="345"/>
        <v>#VALUE!</v>
      </c>
      <c r="Z1505" s="1" t="e">
        <f t="shared" si="346"/>
        <v>#VALUE!</v>
      </c>
      <c r="AA1505"/>
      <c r="AB1505"/>
    </row>
    <row r="1506" spans="1:28" x14ac:dyDescent="0.55000000000000004">
      <c r="A1506" s="1">
        <f t="shared" si="333"/>
        <v>1506</v>
      </c>
      <c r="B1506" t="s">
        <v>30</v>
      </c>
      <c r="C1506" t="s">
        <v>128</v>
      </c>
      <c r="D1506" t="s">
        <v>174</v>
      </c>
      <c r="E1506" t="s">
        <v>271</v>
      </c>
      <c r="F1506" t="s">
        <v>181</v>
      </c>
      <c r="G1506" t="s">
        <v>67</v>
      </c>
      <c r="I1506" t="s">
        <v>55</v>
      </c>
      <c r="K1506" t="s">
        <v>73</v>
      </c>
      <c r="M1506" t="s">
        <v>47</v>
      </c>
      <c r="N1506" s="1" t="e">
        <f t="shared" si="334"/>
        <v>#VALUE!</v>
      </c>
      <c r="O1506" s="1" t="e">
        <f t="shared" si="335"/>
        <v>#VALUE!</v>
      </c>
      <c r="P1506" s="1" t="e">
        <f t="shared" si="336"/>
        <v>#VALUE!</v>
      </c>
      <c r="Q1506" s="1" t="e">
        <f t="shared" si="337"/>
        <v>#VALUE!</v>
      </c>
      <c r="R1506" s="1" t="e">
        <f t="shared" si="338"/>
        <v>#VALUE!</v>
      </c>
      <c r="S1506" s="1" t="e">
        <f t="shared" si="339"/>
        <v>#VALUE!</v>
      </c>
      <c r="T1506" s="1" t="e">
        <f t="shared" si="340"/>
        <v>#VALUE!</v>
      </c>
      <c r="U1506" s="26" t="e">
        <f t="shared" si="341"/>
        <v>#VALUE!</v>
      </c>
      <c r="V1506" s="26" t="e">
        <f t="shared" si="342"/>
        <v>#VALUE!</v>
      </c>
      <c r="W1506" s="1" t="e">
        <f t="shared" si="343"/>
        <v>#VALUE!</v>
      </c>
      <c r="X1506" s="26" t="e">
        <f t="shared" si="344"/>
        <v>#VALUE!</v>
      </c>
      <c r="Y1506" s="26" t="e">
        <f t="shared" si="345"/>
        <v>#VALUE!</v>
      </c>
      <c r="Z1506" s="1" t="e">
        <f t="shared" si="346"/>
        <v>#VALUE!</v>
      </c>
      <c r="AA1506"/>
      <c r="AB1506"/>
    </row>
    <row r="1507" spans="1:28" x14ac:dyDescent="0.55000000000000004">
      <c r="A1507" s="1">
        <f t="shared" si="333"/>
        <v>1507</v>
      </c>
      <c r="B1507" t="s">
        <v>37</v>
      </c>
      <c r="C1507" t="s">
        <v>332</v>
      </c>
      <c r="D1507" t="s">
        <v>174</v>
      </c>
      <c r="E1507" t="s">
        <v>271</v>
      </c>
      <c r="F1507" t="s">
        <v>315</v>
      </c>
      <c r="G1507" t="s">
        <v>328</v>
      </c>
      <c r="I1507" t="s">
        <v>324</v>
      </c>
      <c r="K1507" t="s">
        <v>329</v>
      </c>
      <c r="M1507" t="s">
        <v>47</v>
      </c>
      <c r="N1507" s="1" t="e">
        <f t="shared" si="334"/>
        <v>#VALUE!</v>
      </c>
      <c r="O1507" s="1" t="e">
        <f t="shared" si="335"/>
        <v>#VALUE!</v>
      </c>
      <c r="P1507" s="1" t="e">
        <f t="shared" si="336"/>
        <v>#VALUE!</v>
      </c>
      <c r="Q1507" s="1" t="e">
        <f t="shared" si="337"/>
        <v>#VALUE!</v>
      </c>
      <c r="R1507" s="1" t="e">
        <f t="shared" si="338"/>
        <v>#VALUE!</v>
      </c>
      <c r="S1507" s="1" t="e">
        <f t="shared" si="339"/>
        <v>#VALUE!</v>
      </c>
      <c r="T1507" s="1" t="e">
        <f t="shared" si="340"/>
        <v>#VALUE!</v>
      </c>
      <c r="U1507" s="26" t="e">
        <f t="shared" si="341"/>
        <v>#VALUE!</v>
      </c>
      <c r="V1507" s="26" t="e">
        <f t="shared" si="342"/>
        <v>#VALUE!</v>
      </c>
      <c r="W1507" s="1" t="e">
        <f t="shared" si="343"/>
        <v>#VALUE!</v>
      </c>
      <c r="X1507" s="26" t="e">
        <f t="shared" si="344"/>
        <v>#VALUE!</v>
      </c>
      <c r="Y1507" s="26" t="e">
        <f t="shared" si="345"/>
        <v>#VALUE!</v>
      </c>
      <c r="Z1507" s="1" t="e">
        <f t="shared" si="346"/>
        <v>#VALUE!</v>
      </c>
      <c r="AA1507"/>
      <c r="AB1507"/>
    </row>
    <row r="1508" spans="1:28" x14ac:dyDescent="0.55000000000000004">
      <c r="A1508" s="1">
        <f t="shared" si="333"/>
        <v>1508</v>
      </c>
      <c r="B1508" t="s">
        <v>37</v>
      </c>
      <c r="C1508" t="s">
        <v>332</v>
      </c>
      <c r="D1508" t="s">
        <v>174</v>
      </c>
      <c r="E1508" t="s">
        <v>271</v>
      </c>
      <c r="F1508" t="s">
        <v>315</v>
      </c>
      <c r="G1508" t="s">
        <v>312</v>
      </c>
      <c r="I1508" t="s">
        <v>319</v>
      </c>
      <c r="K1508" t="s">
        <v>314</v>
      </c>
      <c r="M1508" t="s">
        <v>47</v>
      </c>
      <c r="N1508" s="1" t="e">
        <f t="shared" si="334"/>
        <v>#VALUE!</v>
      </c>
      <c r="O1508" s="1" t="e">
        <f t="shared" si="335"/>
        <v>#VALUE!</v>
      </c>
      <c r="P1508" s="1" t="e">
        <f t="shared" si="336"/>
        <v>#VALUE!</v>
      </c>
      <c r="Q1508" s="1" t="e">
        <f t="shared" si="337"/>
        <v>#VALUE!</v>
      </c>
      <c r="R1508" s="1" t="e">
        <f t="shared" si="338"/>
        <v>#VALUE!</v>
      </c>
      <c r="S1508" s="1" t="e">
        <f t="shared" si="339"/>
        <v>#VALUE!</v>
      </c>
      <c r="T1508" s="1" t="e">
        <f t="shared" si="340"/>
        <v>#VALUE!</v>
      </c>
      <c r="U1508" s="26" t="e">
        <f t="shared" si="341"/>
        <v>#VALUE!</v>
      </c>
      <c r="V1508" s="26" t="e">
        <f t="shared" si="342"/>
        <v>#VALUE!</v>
      </c>
      <c r="W1508" s="1" t="e">
        <f t="shared" si="343"/>
        <v>#VALUE!</v>
      </c>
      <c r="X1508" s="26" t="e">
        <f t="shared" si="344"/>
        <v>#VALUE!</v>
      </c>
      <c r="Y1508" s="26" t="e">
        <f t="shared" si="345"/>
        <v>#VALUE!</v>
      </c>
      <c r="Z1508" s="1" t="e">
        <f t="shared" si="346"/>
        <v>#VALUE!</v>
      </c>
      <c r="AA1508"/>
      <c r="AB1508"/>
    </row>
    <row r="1509" spans="1:28" x14ac:dyDescent="0.55000000000000004">
      <c r="A1509" s="1">
        <f t="shared" si="333"/>
        <v>1509</v>
      </c>
      <c r="B1509" t="s">
        <v>37</v>
      </c>
      <c r="C1509" t="s">
        <v>332</v>
      </c>
      <c r="D1509" t="s">
        <v>174</v>
      </c>
      <c r="E1509" t="s">
        <v>271</v>
      </c>
      <c r="F1509" t="s">
        <v>315</v>
      </c>
      <c r="G1509" t="s">
        <v>321</v>
      </c>
      <c r="I1509" t="s">
        <v>313</v>
      </c>
      <c r="K1509" t="s">
        <v>323</v>
      </c>
      <c r="M1509" t="s">
        <v>47</v>
      </c>
      <c r="N1509" s="1" t="e">
        <f t="shared" si="334"/>
        <v>#VALUE!</v>
      </c>
      <c r="O1509" s="1" t="e">
        <f t="shared" si="335"/>
        <v>#VALUE!</v>
      </c>
      <c r="P1509" s="1" t="e">
        <f t="shared" si="336"/>
        <v>#VALUE!</v>
      </c>
      <c r="Q1509" s="1" t="e">
        <f t="shared" si="337"/>
        <v>#VALUE!</v>
      </c>
      <c r="R1509" s="1" t="e">
        <f t="shared" si="338"/>
        <v>#VALUE!</v>
      </c>
      <c r="S1509" s="1" t="e">
        <f t="shared" si="339"/>
        <v>#VALUE!</v>
      </c>
      <c r="T1509" s="1" t="e">
        <f t="shared" si="340"/>
        <v>#VALUE!</v>
      </c>
      <c r="U1509" s="26" t="e">
        <f t="shared" si="341"/>
        <v>#VALUE!</v>
      </c>
      <c r="V1509" s="26" t="e">
        <f t="shared" si="342"/>
        <v>#VALUE!</v>
      </c>
      <c r="W1509" s="1" t="e">
        <f t="shared" si="343"/>
        <v>#VALUE!</v>
      </c>
      <c r="X1509" s="26" t="e">
        <f t="shared" si="344"/>
        <v>#VALUE!</v>
      </c>
      <c r="Y1509" s="26" t="e">
        <f t="shared" si="345"/>
        <v>#VALUE!</v>
      </c>
      <c r="Z1509" s="1" t="e">
        <f t="shared" si="346"/>
        <v>#VALUE!</v>
      </c>
      <c r="AA1509"/>
      <c r="AB1509"/>
    </row>
    <row r="1510" spans="1:28" x14ac:dyDescent="0.55000000000000004">
      <c r="A1510" s="1">
        <f t="shared" si="333"/>
        <v>1510</v>
      </c>
      <c r="B1510" t="s">
        <v>37</v>
      </c>
      <c r="C1510" t="s">
        <v>332</v>
      </c>
      <c r="D1510" t="s">
        <v>174</v>
      </c>
      <c r="E1510" t="s">
        <v>271</v>
      </c>
      <c r="F1510" t="s">
        <v>315</v>
      </c>
      <c r="G1510" t="s">
        <v>326</v>
      </c>
      <c r="I1510" t="s">
        <v>322</v>
      </c>
      <c r="K1510" t="s">
        <v>327</v>
      </c>
      <c r="M1510" t="s">
        <v>47</v>
      </c>
      <c r="N1510" s="1" t="e">
        <f t="shared" si="334"/>
        <v>#VALUE!</v>
      </c>
      <c r="O1510" s="1" t="e">
        <f t="shared" si="335"/>
        <v>#VALUE!</v>
      </c>
      <c r="P1510" s="1" t="e">
        <f t="shared" si="336"/>
        <v>#VALUE!</v>
      </c>
      <c r="Q1510" s="1" t="e">
        <f t="shared" si="337"/>
        <v>#VALUE!</v>
      </c>
      <c r="R1510" s="1" t="e">
        <f t="shared" si="338"/>
        <v>#VALUE!</v>
      </c>
      <c r="S1510" s="1" t="e">
        <f t="shared" si="339"/>
        <v>#VALUE!</v>
      </c>
      <c r="T1510" s="1" t="e">
        <f t="shared" si="340"/>
        <v>#VALUE!</v>
      </c>
      <c r="U1510" s="26" t="e">
        <f t="shared" si="341"/>
        <v>#VALUE!</v>
      </c>
      <c r="V1510" s="26" t="e">
        <f t="shared" si="342"/>
        <v>#VALUE!</v>
      </c>
      <c r="W1510" s="1" t="e">
        <f t="shared" si="343"/>
        <v>#VALUE!</v>
      </c>
      <c r="X1510" s="26" t="e">
        <f t="shared" si="344"/>
        <v>#VALUE!</v>
      </c>
      <c r="Y1510" s="26" t="e">
        <f t="shared" si="345"/>
        <v>#VALUE!</v>
      </c>
      <c r="Z1510" s="1" t="e">
        <f t="shared" si="346"/>
        <v>#VALUE!</v>
      </c>
      <c r="AA1510"/>
      <c r="AB1510"/>
    </row>
    <row r="1511" spans="1:28" x14ac:dyDescent="0.55000000000000004">
      <c r="A1511" s="1">
        <f t="shared" si="333"/>
        <v>1511</v>
      </c>
      <c r="B1511" t="s">
        <v>37</v>
      </c>
      <c r="C1511" t="s">
        <v>332</v>
      </c>
      <c r="D1511" t="s">
        <v>174</v>
      </c>
      <c r="E1511" t="s">
        <v>271</v>
      </c>
      <c r="F1511" t="s">
        <v>315</v>
      </c>
      <c r="G1511" t="s">
        <v>318</v>
      </c>
      <c r="I1511" t="s">
        <v>316</v>
      </c>
      <c r="K1511" t="s">
        <v>320</v>
      </c>
      <c r="M1511" t="s">
        <v>47</v>
      </c>
      <c r="N1511" s="1" t="e">
        <f t="shared" si="334"/>
        <v>#VALUE!</v>
      </c>
      <c r="O1511" s="1" t="e">
        <f t="shared" si="335"/>
        <v>#VALUE!</v>
      </c>
      <c r="P1511" s="1" t="e">
        <f t="shared" si="336"/>
        <v>#VALUE!</v>
      </c>
      <c r="Q1511" s="1" t="e">
        <f t="shared" si="337"/>
        <v>#VALUE!</v>
      </c>
      <c r="R1511" s="1" t="e">
        <f t="shared" si="338"/>
        <v>#VALUE!</v>
      </c>
      <c r="S1511" s="1" t="e">
        <f t="shared" si="339"/>
        <v>#VALUE!</v>
      </c>
      <c r="T1511" s="1" t="e">
        <f t="shared" si="340"/>
        <v>#VALUE!</v>
      </c>
      <c r="U1511" s="26" t="e">
        <f t="shared" si="341"/>
        <v>#VALUE!</v>
      </c>
      <c r="V1511" s="26" t="e">
        <f t="shared" si="342"/>
        <v>#VALUE!</v>
      </c>
      <c r="W1511" s="1" t="e">
        <f t="shared" si="343"/>
        <v>#VALUE!</v>
      </c>
      <c r="X1511" s="26" t="e">
        <f t="shared" si="344"/>
        <v>#VALUE!</v>
      </c>
      <c r="Y1511" s="26" t="e">
        <f t="shared" si="345"/>
        <v>#VALUE!</v>
      </c>
      <c r="Z1511" s="1" t="e">
        <f t="shared" si="346"/>
        <v>#VALUE!</v>
      </c>
      <c r="AA1511"/>
      <c r="AB1511"/>
    </row>
    <row r="1512" spans="1:28" x14ac:dyDescent="0.55000000000000004">
      <c r="A1512" s="1">
        <f t="shared" si="333"/>
        <v>1512</v>
      </c>
      <c r="B1512" t="s">
        <v>31</v>
      </c>
      <c r="C1512" t="s">
        <v>132</v>
      </c>
      <c r="D1512" t="s">
        <v>133</v>
      </c>
      <c r="E1512" t="s">
        <v>134</v>
      </c>
      <c r="G1512" t="s">
        <v>135</v>
      </c>
      <c r="I1512" t="s">
        <v>136</v>
      </c>
      <c r="K1512" t="s">
        <v>137</v>
      </c>
      <c r="M1512" t="s">
        <v>47</v>
      </c>
      <c r="N1512" s="1" t="e">
        <f t="shared" si="334"/>
        <v>#VALUE!</v>
      </c>
      <c r="O1512" s="1" t="e">
        <f t="shared" si="335"/>
        <v>#VALUE!</v>
      </c>
      <c r="P1512" s="1" t="e">
        <f t="shared" si="336"/>
        <v>#VALUE!</v>
      </c>
      <c r="Q1512" s="1" t="e">
        <f t="shared" si="337"/>
        <v>#VALUE!</v>
      </c>
      <c r="R1512" s="1" t="e">
        <f t="shared" si="338"/>
        <v>#VALUE!</v>
      </c>
      <c r="S1512" s="1" t="e">
        <f t="shared" si="339"/>
        <v>#VALUE!</v>
      </c>
      <c r="T1512" s="1" t="e">
        <f t="shared" si="340"/>
        <v>#VALUE!</v>
      </c>
      <c r="U1512" s="26" t="e">
        <f t="shared" si="341"/>
        <v>#VALUE!</v>
      </c>
      <c r="V1512" s="26" t="e">
        <f t="shared" si="342"/>
        <v>#VALUE!</v>
      </c>
      <c r="W1512" s="1" t="e">
        <f t="shared" si="343"/>
        <v>#VALUE!</v>
      </c>
      <c r="X1512" s="26" t="e">
        <f t="shared" si="344"/>
        <v>#VALUE!</v>
      </c>
      <c r="Y1512" s="26" t="e">
        <f t="shared" si="345"/>
        <v>#VALUE!</v>
      </c>
      <c r="Z1512" s="1" t="e">
        <f t="shared" si="346"/>
        <v>#VALUE!</v>
      </c>
      <c r="AA1512"/>
      <c r="AB1512"/>
    </row>
    <row r="1513" spans="1:28" x14ac:dyDescent="0.55000000000000004">
      <c r="A1513" s="1">
        <f t="shared" si="333"/>
        <v>1513</v>
      </c>
      <c r="B1513" t="s">
        <v>31</v>
      </c>
      <c r="C1513" t="s">
        <v>132</v>
      </c>
      <c r="D1513" t="s">
        <v>133</v>
      </c>
      <c r="E1513" t="s">
        <v>134</v>
      </c>
      <c r="G1513" t="s">
        <v>138</v>
      </c>
      <c r="I1513" t="s">
        <v>139</v>
      </c>
      <c r="K1513" t="s">
        <v>140</v>
      </c>
      <c r="M1513" t="s">
        <v>47</v>
      </c>
      <c r="N1513" s="1" t="e">
        <f t="shared" si="334"/>
        <v>#VALUE!</v>
      </c>
      <c r="O1513" s="1" t="e">
        <f t="shared" si="335"/>
        <v>#VALUE!</v>
      </c>
      <c r="P1513" s="1" t="e">
        <f t="shared" si="336"/>
        <v>#VALUE!</v>
      </c>
      <c r="Q1513" s="1" t="e">
        <f t="shared" si="337"/>
        <v>#VALUE!</v>
      </c>
      <c r="R1513" s="1" t="e">
        <f t="shared" si="338"/>
        <v>#VALUE!</v>
      </c>
      <c r="S1513" s="1" t="e">
        <f t="shared" si="339"/>
        <v>#VALUE!</v>
      </c>
      <c r="T1513" s="1" t="e">
        <f t="shared" si="340"/>
        <v>#VALUE!</v>
      </c>
      <c r="U1513" s="26" t="e">
        <f t="shared" si="341"/>
        <v>#VALUE!</v>
      </c>
      <c r="V1513" s="26" t="e">
        <f t="shared" si="342"/>
        <v>#VALUE!</v>
      </c>
      <c r="W1513" s="1" t="e">
        <f t="shared" si="343"/>
        <v>#VALUE!</v>
      </c>
      <c r="X1513" s="26" t="e">
        <f t="shared" si="344"/>
        <v>#VALUE!</v>
      </c>
      <c r="Y1513" s="26" t="e">
        <f t="shared" si="345"/>
        <v>#VALUE!</v>
      </c>
      <c r="Z1513" s="1" t="e">
        <f t="shared" si="346"/>
        <v>#VALUE!</v>
      </c>
      <c r="AA1513"/>
      <c r="AB1513"/>
    </row>
    <row r="1514" spans="1:28" x14ac:dyDescent="0.55000000000000004">
      <c r="A1514" s="1">
        <f t="shared" si="333"/>
        <v>1514</v>
      </c>
      <c r="B1514" t="s">
        <v>31</v>
      </c>
      <c r="C1514" t="s">
        <v>132</v>
      </c>
      <c r="D1514" t="s">
        <v>133</v>
      </c>
      <c r="E1514" t="s">
        <v>134</v>
      </c>
      <c r="G1514" t="s">
        <v>141</v>
      </c>
      <c r="I1514" t="s">
        <v>142</v>
      </c>
      <c r="K1514" t="s">
        <v>143</v>
      </c>
      <c r="M1514" t="s">
        <v>47</v>
      </c>
      <c r="N1514" s="1" t="e">
        <f t="shared" si="334"/>
        <v>#VALUE!</v>
      </c>
      <c r="O1514" s="1" t="e">
        <f t="shared" si="335"/>
        <v>#VALUE!</v>
      </c>
      <c r="P1514" s="1" t="e">
        <f t="shared" si="336"/>
        <v>#VALUE!</v>
      </c>
      <c r="Q1514" s="1" t="e">
        <f t="shared" si="337"/>
        <v>#VALUE!</v>
      </c>
      <c r="R1514" s="1" t="e">
        <f t="shared" si="338"/>
        <v>#VALUE!</v>
      </c>
      <c r="S1514" s="1" t="e">
        <f t="shared" si="339"/>
        <v>#VALUE!</v>
      </c>
      <c r="T1514" s="1" t="e">
        <f t="shared" si="340"/>
        <v>#VALUE!</v>
      </c>
      <c r="U1514" s="26" t="e">
        <f t="shared" si="341"/>
        <v>#VALUE!</v>
      </c>
      <c r="V1514" s="26" t="e">
        <f t="shared" si="342"/>
        <v>#VALUE!</v>
      </c>
      <c r="W1514" s="1" t="e">
        <f t="shared" si="343"/>
        <v>#VALUE!</v>
      </c>
      <c r="X1514" s="26" t="e">
        <f t="shared" si="344"/>
        <v>#VALUE!</v>
      </c>
      <c r="Y1514" s="26" t="e">
        <f t="shared" si="345"/>
        <v>#VALUE!</v>
      </c>
      <c r="Z1514" s="1" t="e">
        <f t="shared" si="346"/>
        <v>#VALUE!</v>
      </c>
      <c r="AA1514"/>
      <c r="AB1514"/>
    </row>
    <row r="1515" spans="1:28" x14ac:dyDescent="0.55000000000000004">
      <c r="A1515" s="1">
        <f t="shared" si="333"/>
        <v>1515</v>
      </c>
      <c r="B1515" t="s">
        <v>31</v>
      </c>
      <c r="C1515" t="s">
        <v>132</v>
      </c>
      <c r="D1515" t="s">
        <v>133</v>
      </c>
      <c r="E1515" t="s">
        <v>134</v>
      </c>
      <c r="G1515" t="s">
        <v>144</v>
      </c>
      <c r="I1515" t="s">
        <v>145</v>
      </c>
      <c r="K1515" t="s">
        <v>146</v>
      </c>
      <c r="M1515" t="s">
        <v>47</v>
      </c>
      <c r="N1515" s="1" t="e">
        <f t="shared" si="334"/>
        <v>#VALUE!</v>
      </c>
      <c r="O1515" s="1" t="e">
        <f t="shared" si="335"/>
        <v>#VALUE!</v>
      </c>
      <c r="P1515" s="1" t="e">
        <f t="shared" si="336"/>
        <v>#VALUE!</v>
      </c>
      <c r="Q1515" s="1" t="e">
        <f t="shared" si="337"/>
        <v>#VALUE!</v>
      </c>
      <c r="R1515" s="1" t="e">
        <f t="shared" si="338"/>
        <v>#VALUE!</v>
      </c>
      <c r="S1515" s="1" t="e">
        <f t="shared" si="339"/>
        <v>#VALUE!</v>
      </c>
      <c r="T1515" s="1" t="e">
        <f t="shared" si="340"/>
        <v>#VALUE!</v>
      </c>
      <c r="U1515" s="26" t="e">
        <f t="shared" si="341"/>
        <v>#VALUE!</v>
      </c>
      <c r="V1515" s="26" t="e">
        <f t="shared" si="342"/>
        <v>#VALUE!</v>
      </c>
      <c r="W1515" s="1" t="e">
        <f t="shared" si="343"/>
        <v>#VALUE!</v>
      </c>
      <c r="X1515" s="26" t="e">
        <f t="shared" si="344"/>
        <v>#VALUE!</v>
      </c>
      <c r="Y1515" s="26" t="e">
        <f t="shared" si="345"/>
        <v>#VALUE!</v>
      </c>
      <c r="Z1515" s="1" t="e">
        <f t="shared" si="346"/>
        <v>#VALUE!</v>
      </c>
      <c r="AA1515"/>
      <c r="AB1515"/>
    </row>
    <row r="1516" spans="1:28" x14ac:dyDescent="0.55000000000000004">
      <c r="A1516" s="1">
        <f t="shared" si="333"/>
        <v>1516</v>
      </c>
      <c r="B1516" t="s">
        <v>31</v>
      </c>
      <c r="C1516" t="s">
        <v>132</v>
      </c>
      <c r="D1516" t="s">
        <v>133</v>
      </c>
      <c r="E1516" t="s">
        <v>134</v>
      </c>
      <c r="G1516" t="s">
        <v>147</v>
      </c>
      <c r="I1516" t="s">
        <v>148</v>
      </c>
      <c r="K1516" t="s">
        <v>149</v>
      </c>
      <c r="M1516" t="s">
        <v>47</v>
      </c>
      <c r="N1516" s="1" t="e">
        <f t="shared" si="334"/>
        <v>#VALUE!</v>
      </c>
      <c r="O1516" s="1" t="e">
        <f t="shared" si="335"/>
        <v>#VALUE!</v>
      </c>
      <c r="P1516" s="1" t="e">
        <f t="shared" si="336"/>
        <v>#VALUE!</v>
      </c>
      <c r="Q1516" s="1" t="e">
        <f t="shared" si="337"/>
        <v>#VALUE!</v>
      </c>
      <c r="R1516" s="1" t="e">
        <f t="shared" si="338"/>
        <v>#VALUE!</v>
      </c>
      <c r="S1516" s="1" t="e">
        <f t="shared" si="339"/>
        <v>#VALUE!</v>
      </c>
      <c r="T1516" s="1" t="e">
        <f t="shared" si="340"/>
        <v>#VALUE!</v>
      </c>
      <c r="U1516" s="26" t="e">
        <f t="shared" si="341"/>
        <v>#VALUE!</v>
      </c>
      <c r="V1516" s="26" t="e">
        <f t="shared" si="342"/>
        <v>#VALUE!</v>
      </c>
      <c r="W1516" s="1" t="e">
        <f t="shared" si="343"/>
        <v>#VALUE!</v>
      </c>
      <c r="X1516" s="26" t="e">
        <f t="shared" si="344"/>
        <v>#VALUE!</v>
      </c>
      <c r="Y1516" s="26" t="e">
        <f t="shared" si="345"/>
        <v>#VALUE!</v>
      </c>
      <c r="Z1516" s="1" t="e">
        <f t="shared" si="346"/>
        <v>#VALUE!</v>
      </c>
      <c r="AA1516"/>
      <c r="AB1516"/>
    </row>
    <row r="1517" spans="1:28" x14ac:dyDescent="0.55000000000000004">
      <c r="A1517" s="1">
        <f t="shared" si="333"/>
        <v>1517</v>
      </c>
      <c r="B1517" t="s">
        <v>31</v>
      </c>
      <c r="C1517" t="s">
        <v>132</v>
      </c>
      <c r="D1517" t="s">
        <v>133</v>
      </c>
      <c r="E1517" t="s">
        <v>134</v>
      </c>
      <c r="G1517" t="s">
        <v>150</v>
      </c>
      <c r="I1517" t="s">
        <v>151</v>
      </c>
      <c r="K1517" t="s">
        <v>152</v>
      </c>
      <c r="M1517" t="s">
        <v>47</v>
      </c>
      <c r="N1517" s="1" t="e">
        <f t="shared" si="334"/>
        <v>#VALUE!</v>
      </c>
      <c r="O1517" s="1" t="e">
        <f t="shared" si="335"/>
        <v>#VALUE!</v>
      </c>
      <c r="P1517" s="1" t="e">
        <f t="shared" si="336"/>
        <v>#VALUE!</v>
      </c>
      <c r="Q1517" s="1" t="e">
        <f t="shared" si="337"/>
        <v>#VALUE!</v>
      </c>
      <c r="R1517" s="1" t="e">
        <f t="shared" si="338"/>
        <v>#VALUE!</v>
      </c>
      <c r="S1517" s="1" t="e">
        <f t="shared" si="339"/>
        <v>#VALUE!</v>
      </c>
      <c r="T1517" s="1" t="e">
        <f t="shared" si="340"/>
        <v>#VALUE!</v>
      </c>
      <c r="U1517" s="26" t="e">
        <f t="shared" si="341"/>
        <v>#VALUE!</v>
      </c>
      <c r="V1517" s="26" t="e">
        <f t="shared" si="342"/>
        <v>#VALUE!</v>
      </c>
      <c r="W1517" s="1" t="e">
        <f t="shared" si="343"/>
        <v>#VALUE!</v>
      </c>
      <c r="X1517" s="26" t="e">
        <f t="shared" si="344"/>
        <v>#VALUE!</v>
      </c>
      <c r="Y1517" s="26" t="e">
        <f t="shared" si="345"/>
        <v>#VALUE!</v>
      </c>
      <c r="Z1517" s="1" t="e">
        <f t="shared" si="346"/>
        <v>#VALUE!</v>
      </c>
      <c r="AA1517"/>
      <c r="AB1517"/>
    </row>
    <row r="1518" spans="1:28" x14ac:dyDescent="0.55000000000000004">
      <c r="A1518" s="1">
        <f t="shared" si="333"/>
        <v>1518</v>
      </c>
      <c r="B1518" t="s">
        <v>30</v>
      </c>
      <c r="C1518" t="s">
        <v>128</v>
      </c>
      <c r="D1518" t="s">
        <v>133</v>
      </c>
      <c r="E1518" t="s">
        <v>134</v>
      </c>
      <c r="F1518" t="s">
        <v>346</v>
      </c>
      <c r="G1518" t="s">
        <v>63</v>
      </c>
      <c r="I1518" t="s">
        <v>54</v>
      </c>
      <c r="K1518" t="s">
        <v>65</v>
      </c>
      <c r="M1518" t="s">
        <v>47</v>
      </c>
      <c r="N1518" s="1" t="e">
        <f t="shared" si="334"/>
        <v>#VALUE!</v>
      </c>
      <c r="O1518" s="1" t="e">
        <f t="shared" si="335"/>
        <v>#VALUE!</v>
      </c>
      <c r="P1518" s="1" t="e">
        <f t="shared" si="336"/>
        <v>#VALUE!</v>
      </c>
      <c r="Q1518" s="1" t="e">
        <f t="shared" si="337"/>
        <v>#VALUE!</v>
      </c>
      <c r="R1518" s="1" t="e">
        <f t="shared" si="338"/>
        <v>#VALUE!</v>
      </c>
      <c r="S1518" s="1" t="e">
        <f t="shared" si="339"/>
        <v>#VALUE!</v>
      </c>
      <c r="T1518" s="1" t="e">
        <f t="shared" si="340"/>
        <v>#VALUE!</v>
      </c>
      <c r="U1518" s="26" t="e">
        <f t="shared" si="341"/>
        <v>#VALUE!</v>
      </c>
      <c r="V1518" s="26" t="e">
        <f t="shared" si="342"/>
        <v>#VALUE!</v>
      </c>
      <c r="W1518" s="1" t="e">
        <f t="shared" si="343"/>
        <v>#VALUE!</v>
      </c>
      <c r="X1518" s="26" t="e">
        <f t="shared" si="344"/>
        <v>#VALUE!</v>
      </c>
      <c r="Y1518" s="26" t="e">
        <f t="shared" si="345"/>
        <v>#VALUE!</v>
      </c>
      <c r="Z1518" s="1" t="e">
        <f t="shared" si="346"/>
        <v>#VALUE!</v>
      </c>
      <c r="AA1518"/>
      <c r="AB1518"/>
    </row>
    <row r="1519" spans="1:28" x14ac:dyDescent="0.55000000000000004">
      <c r="A1519" s="1">
        <f t="shared" si="333"/>
        <v>1519</v>
      </c>
      <c r="B1519" t="s">
        <v>30</v>
      </c>
      <c r="C1519" t="s">
        <v>128</v>
      </c>
      <c r="D1519" t="s">
        <v>133</v>
      </c>
      <c r="E1519" t="s">
        <v>134</v>
      </c>
      <c r="F1519" t="s">
        <v>356</v>
      </c>
      <c r="G1519" t="s">
        <v>64</v>
      </c>
      <c r="I1519" t="s">
        <v>57</v>
      </c>
      <c r="K1519" t="s">
        <v>62</v>
      </c>
      <c r="M1519" t="s">
        <v>47</v>
      </c>
      <c r="N1519" s="1" t="e">
        <f t="shared" si="334"/>
        <v>#VALUE!</v>
      </c>
      <c r="O1519" s="1" t="e">
        <f t="shared" si="335"/>
        <v>#VALUE!</v>
      </c>
      <c r="P1519" s="1" t="e">
        <f t="shared" si="336"/>
        <v>#VALUE!</v>
      </c>
      <c r="Q1519" s="1" t="e">
        <f t="shared" si="337"/>
        <v>#VALUE!</v>
      </c>
      <c r="R1519" s="1" t="e">
        <f t="shared" si="338"/>
        <v>#VALUE!</v>
      </c>
      <c r="S1519" s="1" t="e">
        <f t="shared" si="339"/>
        <v>#VALUE!</v>
      </c>
      <c r="T1519" s="1" t="e">
        <f t="shared" si="340"/>
        <v>#VALUE!</v>
      </c>
      <c r="U1519" s="26" t="e">
        <f t="shared" si="341"/>
        <v>#VALUE!</v>
      </c>
      <c r="V1519" s="26" t="e">
        <f t="shared" si="342"/>
        <v>#VALUE!</v>
      </c>
      <c r="W1519" s="1" t="e">
        <f t="shared" si="343"/>
        <v>#VALUE!</v>
      </c>
      <c r="X1519" s="26" t="e">
        <f t="shared" si="344"/>
        <v>#VALUE!</v>
      </c>
      <c r="Y1519" s="26" t="e">
        <f t="shared" si="345"/>
        <v>#VALUE!</v>
      </c>
      <c r="Z1519" s="1" t="e">
        <f t="shared" si="346"/>
        <v>#VALUE!</v>
      </c>
      <c r="AA1519"/>
      <c r="AB1519"/>
    </row>
    <row r="1520" spans="1:28" x14ac:dyDescent="0.55000000000000004">
      <c r="A1520" s="1">
        <f t="shared" si="333"/>
        <v>1520</v>
      </c>
      <c r="B1520" t="s">
        <v>35</v>
      </c>
      <c r="C1520" t="s">
        <v>128</v>
      </c>
      <c r="D1520" t="s">
        <v>133</v>
      </c>
      <c r="E1520" t="s">
        <v>134</v>
      </c>
      <c r="F1520" t="s">
        <v>376</v>
      </c>
      <c r="G1520" t="s">
        <v>207</v>
      </c>
      <c r="I1520" t="s">
        <v>214</v>
      </c>
      <c r="K1520" t="s">
        <v>209</v>
      </c>
      <c r="M1520" t="s">
        <v>47</v>
      </c>
      <c r="N1520" s="1" t="e">
        <f t="shared" si="334"/>
        <v>#VALUE!</v>
      </c>
      <c r="O1520" s="1" t="e">
        <f t="shared" si="335"/>
        <v>#VALUE!</v>
      </c>
      <c r="P1520" s="1" t="e">
        <f t="shared" si="336"/>
        <v>#VALUE!</v>
      </c>
      <c r="Q1520" s="1" t="e">
        <f t="shared" si="337"/>
        <v>#VALUE!</v>
      </c>
      <c r="R1520" s="1" t="e">
        <f t="shared" si="338"/>
        <v>#VALUE!</v>
      </c>
      <c r="S1520" s="1" t="e">
        <f t="shared" si="339"/>
        <v>#VALUE!</v>
      </c>
      <c r="T1520" s="1" t="e">
        <f t="shared" si="340"/>
        <v>#VALUE!</v>
      </c>
      <c r="U1520" s="26" t="e">
        <f t="shared" si="341"/>
        <v>#VALUE!</v>
      </c>
      <c r="V1520" s="26" t="e">
        <f t="shared" si="342"/>
        <v>#VALUE!</v>
      </c>
      <c r="W1520" s="1" t="e">
        <f t="shared" si="343"/>
        <v>#VALUE!</v>
      </c>
      <c r="X1520" s="26" t="e">
        <f t="shared" si="344"/>
        <v>#VALUE!</v>
      </c>
      <c r="Y1520" s="26" t="e">
        <f t="shared" si="345"/>
        <v>#VALUE!</v>
      </c>
      <c r="Z1520" s="1" t="e">
        <f t="shared" si="346"/>
        <v>#VALUE!</v>
      </c>
      <c r="AA1520"/>
      <c r="AB1520"/>
    </row>
    <row r="1521" spans="1:28" x14ac:dyDescent="0.55000000000000004">
      <c r="A1521" s="1">
        <f t="shared" si="333"/>
        <v>1521</v>
      </c>
      <c r="B1521" t="s">
        <v>35</v>
      </c>
      <c r="C1521" t="s">
        <v>128</v>
      </c>
      <c r="D1521" t="s">
        <v>133</v>
      </c>
      <c r="E1521" t="s">
        <v>134</v>
      </c>
      <c r="F1521" t="s">
        <v>375</v>
      </c>
      <c r="G1521" t="s">
        <v>210</v>
      </c>
      <c r="I1521" t="s">
        <v>386</v>
      </c>
      <c r="K1521" t="s">
        <v>212</v>
      </c>
      <c r="M1521" t="s">
        <v>47</v>
      </c>
      <c r="N1521" s="1" t="e">
        <f t="shared" si="334"/>
        <v>#VALUE!</v>
      </c>
      <c r="O1521" s="1" t="e">
        <f t="shared" si="335"/>
        <v>#VALUE!</v>
      </c>
      <c r="P1521" s="1" t="e">
        <f t="shared" si="336"/>
        <v>#VALUE!</v>
      </c>
      <c r="Q1521" s="1" t="e">
        <f t="shared" si="337"/>
        <v>#VALUE!</v>
      </c>
      <c r="R1521" s="1" t="e">
        <f t="shared" si="338"/>
        <v>#VALUE!</v>
      </c>
      <c r="S1521" s="1" t="e">
        <f t="shared" si="339"/>
        <v>#VALUE!</v>
      </c>
      <c r="T1521" s="1" t="e">
        <f t="shared" si="340"/>
        <v>#VALUE!</v>
      </c>
      <c r="U1521" s="26" t="e">
        <f t="shared" si="341"/>
        <v>#VALUE!</v>
      </c>
      <c r="V1521" s="26" t="e">
        <f t="shared" si="342"/>
        <v>#VALUE!</v>
      </c>
      <c r="W1521" s="1" t="e">
        <f t="shared" si="343"/>
        <v>#VALUE!</v>
      </c>
      <c r="X1521" s="26" t="e">
        <f t="shared" si="344"/>
        <v>#VALUE!</v>
      </c>
      <c r="Y1521" s="26" t="e">
        <f t="shared" si="345"/>
        <v>#VALUE!</v>
      </c>
      <c r="Z1521" s="1" t="e">
        <f t="shared" si="346"/>
        <v>#VALUE!</v>
      </c>
      <c r="AA1521"/>
      <c r="AB1521"/>
    </row>
    <row r="1522" spans="1:28" x14ac:dyDescent="0.55000000000000004">
      <c r="A1522" s="1">
        <f t="shared" si="333"/>
        <v>1522</v>
      </c>
      <c r="B1522" t="s">
        <v>39</v>
      </c>
      <c r="C1522" t="s">
        <v>80</v>
      </c>
      <c r="D1522" t="s">
        <v>133</v>
      </c>
      <c r="E1522" t="s">
        <v>134</v>
      </c>
      <c r="F1522" t="s">
        <v>343</v>
      </c>
      <c r="G1522" t="s">
        <v>225</v>
      </c>
      <c r="I1522" t="s">
        <v>228</v>
      </c>
      <c r="K1522" t="s">
        <v>227</v>
      </c>
      <c r="M1522" t="s">
        <v>47</v>
      </c>
      <c r="N1522" s="1" t="e">
        <f t="shared" si="334"/>
        <v>#VALUE!</v>
      </c>
      <c r="O1522" s="1" t="e">
        <f t="shared" si="335"/>
        <v>#VALUE!</v>
      </c>
      <c r="P1522" s="1" t="e">
        <f t="shared" si="336"/>
        <v>#VALUE!</v>
      </c>
      <c r="Q1522" s="1" t="e">
        <f t="shared" si="337"/>
        <v>#VALUE!</v>
      </c>
      <c r="R1522" s="1" t="e">
        <f t="shared" si="338"/>
        <v>#VALUE!</v>
      </c>
      <c r="S1522" s="1" t="e">
        <f t="shared" si="339"/>
        <v>#VALUE!</v>
      </c>
      <c r="T1522" s="1" t="e">
        <f t="shared" si="340"/>
        <v>#VALUE!</v>
      </c>
      <c r="U1522" s="26" t="e">
        <f t="shared" si="341"/>
        <v>#VALUE!</v>
      </c>
      <c r="V1522" s="26" t="e">
        <f t="shared" si="342"/>
        <v>#VALUE!</v>
      </c>
      <c r="W1522" s="1" t="e">
        <f t="shared" si="343"/>
        <v>#VALUE!</v>
      </c>
      <c r="X1522" s="26" t="e">
        <f t="shared" si="344"/>
        <v>#VALUE!</v>
      </c>
      <c r="Y1522" s="26" t="e">
        <f t="shared" si="345"/>
        <v>#VALUE!</v>
      </c>
      <c r="Z1522" s="1" t="e">
        <f t="shared" si="346"/>
        <v>#VALUE!</v>
      </c>
      <c r="AA1522"/>
      <c r="AB1522"/>
    </row>
    <row r="1523" spans="1:28" x14ac:dyDescent="0.55000000000000004">
      <c r="A1523" s="1">
        <f t="shared" si="333"/>
        <v>1523</v>
      </c>
      <c r="B1523" t="s">
        <v>39</v>
      </c>
      <c r="C1523" t="s">
        <v>80</v>
      </c>
      <c r="D1523" t="s">
        <v>133</v>
      </c>
      <c r="E1523" t="s">
        <v>134</v>
      </c>
      <c r="F1523" t="s">
        <v>343</v>
      </c>
      <c r="G1523" t="s">
        <v>222</v>
      </c>
      <c r="I1523" t="s">
        <v>223</v>
      </c>
      <c r="K1523" t="s">
        <v>224</v>
      </c>
      <c r="M1523" t="s">
        <v>47</v>
      </c>
      <c r="N1523" s="1" t="e">
        <f t="shared" si="334"/>
        <v>#VALUE!</v>
      </c>
      <c r="O1523" s="1" t="e">
        <f t="shared" si="335"/>
        <v>#VALUE!</v>
      </c>
      <c r="P1523" s="1" t="e">
        <f t="shared" si="336"/>
        <v>#VALUE!</v>
      </c>
      <c r="Q1523" s="1" t="e">
        <f t="shared" si="337"/>
        <v>#VALUE!</v>
      </c>
      <c r="R1523" s="1" t="e">
        <f t="shared" si="338"/>
        <v>#VALUE!</v>
      </c>
      <c r="S1523" s="1" t="e">
        <f t="shared" si="339"/>
        <v>#VALUE!</v>
      </c>
      <c r="T1523" s="1" t="e">
        <f t="shared" si="340"/>
        <v>#VALUE!</v>
      </c>
      <c r="U1523" s="26" t="e">
        <f t="shared" si="341"/>
        <v>#VALUE!</v>
      </c>
      <c r="V1523" s="26" t="e">
        <f t="shared" si="342"/>
        <v>#VALUE!</v>
      </c>
      <c r="W1523" s="1" t="e">
        <f t="shared" si="343"/>
        <v>#VALUE!</v>
      </c>
      <c r="X1523" s="26" t="e">
        <f t="shared" si="344"/>
        <v>#VALUE!</v>
      </c>
      <c r="Y1523" s="26" t="e">
        <f t="shared" si="345"/>
        <v>#VALUE!</v>
      </c>
      <c r="Z1523" s="1" t="e">
        <f t="shared" si="346"/>
        <v>#VALUE!</v>
      </c>
      <c r="AA1523"/>
      <c r="AB1523"/>
    </row>
    <row r="1524" spans="1:28" x14ac:dyDescent="0.55000000000000004">
      <c r="A1524" s="1">
        <f t="shared" si="333"/>
        <v>1524</v>
      </c>
      <c r="B1524" t="s">
        <v>39</v>
      </c>
      <c r="C1524" t="s">
        <v>80</v>
      </c>
      <c r="D1524" t="s">
        <v>133</v>
      </c>
      <c r="E1524" t="s">
        <v>134</v>
      </c>
      <c r="F1524" t="s">
        <v>343</v>
      </c>
      <c r="G1524" t="s">
        <v>234</v>
      </c>
      <c r="I1524" t="s">
        <v>219</v>
      </c>
      <c r="K1524" t="s">
        <v>236</v>
      </c>
      <c r="M1524" t="s">
        <v>47</v>
      </c>
      <c r="N1524" s="1" t="e">
        <f t="shared" si="334"/>
        <v>#VALUE!</v>
      </c>
      <c r="O1524" s="1" t="e">
        <f t="shared" si="335"/>
        <v>#VALUE!</v>
      </c>
      <c r="P1524" s="1" t="e">
        <f t="shared" si="336"/>
        <v>#VALUE!</v>
      </c>
      <c r="Q1524" s="1" t="e">
        <f t="shared" si="337"/>
        <v>#VALUE!</v>
      </c>
      <c r="R1524" s="1" t="e">
        <f t="shared" si="338"/>
        <v>#VALUE!</v>
      </c>
      <c r="S1524" s="1" t="e">
        <f t="shared" si="339"/>
        <v>#VALUE!</v>
      </c>
      <c r="T1524" s="1" t="e">
        <f t="shared" si="340"/>
        <v>#VALUE!</v>
      </c>
      <c r="U1524" s="26" t="e">
        <f t="shared" si="341"/>
        <v>#VALUE!</v>
      </c>
      <c r="V1524" s="26" t="e">
        <f t="shared" si="342"/>
        <v>#VALUE!</v>
      </c>
      <c r="W1524" s="1" t="e">
        <f t="shared" si="343"/>
        <v>#VALUE!</v>
      </c>
      <c r="X1524" s="26" t="e">
        <f t="shared" si="344"/>
        <v>#VALUE!</v>
      </c>
      <c r="Y1524" s="26" t="e">
        <f t="shared" si="345"/>
        <v>#VALUE!</v>
      </c>
      <c r="Z1524" s="1" t="e">
        <f t="shared" si="346"/>
        <v>#VALUE!</v>
      </c>
      <c r="AA1524"/>
      <c r="AB1524"/>
    </row>
    <row r="1525" spans="1:28" x14ac:dyDescent="0.55000000000000004">
      <c r="A1525" s="1">
        <f t="shared" si="333"/>
        <v>1525</v>
      </c>
      <c r="B1525" t="s">
        <v>39</v>
      </c>
      <c r="C1525" t="s">
        <v>80</v>
      </c>
      <c r="D1525" t="s">
        <v>133</v>
      </c>
      <c r="E1525" t="s">
        <v>134</v>
      </c>
      <c r="F1525" t="s">
        <v>390</v>
      </c>
      <c r="G1525" t="s">
        <v>226</v>
      </c>
      <c r="I1525" t="s">
        <v>229</v>
      </c>
      <c r="K1525" t="s">
        <v>241</v>
      </c>
      <c r="M1525" t="s">
        <v>47</v>
      </c>
      <c r="N1525" s="1" t="e">
        <f t="shared" si="334"/>
        <v>#VALUE!</v>
      </c>
      <c r="O1525" s="1" t="e">
        <f t="shared" si="335"/>
        <v>#VALUE!</v>
      </c>
      <c r="P1525" s="1" t="e">
        <f t="shared" si="336"/>
        <v>#VALUE!</v>
      </c>
      <c r="Q1525" s="1" t="e">
        <f t="shared" si="337"/>
        <v>#VALUE!</v>
      </c>
      <c r="R1525" s="1" t="e">
        <f t="shared" si="338"/>
        <v>#VALUE!</v>
      </c>
      <c r="S1525" s="1" t="e">
        <f t="shared" si="339"/>
        <v>#VALUE!</v>
      </c>
      <c r="T1525" s="1" t="e">
        <f t="shared" si="340"/>
        <v>#VALUE!</v>
      </c>
      <c r="U1525" s="26" t="e">
        <f t="shared" si="341"/>
        <v>#VALUE!</v>
      </c>
      <c r="V1525" s="26" t="e">
        <f t="shared" si="342"/>
        <v>#VALUE!</v>
      </c>
      <c r="W1525" s="1" t="e">
        <f t="shared" si="343"/>
        <v>#VALUE!</v>
      </c>
      <c r="X1525" s="26" t="e">
        <f t="shared" si="344"/>
        <v>#VALUE!</v>
      </c>
      <c r="Y1525" s="26" t="e">
        <f t="shared" si="345"/>
        <v>#VALUE!</v>
      </c>
      <c r="Z1525" s="1" t="e">
        <f t="shared" si="346"/>
        <v>#VALUE!</v>
      </c>
      <c r="AA1525"/>
      <c r="AB1525"/>
    </row>
    <row r="1526" spans="1:28" x14ac:dyDescent="0.55000000000000004">
      <c r="A1526" s="1">
        <f t="shared" si="333"/>
        <v>1526</v>
      </c>
      <c r="B1526" t="s">
        <v>34</v>
      </c>
      <c r="C1526" t="s">
        <v>84</v>
      </c>
      <c r="D1526" t="s">
        <v>42</v>
      </c>
      <c r="E1526" t="s">
        <v>85</v>
      </c>
      <c r="G1526" t="s">
        <v>86</v>
      </c>
      <c r="I1526" t="s">
        <v>87</v>
      </c>
      <c r="K1526" t="s">
        <v>88</v>
      </c>
      <c r="M1526" t="s">
        <v>47</v>
      </c>
      <c r="N1526" s="1" t="e">
        <f t="shared" si="334"/>
        <v>#VALUE!</v>
      </c>
      <c r="O1526" s="1" t="e">
        <f t="shared" si="335"/>
        <v>#VALUE!</v>
      </c>
      <c r="P1526" s="1" t="e">
        <f t="shared" si="336"/>
        <v>#VALUE!</v>
      </c>
      <c r="Q1526" s="1" t="e">
        <f t="shared" si="337"/>
        <v>#VALUE!</v>
      </c>
      <c r="R1526" s="1" t="e">
        <f t="shared" si="338"/>
        <v>#VALUE!</v>
      </c>
      <c r="S1526" s="1" t="e">
        <f t="shared" si="339"/>
        <v>#VALUE!</v>
      </c>
      <c r="T1526" s="1" t="e">
        <f t="shared" si="340"/>
        <v>#VALUE!</v>
      </c>
      <c r="U1526" s="26" t="e">
        <f t="shared" si="341"/>
        <v>#VALUE!</v>
      </c>
      <c r="V1526" s="26" t="e">
        <f t="shared" si="342"/>
        <v>#VALUE!</v>
      </c>
      <c r="W1526" s="1" t="e">
        <f t="shared" si="343"/>
        <v>#VALUE!</v>
      </c>
      <c r="X1526" s="26" t="e">
        <f t="shared" si="344"/>
        <v>#VALUE!</v>
      </c>
      <c r="Y1526" s="26" t="e">
        <f t="shared" si="345"/>
        <v>#VALUE!</v>
      </c>
      <c r="Z1526" s="1" t="e">
        <f t="shared" si="346"/>
        <v>#VALUE!</v>
      </c>
      <c r="AA1526"/>
      <c r="AB1526"/>
    </row>
    <row r="1527" spans="1:28" x14ac:dyDescent="0.55000000000000004">
      <c r="A1527" s="1">
        <f t="shared" si="333"/>
        <v>1527</v>
      </c>
      <c r="B1527" t="s">
        <v>34</v>
      </c>
      <c r="C1527" t="s">
        <v>84</v>
      </c>
      <c r="D1527" t="s">
        <v>42</v>
      </c>
      <c r="E1527" t="s">
        <v>85</v>
      </c>
      <c r="G1527" t="s">
        <v>89</v>
      </c>
      <c r="I1527" t="s">
        <v>90</v>
      </c>
      <c r="K1527" t="s">
        <v>91</v>
      </c>
      <c r="M1527" t="s">
        <v>47</v>
      </c>
      <c r="N1527" s="1" t="e">
        <f t="shared" si="334"/>
        <v>#VALUE!</v>
      </c>
      <c r="O1527" s="1" t="e">
        <f t="shared" si="335"/>
        <v>#VALUE!</v>
      </c>
      <c r="P1527" s="1" t="e">
        <f t="shared" si="336"/>
        <v>#VALUE!</v>
      </c>
      <c r="Q1527" s="1" t="e">
        <f t="shared" si="337"/>
        <v>#VALUE!</v>
      </c>
      <c r="R1527" s="1" t="e">
        <f t="shared" si="338"/>
        <v>#VALUE!</v>
      </c>
      <c r="S1527" s="1" t="e">
        <f t="shared" si="339"/>
        <v>#VALUE!</v>
      </c>
      <c r="T1527" s="1" t="e">
        <f t="shared" si="340"/>
        <v>#VALUE!</v>
      </c>
      <c r="U1527" s="26" t="e">
        <f t="shared" si="341"/>
        <v>#VALUE!</v>
      </c>
      <c r="V1527" s="26" t="e">
        <f t="shared" si="342"/>
        <v>#VALUE!</v>
      </c>
      <c r="W1527" s="1" t="e">
        <f t="shared" si="343"/>
        <v>#VALUE!</v>
      </c>
      <c r="X1527" s="26" t="e">
        <f t="shared" si="344"/>
        <v>#VALUE!</v>
      </c>
      <c r="Y1527" s="26" t="e">
        <f t="shared" si="345"/>
        <v>#VALUE!</v>
      </c>
      <c r="Z1527" s="1" t="e">
        <f t="shared" si="346"/>
        <v>#VALUE!</v>
      </c>
      <c r="AA1527"/>
      <c r="AB1527"/>
    </row>
    <row r="1528" spans="1:28" x14ac:dyDescent="0.55000000000000004">
      <c r="A1528" s="1">
        <f t="shared" si="333"/>
        <v>1528</v>
      </c>
      <c r="B1528" t="s">
        <v>34</v>
      </c>
      <c r="C1528" t="s">
        <v>84</v>
      </c>
      <c r="D1528" t="s">
        <v>42</v>
      </c>
      <c r="E1528" t="s">
        <v>85</v>
      </c>
      <c r="G1528" t="s">
        <v>92</v>
      </c>
      <c r="I1528" t="s">
        <v>93</v>
      </c>
      <c r="K1528" t="s">
        <v>94</v>
      </c>
      <c r="M1528" t="s">
        <v>47</v>
      </c>
      <c r="N1528" s="1" t="e">
        <f t="shared" si="334"/>
        <v>#VALUE!</v>
      </c>
      <c r="O1528" s="1" t="e">
        <f t="shared" si="335"/>
        <v>#VALUE!</v>
      </c>
      <c r="P1528" s="1" t="e">
        <f t="shared" si="336"/>
        <v>#VALUE!</v>
      </c>
      <c r="Q1528" s="1" t="e">
        <f t="shared" si="337"/>
        <v>#VALUE!</v>
      </c>
      <c r="R1528" s="1" t="e">
        <f t="shared" si="338"/>
        <v>#VALUE!</v>
      </c>
      <c r="S1528" s="1" t="e">
        <f t="shared" si="339"/>
        <v>#VALUE!</v>
      </c>
      <c r="T1528" s="1" t="e">
        <f t="shared" si="340"/>
        <v>#VALUE!</v>
      </c>
      <c r="U1528" s="26" t="e">
        <f t="shared" si="341"/>
        <v>#VALUE!</v>
      </c>
      <c r="V1528" s="26" t="e">
        <f t="shared" si="342"/>
        <v>#VALUE!</v>
      </c>
      <c r="W1528" s="1" t="e">
        <f t="shared" si="343"/>
        <v>#VALUE!</v>
      </c>
      <c r="X1528" s="26" t="e">
        <f t="shared" si="344"/>
        <v>#VALUE!</v>
      </c>
      <c r="Y1528" s="26" t="e">
        <f t="shared" si="345"/>
        <v>#VALUE!</v>
      </c>
      <c r="Z1528" s="1" t="e">
        <f t="shared" si="346"/>
        <v>#VALUE!</v>
      </c>
      <c r="AA1528"/>
      <c r="AB1528"/>
    </row>
    <row r="1529" spans="1:28" x14ac:dyDescent="0.55000000000000004">
      <c r="A1529" s="1">
        <f t="shared" si="333"/>
        <v>1529</v>
      </c>
      <c r="B1529" t="s">
        <v>34</v>
      </c>
      <c r="C1529" t="s">
        <v>84</v>
      </c>
      <c r="D1529" t="s">
        <v>42</v>
      </c>
      <c r="E1529" t="s">
        <v>85</v>
      </c>
      <c r="G1529" t="s">
        <v>95</v>
      </c>
      <c r="I1529" t="s">
        <v>96</v>
      </c>
      <c r="K1529" t="s">
        <v>97</v>
      </c>
      <c r="M1529" t="s">
        <v>47</v>
      </c>
      <c r="N1529" s="1" t="e">
        <f t="shared" si="334"/>
        <v>#VALUE!</v>
      </c>
      <c r="O1529" s="1" t="e">
        <f t="shared" si="335"/>
        <v>#VALUE!</v>
      </c>
      <c r="P1529" s="1" t="e">
        <f t="shared" si="336"/>
        <v>#VALUE!</v>
      </c>
      <c r="Q1529" s="1" t="e">
        <f t="shared" si="337"/>
        <v>#VALUE!</v>
      </c>
      <c r="R1529" s="1" t="e">
        <f t="shared" si="338"/>
        <v>#VALUE!</v>
      </c>
      <c r="S1529" s="1" t="e">
        <f t="shared" si="339"/>
        <v>#VALUE!</v>
      </c>
      <c r="T1529" s="1" t="e">
        <f t="shared" si="340"/>
        <v>#VALUE!</v>
      </c>
      <c r="U1529" s="26" t="e">
        <f t="shared" si="341"/>
        <v>#VALUE!</v>
      </c>
      <c r="V1529" s="26" t="e">
        <f t="shared" si="342"/>
        <v>#VALUE!</v>
      </c>
      <c r="W1529" s="1" t="e">
        <f t="shared" si="343"/>
        <v>#VALUE!</v>
      </c>
      <c r="X1529" s="26" t="e">
        <f t="shared" si="344"/>
        <v>#VALUE!</v>
      </c>
      <c r="Y1529" s="26" t="e">
        <f t="shared" si="345"/>
        <v>#VALUE!</v>
      </c>
      <c r="Z1529" s="1" t="e">
        <f t="shared" si="346"/>
        <v>#VALUE!</v>
      </c>
      <c r="AA1529"/>
      <c r="AB1529"/>
    </row>
    <row r="1530" spans="1:28" x14ac:dyDescent="0.55000000000000004">
      <c r="A1530" s="1">
        <f t="shared" si="333"/>
        <v>1530</v>
      </c>
      <c r="B1530" t="s">
        <v>34</v>
      </c>
      <c r="C1530" t="s">
        <v>84</v>
      </c>
      <c r="D1530" t="s">
        <v>42</v>
      </c>
      <c r="E1530" t="s">
        <v>85</v>
      </c>
      <c r="G1530" t="s">
        <v>98</v>
      </c>
      <c r="I1530" t="s">
        <v>99</v>
      </c>
      <c r="K1530" t="s">
        <v>100</v>
      </c>
      <c r="M1530" t="s">
        <v>47</v>
      </c>
      <c r="N1530" s="1" t="e">
        <f t="shared" si="334"/>
        <v>#VALUE!</v>
      </c>
      <c r="O1530" s="1" t="e">
        <f t="shared" si="335"/>
        <v>#VALUE!</v>
      </c>
      <c r="P1530" s="1" t="e">
        <f t="shared" si="336"/>
        <v>#VALUE!</v>
      </c>
      <c r="Q1530" s="1" t="e">
        <f t="shared" si="337"/>
        <v>#VALUE!</v>
      </c>
      <c r="R1530" s="1" t="e">
        <f t="shared" si="338"/>
        <v>#VALUE!</v>
      </c>
      <c r="S1530" s="1" t="e">
        <f t="shared" si="339"/>
        <v>#VALUE!</v>
      </c>
      <c r="T1530" s="1" t="e">
        <f t="shared" si="340"/>
        <v>#VALUE!</v>
      </c>
      <c r="U1530" s="26" t="e">
        <f t="shared" si="341"/>
        <v>#VALUE!</v>
      </c>
      <c r="V1530" s="26" t="e">
        <f t="shared" si="342"/>
        <v>#VALUE!</v>
      </c>
      <c r="W1530" s="1" t="e">
        <f t="shared" si="343"/>
        <v>#VALUE!</v>
      </c>
      <c r="X1530" s="26" t="e">
        <f t="shared" si="344"/>
        <v>#VALUE!</v>
      </c>
      <c r="Y1530" s="26" t="e">
        <f t="shared" si="345"/>
        <v>#VALUE!</v>
      </c>
      <c r="Z1530" s="1" t="e">
        <f t="shared" si="346"/>
        <v>#VALUE!</v>
      </c>
      <c r="AA1530"/>
      <c r="AB1530"/>
    </row>
    <row r="1531" spans="1:28" x14ac:dyDescent="0.55000000000000004">
      <c r="A1531" s="1">
        <f t="shared" si="333"/>
        <v>1531</v>
      </c>
      <c r="B1531" t="s">
        <v>34</v>
      </c>
      <c r="C1531" t="s">
        <v>84</v>
      </c>
      <c r="D1531" t="s">
        <v>42</v>
      </c>
      <c r="E1531" t="s">
        <v>85</v>
      </c>
      <c r="G1531" t="s">
        <v>101</v>
      </c>
      <c r="I1531" t="s">
        <v>102</v>
      </c>
      <c r="K1531" t="s">
        <v>103</v>
      </c>
      <c r="M1531" t="s">
        <v>47</v>
      </c>
      <c r="N1531" s="1" t="e">
        <f t="shared" si="334"/>
        <v>#VALUE!</v>
      </c>
      <c r="O1531" s="1" t="e">
        <f t="shared" si="335"/>
        <v>#VALUE!</v>
      </c>
      <c r="P1531" s="1" t="e">
        <f t="shared" si="336"/>
        <v>#VALUE!</v>
      </c>
      <c r="Q1531" s="1" t="e">
        <f t="shared" si="337"/>
        <v>#VALUE!</v>
      </c>
      <c r="R1531" s="1" t="e">
        <f t="shared" si="338"/>
        <v>#VALUE!</v>
      </c>
      <c r="S1531" s="1" t="e">
        <f t="shared" si="339"/>
        <v>#VALUE!</v>
      </c>
      <c r="T1531" s="1" t="e">
        <f t="shared" si="340"/>
        <v>#VALUE!</v>
      </c>
      <c r="U1531" s="26" t="e">
        <f t="shared" si="341"/>
        <v>#VALUE!</v>
      </c>
      <c r="V1531" s="26" t="e">
        <f t="shared" si="342"/>
        <v>#VALUE!</v>
      </c>
      <c r="W1531" s="1" t="e">
        <f t="shared" si="343"/>
        <v>#VALUE!</v>
      </c>
      <c r="X1531" s="26" t="e">
        <f t="shared" si="344"/>
        <v>#VALUE!</v>
      </c>
      <c r="Y1531" s="26" t="e">
        <f t="shared" si="345"/>
        <v>#VALUE!</v>
      </c>
      <c r="Z1531" s="1" t="e">
        <f t="shared" si="346"/>
        <v>#VALUE!</v>
      </c>
      <c r="AA1531"/>
      <c r="AB1531"/>
    </row>
    <row r="1532" spans="1:28" x14ac:dyDescent="0.55000000000000004">
      <c r="A1532" s="1">
        <f t="shared" si="333"/>
        <v>1532</v>
      </c>
      <c r="B1532" t="s">
        <v>30</v>
      </c>
      <c r="C1532" t="s">
        <v>128</v>
      </c>
      <c r="D1532" t="s">
        <v>42</v>
      </c>
      <c r="E1532" t="s">
        <v>85</v>
      </c>
      <c r="F1532" t="s">
        <v>380</v>
      </c>
      <c r="G1532" t="s">
        <v>49</v>
      </c>
      <c r="I1532" t="s">
        <v>45</v>
      </c>
      <c r="K1532" t="s">
        <v>72</v>
      </c>
      <c r="M1532" t="s">
        <v>47</v>
      </c>
      <c r="N1532" s="1" t="e">
        <f t="shared" si="334"/>
        <v>#VALUE!</v>
      </c>
      <c r="O1532" s="1" t="e">
        <f t="shared" si="335"/>
        <v>#VALUE!</v>
      </c>
      <c r="P1532" s="1" t="e">
        <f t="shared" si="336"/>
        <v>#VALUE!</v>
      </c>
      <c r="Q1532" s="1" t="e">
        <f t="shared" si="337"/>
        <v>#VALUE!</v>
      </c>
      <c r="R1532" s="1" t="e">
        <f t="shared" si="338"/>
        <v>#VALUE!</v>
      </c>
      <c r="S1532" s="1" t="e">
        <f t="shared" si="339"/>
        <v>#VALUE!</v>
      </c>
      <c r="T1532" s="1" t="e">
        <f t="shared" si="340"/>
        <v>#VALUE!</v>
      </c>
      <c r="U1532" s="26" t="e">
        <f t="shared" si="341"/>
        <v>#VALUE!</v>
      </c>
      <c r="V1532" s="26" t="e">
        <f t="shared" si="342"/>
        <v>#VALUE!</v>
      </c>
      <c r="W1532" s="1" t="e">
        <f t="shared" si="343"/>
        <v>#VALUE!</v>
      </c>
      <c r="X1532" s="26" t="e">
        <f t="shared" si="344"/>
        <v>#VALUE!</v>
      </c>
      <c r="Y1532" s="26" t="e">
        <f t="shared" si="345"/>
        <v>#VALUE!</v>
      </c>
      <c r="Z1532" s="1" t="e">
        <f t="shared" si="346"/>
        <v>#VALUE!</v>
      </c>
      <c r="AA1532"/>
      <c r="AB1532"/>
    </row>
    <row r="1533" spans="1:28" x14ac:dyDescent="0.55000000000000004">
      <c r="A1533" s="1">
        <f t="shared" si="333"/>
        <v>1533</v>
      </c>
      <c r="B1533" t="s">
        <v>30</v>
      </c>
      <c r="C1533" t="s">
        <v>128</v>
      </c>
      <c r="D1533" t="s">
        <v>42</v>
      </c>
      <c r="E1533" t="s">
        <v>85</v>
      </c>
      <c r="F1533" t="s">
        <v>380</v>
      </c>
      <c r="G1533" t="s">
        <v>58</v>
      </c>
      <c r="I1533" t="s">
        <v>51</v>
      </c>
      <c r="K1533" t="s">
        <v>71</v>
      </c>
      <c r="M1533" t="s">
        <v>47</v>
      </c>
      <c r="N1533" s="1" t="e">
        <f t="shared" si="334"/>
        <v>#VALUE!</v>
      </c>
      <c r="O1533" s="1" t="e">
        <f t="shared" si="335"/>
        <v>#VALUE!</v>
      </c>
      <c r="P1533" s="1" t="e">
        <f t="shared" si="336"/>
        <v>#VALUE!</v>
      </c>
      <c r="Q1533" s="1" t="e">
        <f t="shared" si="337"/>
        <v>#VALUE!</v>
      </c>
      <c r="R1533" s="1" t="e">
        <f t="shared" si="338"/>
        <v>#VALUE!</v>
      </c>
      <c r="S1533" s="1" t="e">
        <f t="shared" si="339"/>
        <v>#VALUE!</v>
      </c>
      <c r="T1533" s="1" t="e">
        <f t="shared" si="340"/>
        <v>#VALUE!</v>
      </c>
      <c r="U1533" s="26" t="e">
        <f t="shared" si="341"/>
        <v>#VALUE!</v>
      </c>
      <c r="V1533" s="26" t="e">
        <f t="shared" si="342"/>
        <v>#VALUE!</v>
      </c>
      <c r="W1533" s="1" t="e">
        <f t="shared" si="343"/>
        <v>#VALUE!</v>
      </c>
      <c r="X1533" s="26" t="e">
        <f t="shared" si="344"/>
        <v>#VALUE!</v>
      </c>
      <c r="Y1533" s="26" t="e">
        <f t="shared" si="345"/>
        <v>#VALUE!</v>
      </c>
      <c r="Z1533" s="1" t="e">
        <f t="shared" si="346"/>
        <v>#VALUE!</v>
      </c>
      <c r="AA1533"/>
      <c r="AB1533"/>
    </row>
    <row r="1534" spans="1:28" x14ac:dyDescent="0.55000000000000004">
      <c r="A1534" s="1">
        <f t="shared" si="333"/>
        <v>1534</v>
      </c>
      <c r="B1534" t="s">
        <v>30</v>
      </c>
      <c r="C1534" t="s">
        <v>128</v>
      </c>
      <c r="D1534" t="s">
        <v>42</v>
      </c>
      <c r="E1534" t="s">
        <v>85</v>
      </c>
      <c r="F1534" t="s">
        <v>398</v>
      </c>
      <c r="G1534" t="s">
        <v>66</v>
      </c>
      <c r="I1534" t="s">
        <v>60</v>
      </c>
      <c r="K1534" t="s">
        <v>68</v>
      </c>
      <c r="M1534" t="s">
        <v>47</v>
      </c>
      <c r="N1534" s="1" t="e">
        <f t="shared" si="334"/>
        <v>#VALUE!</v>
      </c>
      <c r="O1534" s="1" t="e">
        <f t="shared" si="335"/>
        <v>#VALUE!</v>
      </c>
      <c r="P1534" s="1" t="e">
        <f t="shared" si="336"/>
        <v>#VALUE!</v>
      </c>
      <c r="Q1534" s="1" t="e">
        <f t="shared" si="337"/>
        <v>#VALUE!</v>
      </c>
      <c r="R1534" s="1" t="e">
        <f t="shared" si="338"/>
        <v>#VALUE!</v>
      </c>
      <c r="S1534" s="1" t="e">
        <f t="shared" si="339"/>
        <v>#VALUE!</v>
      </c>
      <c r="T1534" s="1" t="e">
        <f t="shared" si="340"/>
        <v>#VALUE!</v>
      </c>
      <c r="U1534" s="26" t="e">
        <f t="shared" si="341"/>
        <v>#VALUE!</v>
      </c>
      <c r="V1534" s="26" t="e">
        <f t="shared" si="342"/>
        <v>#VALUE!</v>
      </c>
      <c r="W1534" s="1" t="e">
        <f t="shared" si="343"/>
        <v>#VALUE!</v>
      </c>
      <c r="X1534" s="26" t="e">
        <f t="shared" si="344"/>
        <v>#VALUE!</v>
      </c>
      <c r="Y1534" s="26" t="e">
        <f t="shared" si="345"/>
        <v>#VALUE!</v>
      </c>
      <c r="Z1534" s="1" t="e">
        <f t="shared" si="346"/>
        <v>#VALUE!</v>
      </c>
      <c r="AA1534"/>
      <c r="AB1534"/>
    </row>
    <row r="1535" spans="1:28" x14ac:dyDescent="0.55000000000000004">
      <c r="A1535" s="1">
        <f t="shared" si="333"/>
        <v>1535</v>
      </c>
      <c r="B1535" t="s">
        <v>35</v>
      </c>
      <c r="C1535" t="s">
        <v>128</v>
      </c>
      <c r="D1535" t="s">
        <v>42</v>
      </c>
      <c r="E1535" t="s">
        <v>85</v>
      </c>
      <c r="F1535" t="s">
        <v>411</v>
      </c>
      <c r="G1535" t="s">
        <v>208</v>
      </c>
      <c r="I1535" t="s">
        <v>377</v>
      </c>
      <c r="K1535" t="s">
        <v>381</v>
      </c>
      <c r="M1535" t="s">
        <v>47</v>
      </c>
      <c r="N1535" s="1" t="e">
        <f t="shared" si="334"/>
        <v>#VALUE!</v>
      </c>
      <c r="O1535" s="1" t="e">
        <f t="shared" si="335"/>
        <v>#VALUE!</v>
      </c>
      <c r="P1535" s="1" t="e">
        <f t="shared" si="336"/>
        <v>#VALUE!</v>
      </c>
      <c r="Q1535" s="1" t="e">
        <f t="shared" si="337"/>
        <v>#VALUE!</v>
      </c>
      <c r="R1535" s="1" t="e">
        <f t="shared" si="338"/>
        <v>#VALUE!</v>
      </c>
      <c r="S1535" s="1" t="e">
        <f t="shared" si="339"/>
        <v>#VALUE!</v>
      </c>
      <c r="T1535" s="1" t="e">
        <f t="shared" si="340"/>
        <v>#VALUE!</v>
      </c>
      <c r="U1535" s="26" t="e">
        <f t="shared" si="341"/>
        <v>#VALUE!</v>
      </c>
      <c r="V1535" s="26" t="e">
        <f t="shared" si="342"/>
        <v>#VALUE!</v>
      </c>
      <c r="W1535" s="1" t="e">
        <f t="shared" si="343"/>
        <v>#VALUE!</v>
      </c>
      <c r="X1535" s="26" t="e">
        <f t="shared" si="344"/>
        <v>#VALUE!</v>
      </c>
      <c r="Y1535" s="26" t="e">
        <f t="shared" si="345"/>
        <v>#VALUE!</v>
      </c>
      <c r="Z1535" s="1" t="e">
        <f t="shared" si="346"/>
        <v>#VALUE!</v>
      </c>
      <c r="AA1535"/>
      <c r="AB1535"/>
    </row>
    <row r="1536" spans="1:28" x14ac:dyDescent="0.55000000000000004">
      <c r="A1536" s="1">
        <f t="shared" si="333"/>
        <v>1536</v>
      </c>
      <c r="B1536" t="s">
        <v>35</v>
      </c>
      <c r="C1536" t="s">
        <v>128</v>
      </c>
      <c r="D1536" t="s">
        <v>42</v>
      </c>
      <c r="E1536" t="s">
        <v>85</v>
      </c>
      <c r="F1536" t="s">
        <v>412</v>
      </c>
      <c r="G1536" t="s">
        <v>211</v>
      </c>
      <c r="I1536" t="s">
        <v>213</v>
      </c>
      <c r="K1536" t="s">
        <v>309</v>
      </c>
      <c r="M1536" t="s">
        <v>47</v>
      </c>
      <c r="N1536" s="1" t="e">
        <f t="shared" si="334"/>
        <v>#VALUE!</v>
      </c>
      <c r="O1536" s="1" t="e">
        <f t="shared" si="335"/>
        <v>#VALUE!</v>
      </c>
      <c r="P1536" s="1" t="e">
        <f t="shared" si="336"/>
        <v>#VALUE!</v>
      </c>
      <c r="Q1536" s="1" t="e">
        <f t="shared" si="337"/>
        <v>#VALUE!</v>
      </c>
      <c r="R1536" s="1" t="e">
        <f t="shared" si="338"/>
        <v>#VALUE!</v>
      </c>
      <c r="S1536" s="1" t="e">
        <f t="shared" si="339"/>
        <v>#VALUE!</v>
      </c>
      <c r="T1536" s="1" t="e">
        <f t="shared" si="340"/>
        <v>#VALUE!</v>
      </c>
      <c r="U1536" s="26" t="e">
        <f t="shared" si="341"/>
        <v>#VALUE!</v>
      </c>
      <c r="V1536" s="26" t="e">
        <f t="shared" si="342"/>
        <v>#VALUE!</v>
      </c>
      <c r="W1536" s="1" t="e">
        <f t="shared" si="343"/>
        <v>#VALUE!</v>
      </c>
      <c r="X1536" s="26" t="e">
        <f t="shared" si="344"/>
        <v>#VALUE!</v>
      </c>
      <c r="Y1536" s="26" t="e">
        <f t="shared" si="345"/>
        <v>#VALUE!</v>
      </c>
      <c r="Z1536" s="1" t="e">
        <f t="shared" si="346"/>
        <v>#VALUE!</v>
      </c>
      <c r="AA1536"/>
      <c r="AB1536"/>
    </row>
    <row r="1537" spans="1:28" x14ac:dyDescent="0.55000000000000004">
      <c r="A1537" s="1">
        <f t="shared" si="333"/>
        <v>1537</v>
      </c>
      <c r="B1537" t="s">
        <v>39</v>
      </c>
      <c r="C1537" t="s">
        <v>80</v>
      </c>
      <c r="D1537" t="s">
        <v>42</v>
      </c>
      <c r="E1537" t="s">
        <v>85</v>
      </c>
      <c r="F1537" t="s">
        <v>343</v>
      </c>
      <c r="G1537" t="s">
        <v>232</v>
      </c>
      <c r="I1537" t="s">
        <v>220</v>
      </c>
      <c r="K1537" t="s">
        <v>238</v>
      </c>
      <c r="M1537" t="s">
        <v>47</v>
      </c>
      <c r="N1537" s="1" t="e">
        <f t="shared" si="334"/>
        <v>#VALUE!</v>
      </c>
      <c r="O1537" s="1" t="e">
        <f t="shared" si="335"/>
        <v>#VALUE!</v>
      </c>
      <c r="P1537" s="1" t="e">
        <f t="shared" si="336"/>
        <v>#VALUE!</v>
      </c>
      <c r="Q1537" s="1" t="e">
        <f t="shared" si="337"/>
        <v>#VALUE!</v>
      </c>
      <c r="R1537" s="1" t="e">
        <f t="shared" si="338"/>
        <v>#VALUE!</v>
      </c>
      <c r="S1537" s="1" t="e">
        <f t="shared" si="339"/>
        <v>#VALUE!</v>
      </c>
      <c r="T1537" s="1" t="e">
        <f t="shared" si="340"/>
        <v>#VALUE!</v>
      </c>
      <c r="U1537" s="26" t="e">
        <f t="shared" si="341"/>
        <v>#VALUE!</v>
      </c>
      <c r="V1537" s="26" t="e">
        <f t="shared" si="342"/>
        <v>#VALUE!</v>
      </c>
      <c r="W1537" s="1" t="e">
        <f t="shared" si="343"/>
        <v>#VALUE!</v>
      </c>
      <c r="X1537" s="26" t="e">
        <f t="shared" si="344"/>
        <v>#VALUE!</v>
      </c>
      <c r="Y1537" s="26" t="e">
        <f t="shared" si="345"/>
        <v>#VALUE!</v>
      </c>
      <c r="Z1537" s="1" t="e">
        <f t="shared" si="346"/>
        <v>#VALUE!</v>
      </c>
      <c r="AA1537"/>
      <c r="AB1537"/>
    </row>
    <row r="1538" spans="1:28" x14ac:dyDescent="0.55000000000000004">
      <c r="A1538" s="1">
        <f t="shared" si="333"/>
        <v>1538</v>
      </c>
      <c r="B1538" t="s">
        <v>39</v>
      </c>
      <c r="C1538" t="s">
        <v>80</v>
      </c>
      <c r="D1538" t="s">
        <v>42</v>
      </c>
      <c r="E1538" t="s">
        <v>85</v>
      </c>
      <c r="F1538" t="s">
        <v>390</v>
      </c>
      <c r="G1538" t="s">
        <v>231</v>
      </c>
      <c r="I1538" t="s">
        <v>235</v>
      </c>
      <c r="K1538" t="s">
        <v>233</v>
      </c>
      <c r="M1538" t="s">
        <v>47</v>
      </c>
      <c r="N1538" s="1" t="e">
        <f t="shared" si="334"/>
        <v>#VALUE!</v>
      </c>
      <c r="O1538" s="1" t="e">
        <f t="shared" si="335"/>
        <v>#VALUE!</v>
      </c>
      <c r="P1538" s="1" t="e">
        <f t="shared" si="336"/>
        <v>#VALUE!</v>
      </c>
      <c r="Q1538" s="1" t="e">
        <f t="shared" si="337"/>
        <v>#VALUE!</v>
      </c>
      <c r="R1538" s="1" t="e">
        <f t="shared" si="338"/>
        <v>#VALUE!</v>
      </c>
      <c r="S1538" s="1" t="e">
        <f t="shared" si="339"/>
        <v>#VALUE!</v>
      </c>
      <c r="T1538" s="1" t="e">
        <f t="shared" si="340"/>
        <v>#VALUE!</v>
      </c>
      <c r="U1538" s="26" t="e">
        <f t="shared" si="341"/>
        <v>#VALUE!</v>
      </c>
      <c r="V1538" s="26" t="e">
        <f t="shared" si="342"/>
        <v>#VALUE!</v>
      </c>
      <c r="W1538" s="1" t="e">
        <f t="shared" si="343"/>
        <v>#VALUE!</v>
      </c>
      <c r="X1538" s="26" t="e">
        <f t="shared" si="344"/>
        <v>#VALUE!</v>
      </c>
      <c r="Y1538" s="26" t="e">
        <f t="shared" si="345"/>
        <v>#VALUE!</v>
      </c>
      <c r="Z1538" s="1" t="e">
        <f t="shared" si="346"/>
        <v>#VALUE!</v>
      </c>
      <c r="AA1538"/>
      <c r="AB1538"/>
    </row>
    <row r="1539" spans="1:28" x14ac:dyDescent="0.55000000000000004">
      <c r="A1539" s="1">
        <f t="shared" ref="A1539:A1602" si="347">A1538+1</f>
        <v>1539</v>
      </c>
      <c r="B1539" t="s">
        <v>35</v>
      </c>
      <c r="C1539" t="s">
        <v>128</v>
      </c>
      <c r="D1539" t="s">
        <v>42</v>
      </c>
      <c r="E1539" t="s">
        <v>85</v>
      </c>
      <c r="F1539" t="s">
        <v>357</v>
      </c>
      <c r="G1539" t="s">
        <v>304</v>
      </c>
      <c r="I1539" t="s">
        <v>306</v>
      </c>
      <c r="K1539" t="s">
        <v>382</v>
      </c>
      <c r="M1539" t="s">
        <v>47</v>
      </c>
      <c r="N1539" s="1" t="e">
        <f t="shared" ref="N1539:N1602" si="348">VALUE(LEFT(H1539,1))</f>
        <v>#VALUE!</v>
      </c>
      <c r="O1539" s="1" t="e">
        <f t="shared" ref="O1539:O1602" si="349">VALUE(RIGHT(H1539,1))</f>
        <v>#VALUE!</v>
      </c>
      <c r="P1539" s="1" t="e">
        <f t="shared" ref="P1539:P1602" si="350">SUM(N1539,O1539)</f>
        <v>#VALUE!</v>
      </c>
      <c r="Q1539" s="1" t="e">
        <f t="shared" ref="Q1539:Q1602" si="351">IF(N1539&lt;&gt;O1539, 1, 0)</f>
        <v>#VALUE!</v>
      </c>
      <c r="R1539" s="1" t="e">
        <f t="shared" ref="R1539:R1602" si="352">IF(P1539&lt;=4,1,0)</f>
        <v>#VALUE!</v>
      </c>
      <c r="S1539" s="1" t="e">
        <f t="shared" ref="S1539:S1602" si="353">IF(AND(Q1539=1,R1539=1),1,0)</f>
        <v>#VALUE!</v>
      </c>
      <c r="T1539" s="1" t="e">
        <f t="shared" ref="T1539:T1602" si="354">IF(N1539&lt;=2,1,0)</f>
        <v>#VALUE!</v>
      </c>
      <c r="U1539" s="26" t="e">
        <f t="shared" ref="U1539:U1602" si="355">IF(AND(N1539&gt;=1,N1539&lt;=3),1,0)</f>
        <v>#VALUE!</v>
      </c>
      <c r="V1539" s="26" t="e">
        <f t="shared" ref="V1539:V1602" si="356">IF(AND(N1539&gt;=2,N1539&lt;=5),1,0)</f>
        <v>#VALUE!</v>
      </c>
      <c r="W1539" s="1" t="e">
        <f t="shared" ref="W1539:W1602" si="357">IF(O1539&lt;=2,1,0)</f>
        <v>#VALUE!</v>
      </c>
      <c r="X1539" s="26" t="e">
        <f t="shared" ref="X1539:X1602" si="358">IF(AND(O1539&gt;=1,O1539&lt;=3),1,0)</f>
        <v>#VALUE!</v>
      </c>
      <c r="Y1539" s="26" t="e">
        <f t="shared" ref="Y1539:Y1602" si="359">IF(AND(O1539&gt;=2,O1539&lt;=5),1,0)</f>
        <v>#VALUE!</v>
      </c>
      <c r="Z1539" s="1" t="e">
        <f t="shared" ref="Z1539:Z1602" si="360">IF(P1539&gt;=2,1,0)</f>
        <v>#VALUE!</v>
      </c>
      <c r="AA1539"/>
      <c r="AB1539"/>
    </row>
    <row r="1540" spans="1:28" x14ac:dyDescent="0.55000000000000004">
      <c r="A1540" s="1">
        <f t="shared" si="347"/>
        <v>1540</v>
      </c>
      <c r="B1540" t="s">
        <v>35</v>
      </c>
      <c r="C1540" t="s">
        <v>128</v>
      </c>
      <c r="D1540" t="s">
        <v>42</v>
      </c>
      <c r="E1540" t="s">
        <v>85</v>
      </c>
      <c r="F1540" t="s">
        <v>357</v>
      </c>
      <c r="G1540" t="s">
        <v>307</v>
      </c>
      <c r="I1540" t="s">
        <v>384</v>
      </c>
      <c r="K1540" t="s">
        <v>379</v>
      </c>
      <c r="M1540" t="s">
        <v>47</v>
      </c>
      <c r="N1540" s="1" t="e">
        <f t="shared" si="348"/>
        <v>#VALUE!</v>
      </c>
      <c r="O1540" s="1" t="e">
        <f t="shared" si="349"/>
        <v>#VALUE!</v>
      </c>
      <c r="P1540" s="1" t="e">
        <f t="shared" si="350"/>
        <v>#VALUE!</v>
      </c>
      <c r="Q1540" s="1" t="e">
        <f t="shared" si="351"/>
        <v>#VALUE!</v>
      </c>
      <c r="R1540" s="1" t="e">
        <f t="shared" si="352"/>
        <v>#VALUE!</v>
      </c>
      <c r="S1540" s="1" t="e">
        <f t="shared" si="353"/>
        <v>#VALUE!</v>
      </c>
      <c r="T1540" s="1" t="e">
        <f t="shared" si="354"/>
        <v>#VALUE!</v>
      </c>
      <c r="U1540" s="26" t="e">
        <f t="shared" si="355"/>
        <v>#VALUE!</v>
      </c>
      <c r="V1540" s="26" t="e">
        <f t="shared" si="356"/>
        <v>#VALUE!</v>
      </c>
      <c r="W1540" s="1" t="e">
        <f t="shared" si="357"/>
        <v>#VALUE!</v>
      </c>
      <c r="X1540" s="26" t="e">
        <f t="shared" si="358"/>
        <v>#VALUE!</v>
      </c>
      <c r="Y1540" s="26" t="e">
        <f t="shared" si="359"/>
        <v>#VALUE!</v>
      </c>
      <c r="Z1540" s="1" t="e">
        <f t="shared" si="360"/>
        <v>#VALUE!</v>
      </c>
      <c r="AA1540"/>
      <c r="AB1540"/>
    </row>
    <row r="1541" spans="1:28" x14ac:dyDescent="0.55000000000000004">
      <c r="A1541" s="1">
        <f t="shared" si="347"/>
        <v>1541</v>
      </c>
      <c r="B1541" t="s">
        <v>35</v>
      </c>
      <c r="C1541" t="s">
        <v>128</v>
      </c>
      <c r="D1541" t="s">
        <v>42</v>
      </c>
      <c r="E1541" t="s">
        <v>85</v>
      </c>
      <c r="F1541" t="s">
        <v>357</v>
      </c>
      <c r="G1541" t="s">
        <v>204</v>
      </c>
      <c r="I1541" t="s">
        <v>303</v>
      </c>
      <c r="K1541" t="s">
        <v>206</v>
      </c>
      <c r="M1541" t="s">
        <v>47</v>
      </c>
      <c r="N1541" s="1" t="e">
        <f t="shared" si="348"/>
        <v>#VALUE!</v>
      </c>
      <c r="O1541" s="1" t="e">
        <f t="shared" si="349"/>
        <v>#VALUE!</v>
      </c>
      <c r="P1541" s="1" t="e">
        <f t="shared" si="350"/>
        <v>#VALUE!</v>
      </c>
      <c r="Q1541" s="1" t="e">
        <f t="shared" si="351"/>
        <v>#VALUE!</v>
      </c>
      <c r="R1541" s="1" t="e">
        <f t="shared" si="352"/>
        <v>#VALUE!</v>
      </c>
      <c r="S1541" s="1" t="e">
        <f t="shared" si="353"/>
        <v>#VALUE!</v>
      </c>
      <c r="T1541" s="1" t="e">
        <f t="shared" si="354"/>
        <v>#VALUE!</v>
      </c>
      <c r="U1541" s="26" t="e">
        <f t="shared" si="355"/>
        <v>#VALUE!</v>
      </c>
      <c r="V1541" s="26" t="e">
        <f t="shared" si="356"/>
        <v>#VALUE!</v>
      </c>
      <c r="W1541" s="1" t="e">
        <f t="shared" si="357"/>
        <v>#VALUE!</v>
      </c>
      <c r="X1541" s="26" t="e">
        <f t="shared" si="358"/>
        <v>#VALUE!</v>
      </c>
      <c r="Y1541" s="26" t="e">
        <f t="shared" si="359"/>
        <v>#VALUE!</v>
      </c>
      <c r="Z1541" s="1" t="e">
        <f t="shared" si="360"/>
        <v>#VALUE!</v>
      </c>
      <c r="AA1541"/>
      <c r="AB1541"/>
    </row>
    <row r="1542" spans="1:28" x14ac:dyDescent="0.55000000000000004">
      <c r="A1542" s="1">
        <f t="shared" si="347"/>
        <v>1542</v>
      </c>
      <c r="B1542" t="s">
        <v>35</v>
      </c>
      <c r="C1542" t="s">
        <v>128</v>
      </c>
      <c r="D1542" t="s">
        <v>42</v>
      </c>
      <c r="E1542" t="s">
        <v>85</v>
      </c>
      <c r="F1542" t="s">
        <v>357</v>
      </c>
      <c r="G1542" t="s">
        <v>205</v>
      </c>
      <c r="I1542" t="s">
        <v>383</v>
      </c>
      <c r="K1542" t="s">
        <v>417</v>
      </c>
      <c r="M1542" t="s">
        <v>47</v>
      </c>
      <c r="N1542" s="1" t="e">
        <f t="shared" si="348"/>
        <v>#VALUE!</v>
      </c>
      <c r="O1542" s="1" t="e">
        <f t="shared" si="349"/>
        <v>#VALUE!</v>
      </c>
      <c r="P1542" s="1" t="e">
        <f t="shared" si="350"/>
        <v>#VALUE!</v>
      </c>
      <c r="Q1542" s="1" t="e">
        <f t="shared" si="351"/>
        <v>#VALUE!</v>
      </c>
      <c r="R1542" s="1" t="e">
        <f t="shared" si="352"/>
        <v>#VALUE!</v>
      </c>
      <c r="S1542" s="1" t="e">
        <f t="shared" si="353"/>
        <v>#VALUE!</v>
      </c>
      <c r="T1542" s="1" t="e">
        <f t="shared" si="354"/>
        <v>#VALUE!</v>
      </c>
      <c r="U1542" s="26" t="e">
        <f t="shared" si="355"/>
        <v>#VALUE!</v>
      </c>
      <c r="V1542" s="26" t="e">
        <f t="shared" si="356"/>
        <v>#VALUE!</v>
      </c>
      <c r="W1542" s="1" t="e">
        <f t="shared" si="357"/>
        <v>#VALUE!</v>
      </c>
      <c r="X1542" s="26" t="e">
        <f t="shared" si="358"/>
        <v>#VALUE!</v>
      </c>
      <c r="Y1542" s="26" t="e">
        <f t="shared" si="359"/>
        <v>#VALUE!</v>
      </c>
      <c r="Z1542" s="1" t="e">
        <f t="shared" si="360"/>
        <v>#VALUE!</v>
      </c>
      <c r="AA1542"/>
      <c r="AB1542"/>
    </row>
    <row r="1543" spans="1:28" x14ac:dyDescent="0.55000000000000004">
      <c r="A1543" s="1">
        <f t="shared" si="347"/>
        <v>1543</v>
      </c>
      <c r="B1543" t="s">
        <v>30</v>
      </c>
      <c r="C1543" t="s">
        <v>128</v>
      </c>
      <c r="D1543" t="s">
        <v>179</v>
      </c>
      <c r="E1543" t="s">
        <v>192</v>
      </c>
      <c r="F1543" t="s">
        <v>181</v>
      </c>
      <c r="G1543" t="s">
        <v>52</v>
      </c>
      <c r="I1543" t="s">
        <v>61</v>
      </c>
      <c r="K1543" t="s">
        <v>71</v>
      </c>
      <c r="M1543" t="s">
        <v>47</v>
      </c>
      <c r="N1543" s="1" t="e">
        <f t="shared" si="348"/>
        <v>#VALUE!</v>
      </c>
      <c r="O1543" s="1" t="e">
        <f t="shared" si="349"/>
        <v>#VALUE!</v>
      </c>
      <c r="P1543" s="1" t="e">
        <f t="shared" si="350"/>
        <v>#VALUE!</v>
      </c>
      <c r="Q1543" s="1" t="e">
        <f t="shared" si="351"/>
        <v>#VALUE!</v>
      </c>
      <c r="R1543" s="1" t="e">
        <f t="shared" si="352"/>
        <v>#VALUE!</v>
      </c>
      <c r="S1543" s="1" t="e">
        <f t="shared" si="353"/>
        <v>#VALUE!</v>
      </c>
      <c r="T1543" s="1" t="e">
        <f t="shared" si="354"/>
        <v>#VALUE!</v>
      </c>
      <c r="U1543" s="26" t="e">
        <f t="shared" si="355"/>
        <v>#VALUE!</v>
      </c>
      <c r="V1543" s="26" t="e">
        <f t="shared" si="356"/>
        <v>#VALUE!</v>
      </c>
      <c r="W1543" s="1" t="e">
        <f t="shared" si="357"/>
        <v>#VALUE!</v>
      </c>
      <c r="X1543" s="26" t="e">
        <f t="shared" si="358"/>
        <v>#VALUE!</v>
      </c>
      <c r="Y1543" s="26" t="e">
        <f t="shared" si="359"/>
        <v>#VALUE!</v>
      </c>
      <c r="Z1543" s="1" t="e">
        <f t="shared" si="360"/>
        <v>#VALUE!</v>
      </c>
      <c r="AA1543"/>
      <c r="AB1543"/>
    </row>
    <row r="1544" spans="1:28" x14ac:dyDescent="0.55000000000000004">
      <c r="A1544" s="1">
        <f t="shared" si="347"/>
        <v>1544</v>
      </c>
      <c r="B1544" t="s">
        <v>30</v>
      </c>
      <c r="C1544" t="s">
        <v>128</v>
      </c>
      <c r="D1544" t="s">
        <v>179</v>
      </c>
      <c r="E1544" t="s">
        <v>192</v>
      </c>
      <c r="F1544" t="s">
        <v>181</v>
      </c>
      <c r="G1544" t="s">
        <v>48</v>
      </c>
      <c r="I1544" t="s">
        <v>44</v>
      </c>
      <c r="K1544" t="s">
        <v>50</v>
      </c>
      <c r="M1544" t="s">
        <v>47</v>
      </c>
      <c r="N1544" s="1" t="e">
        <f t="shared" si="348"/>
        <v>#VALUE!</v>
      </c>
      <c r="O1544" s="1" t="e">
        <f t="shared" si="349"/>
        <v>#VALUE!</v>
      </c>
      <c r="P1544" s="1" t="e">
        <f t="shared" si="350"/>
        <v>#VALUE!</v>
      </c>
      <c r="Q1544" s="1" t="e">
        <f t="shared" si="351"/>
        <v>#VALUE!</v>
      </c>
      <c r="R1544" s="1" t="e">
        <f t="shared" si="352"/>
        <v>#VALUE!</v>
      </c>
      <c r="S1544" s="1" t="e">
        <f t="shared" si="353"/>
        <v>#VALUE!</v>
      </c>
      <c r="T1544" s="1" t="e">
        <f t="shared" si="354"/>
        <v>#VALUE!</v>
      </c>
      <c r="U1544" s="26" t="e">
        <f t="shared" si="355"/>
        <v>#VALUE!</v>
      </c>
      <c r="V1544" s="26" t="e">
        <f t="shared" si="356"/>
        <v>#VALUE!</v>
      </c>
      <c r="W1544" s="1" t="e">
        <f t="shared" si="357"/>
        <v>#VALUE!</v>
      </c>
      <c r="X1544" s="26" t="e">
        <f t="shared" si="358"/>
        <v>#VALUE!</v>
      </c>
      <c r="Y1544" s="26" t="e">
        <f t="shared" si="359"/>
        <v>#VALUE!</v>
      </c>
      <c r="Z1544" s="1" t="e">
        <f t="shared" si="360"/>
        <v>#VALUE!</v>
      </c>
      <c r="AA1544"/>
      <c r="AB1544"/>
    </row>
    <row r="1545" spans="1:28" x14ac:dyDescent="0.55000000000000004">
      <c r="A1545" s="1">
        <f t="shared" si="347"/>
        <v>1545</v>
      </c>
      <c r="B1545" t="s">
        <v>30</v>
      </c>
      <c r="C1545" t="s">
        <v>122</v>
      </c>
      <c r="D1545" t="s">
        <v>177</v>
      </c>
      <c r="E1545" t="s">
        <v>193</v>
      </c>
      <c r="F1545" t="s">
        <v>181</v>
      </c>
      <c r="G1545" t="s">
        <v>63</v>
      </c>
      <c r="I1545" t="s">
        <v>55</v>
      </c>
      <c r="K1545" t="s">
        <v>65</v>
      </c>
      <c r="M1545" t="s">
        <v>47</v>
      </c>
      <c r="N1545" s="1" t="e">
        <f t="shared" si="348"/>
        <v>#VALUE!</v>
      </c>
      <c r="O1545" s="1" t="e">
        <f t="shared" si="349"/>
        <v>#VALUE!</v>
      </c>
      <c r="P1545" s="1" t="e">
        <f t="shared" si="350"/>
        <v>#VALUE!</v>
      </c>
      <c r="Q1545" s="1" t="e">
        <f t="shared" si="351"/>
        <v>#VALUE!</v>
      </c>
      <c r="R1545" s="1" t="e">
        <f t="shared" si="352"/>
        <v>#VALUE!</v>
      </c>
      <c r="S1545" s="1" t="e">
        <f t="shared" si="353"/>
        <v>#VALUE!</v>
      </c>
      <c r="T1545" s="1" t="e">
        <f t="shared" si="354"/>
        <v>#VALUE!</v>
      </c>
      <c r="U1545" s="26" t="e">
        <f t="shared" si="355"/>
        <v>#VALUE!</v>
      </c>
      <c r="V1545" s="26" t="e">
        <f t="shared" si="356"/>
        <v>#VALUE!</v>
      </c>
      <c r="W1545" s="1" t="e">
        <f t="shared" si="357"/>
        <v>#VALUE!</v>
      </c>
      <c r="X1545" s="26" t="e">
        <f t="shared" si="358"/>
        <v>#VALUE!</v>
      </c>
      <c r="Y1545" s="26" t="e">
        <f t="shared" si="359"/>
        <v>#VALUE!</v>
      </c>
      <c r="Z1545" s="1" t="e">
        <f t="shared" si="360"/>
        <v>#VALUE!</v>
      </c>
      <c r="AA1545"/>
      <c r="AB1545"/>
    </row>
    <row r="1546" spans="1:28" x14ac:dyDescent="0.55000000000000004">
      <c r="A1546" s="1">
        <f t="shared" si="347"/>
        <v>1546</v>
      </c>
      <c r="B1546" t="s">
        <v>35</v>
      </c>
      <c r="C1546" t="s">
        <v>130</v>
      </c>
      <c r="D1546" t="s">
        <v>174</v>
      </c>
      <c r="E1546" t="s">
        <v>310</v>
      </c>
      <c r="F1546" t="s">
        <v>181</v>
      </c>
      <c r="G1546" t="s">
        <v>213</v>
      </c>
      <c r="I1546" t="s">
        <v>304</v>
      </c>
      <c r="K1546" t="s">
        <v>215</v>
      </c>
      <c r="M1546" t="s">
        <v>47</v>
      </c>
      <c r="N1546" s="1" t="e">
        <f t="shared" si="348"/>
        <v>#VALUE!</v>
      </c>
      <c r="O1546" s="1" t="e">
        <f t="shared" si="349"/>
        <v>#VALUE!</v>
      </c>
      <c r="P1546" s="1" t="e">
        <f t="shared" si="350"/>
        <v>#VALUE!</v>
      </c>
      <c r="Q1546" s="1" t="e">
        <f t="shared" si="351"/>
        <v>#VALUE!</v>
      </c>
      <c r="R1546" s="1" t="e">
        <f t="shared" si="352"/>
        <v>#VALUE!</v>
      </c>
      <c r="S1546" s="1" t="e">
        <f t="shared" si="353"/>
        <v>#VALUE!</v>
      </c>
      <c r="T1546" s="1" t="e">
        <f t="shared" si="354"/>
        <v>#VALUE!</v>
      </c>
      <c r="U1546" s="26" t="e">
        <f t="shared" si="355"/>
        <v>#VALUE!</v>
      </c>
      <c r="V1546" s="26" t="e">
        <f t="shared" si="356"/>
        <v>#VALUE!</v>
      </c>
      <c r="W1546" s="1" t="e">
        <f t="shared" si="357"/>
        <v>#VALUE!</v>
      </c>
      <c r="X1546" s="26" t="e">
        <f t="shared" si="358"/>
        <v>#VALUE!</v>
      </c>
      <c r="Y1546" s="26" t="e">
        <f t="shared" si="359"/>
        <v>#VALUE!</v>
      </c>
      <c r="Z1546" s="1" t="e">
        <f t="shared" si="360"/>
        <v>#VALUE!</v>
      </c>
      <c r="AA1546"/>
      <c r="AB1546"/>
    </row>
    <row r="1547" spans="1:28" x14ac:dyDescent="0.55000000000000004">
      <c r="A1547" s="1">
        <f t="shared" si="347"/>
        <v>1547</v>
      </c>
      <c r="B1547" t="s">
        <v>37</v>
      </c>
      <c r="C1547" t="s">
        <v>333</v>
      </c>
      <c r="D1547" t="s">
        <v>174</v>
      </c>
      <c r="E1547" t="s">
        <v>310</v>
      </c>
      <c r="F1547" t="s">
        <v>315</v>
      </c>
      <c r="G1547" t="s">
        <v>322</v>
      </c>
      <c r="I1547" t="s">
        <v>318</v>
      </c>
      <c r="K1547" t="s">
        <v>331</v>
      </c>
      <c r="M1547" t="s">
        <v>47</v>
      </c>
      <c r="N1547" s="1" t="e">
        <f t="shared" si="348"/>
        <v>#VALUE!</v>
      </c>
      <c r="O1547" s="1" t="e">
        <f t="shared" si="349"/>
        <v>#VALUE!</v>
      </c>
      <c r="P1547" s="1" t="e">
        <f t="shared" si="350"/>
        <v>#VALUE!</v>
      </c>
      <c r="Q1547" s="1" t="e">
        <f t="shared" si="351"/>
        <v>#VALUE!</v>
      </c>
      <c r="R1547" s="1" t="e">
        <f t="shared" si="352"/>
        <v>#VALUE!</v>
      </c>
      <c r="S1547" s="1" t="e">
        <f t="shared" si="353"/>
        <v>#VALUE!</v>
      </c>
      <c r="T1547" s="1" t="e">
        <f t="shared" si="354"/>
        <v>#VALUE!</v>
      </c>
      <c r="U1547" s="26" t="e">
        <f t="shared" si="355"/>
        <v>#VALUE!</v>
      </c>
      <c r="V1547" s="26" t="e">
        <f t="shared" si="356"/>
        <v>#VALUE!</v>
      </c>
      <c r="W1547" s="1" t="e">
        <f t="shared" si="357"/>
        <v>#VALUE!</v>
      </c>
      <c r="X1547" s="26" t="e">
        <f t="shared" si="358"/>
        <v>#VALUE!</v>
      </c>
      <c r="Y1547" s="26" t="e">
        <f t="shared" si="359"/>
        <v>#VALUE!</v>
      </c>
      <c r="Z1547" s="1" t="e">
        <f t="shared" si="360"/>
        <v>#VALUE!</v>
      </c>
      <c r="AA1547"/>
      <c r="AB1547"/>
    </row>
    <row r="1548" spans="1:28" x14ac:dyDescent="0.55000000000000004">
      <c r="A1548" s="1">
        <f t="shared" si="347"/>
        <v>1548</v>
      </c>
      <c r="B1548" t="s">
        <v>37</v>
      </c>
      <c r="C1548" t="s">
        <v>333</v>
      </c>
      <c r="D1548" t="s">
        <v>174</v>
      </c>
      <c r="E1548" t="s">
        <v>310</v>
      </c>
      <c r="F1548" t="s">
        <v>315</v>
      </c>
      <c r="G1548" t="s">
        <v>324</v>
      </c>
      <c r="I1548" t="s">
        <v>326</v>
      </c>
      <c r="K1548" t="s">
        <v>325</v>
      </c>
      <c r="M1548" t="s">
        <v>47</v>
      </c>
      <c r="N1548" s="1" t="e">
        <f t="shared" si="348"/>
        <v>#VALUE!</v>
      </c>
      <c r="O1548" s="1" t="e">
        <f t="shared" si="349"/>
        <v>#VALUE!</v>
      </c>
      <c r="P1548" s="1" t="e">
        <f t="shared" si="350"/>
        <v>#VALUE!</v>
      </c>
      <c r="Q1548" s="1" t="e">
        <f t="shared" si="351"/>
        <v>#VALUE!</v>
      </c>
      <c r="R1548" s="1" t="e">
        <f t="shared" si="352"/>
        <v>#VALUE!</v>
      </c>
      <c r="S1548" s="1" t="e">
        <f t="shared" si="353"/>
        <v>#VALUE!</v>
      </c>
      <c r="T1548" s="1" t="e">
        <f t="shared" si="354"/>
        <v>#VALUE!</v>
      </c>
      <c r="U1548" s="26" t="e">
        <f t="shared" si="355"/>
        <v>#VALUE!</v>
      </c>
      <c r="V1548" s="26" t="e">
        <f t="shared" si="356"/>
        <v>#VALUE!</v>
      </c>
      <c r="W1548" s="1" t="e">
        <f t="shared" si="357"/>
        <v>#VALUE!</v>
      </c>
      <c r="X1548" s="26" t="e">
        <f t="shared" si="358"/>
        <v>#VALUE!</v>
      </c>
      <c r="Y1548" s="26" t="e">
        <f t="shared" si="359"/>
        <v>#VALUE!</v>
      </c>
      <c r="Z1548" s="1" t="e">
        <f t="shared" si="360"/>
        <v>#VALUE!</v>
      </c>
      <c r="AA1548"/>
      <c r="AB1548"/>
    </row>
    <row r="1549" spans="1:28" x14ac:dyDescent="0.55000000000000004">
      <c r="A1549" s="1">
        <f t="shared" si="347"/>
        <v>1549</v>
      </c>
      <c r="B1549" t="s">
        <v>37</v>
      </c>
      <c r="C1549" t="s">
        <v>333</v>
      </c>
      <c r="D1549" t="s">
        <v>174</v>
      </c>
      <c r="E1549" t="s">
        <v>310</v>
      </c>
      <c r="F1549" t="s">
        <v>315</v>
      </c>
      <c r="G1549" t="s">
        <v>313</v>
      </c>
      <c r="I1549" t="s">
        <v>328</v>
      </c>
      <c r="K1549" t="s">
        <v>317</v>
      </c>
      <c r="M1549" t="s">
        <v>47</v>
      </c>
      <c r="N1549" s="1" t="e">
        <f t="shared" si="348"/>
        <v>#VALUE!</v>
      </c>
      <c r="O1549" s="1" t="e">
        <f t="shared" si="349"/>
        <v>#VALUE!</v>
      </c>
      <c r="P1549" s="1" t="e">
        <f t="shared" si="350"/>
        <v>#VALUE!</v>
      </c>
      <c r="Q1549" s="1" t="e">
        <f t="shared" si="351"/>
        <v>#VALUE!</v>
      </c>
      <c r="R1549" s="1" t="e">
        <f t="shared" si="352"/>
        <v>#VALUE!</v>
      </c>
      <c r="S1549" s="1" t="e">
        <f t="shared" si="353"/>
        <v>#VALUE!</v>
      </c>
      <c r="T1549" s="1" t="e">
        <f t="shared" si="354"/>
        <v>#VALUE!</v>
      </c>
      <c r="U1549" s="26" t="e">
        <f t="shared" si="355"/>
        <v>#VALUE!</v>
      </c>
      <c r="V1549" s="26" t="e">
        <f t="shared" si="356"/>
        <v>#VALUE!</v>
      </c>
      <c r="W1549" s="1" t="e">
        <f t="shared" si="357"/>
        <v>#VALUE!</v>
      </c>
      <c r="X1549" s="26" t="e">
        <f t="shared" si="358"/>
        <v>#VALUE!</v>
      </c>
      <c r="Y1549" s="26" t="e">
        <f t="shared" si="359"/>
        <v>#VALUE!</v>
      </c>
      <c r="Z1549" s="1" t="e">
        <f t="shared" si="360"/>
        <v>#VALUE!</v>
      </c>
      <c r="AA1549"/>
      <c r="AB1549"/>
    </row>
    <row r="1550" spans="1:28" x14ac:dyDescent="0.55000000000000004">
      <c r="A1550" s="1">
        <f t="shared" si="347"/>
        <v>1550</v>
      </c>
      <c r="B1550" t="s">
        <v>37</v>
      </c>
      <c r="C1550" t="s">
        <v>333</v>
      </c>
      <c r="D1550" t="s">
        <v>174</v>
      </c>
      <c r="E1550" t="s">
        <v>310</v>
      </c>
      <c r="F1550" t="s">
        <v>311</v>
      </c>
      <c r="G1550" t="s">
        <v>319</v>
      </c>
      <c r="I1550" t="s">
        <v>321</v>
      </c>
      <c r="K1550" t="s">
        <v>330</v>
      </c>
      <c r="M1550" t="s">
        <v>47</v>
      </c>
      <c r="N1550" s="1" t="e">
        <f t="shared" si="348"/>
        <v>#VALUE!</v>
      </c>
      <c r="O1550" s="1" t="e">
        <f t="shared" si="349"/>
        <v>#VALUE!</v>
      </c>
      <c r="P1550" s="1" t="e">
        <f t="shared" si="350"/>
        <v>#VALUE!</v>
      </c>
      <c r="Q1550" s="1" t="e">
        <f t="shared" si="351"/>
        <v>#VALUE!</v>
      </c>
      <c r="R1550" s="1" t="e">
        <f t="shared" si="352"/>
        <v>#VALUE!</v>
      </c>
      <c r="S1550" s="1" t="e">
        <f t="shared" si="353"/>
        <v>#VALUE!</v>
      </c>
      <c r="T1550" s="1" t="e">
        <f t="shared" si="354"/>
        <v>#VALUE!</v>
      </c>
      <c r="U1550" s="26" t="e">
        <f t="shared" si="355"/>
        <v>#VALUE!</v>
      </c>
      <c r="V1550" s="26" t="e">
        <f t="shared" si="356"/>
        <v>#VALUE!</v>
      </c>
      <c r="W1550" s="1" t="e">
        <f t="shared" si="357"/>
        <v>#VALUE!</v>
      </c>
      <c r="X1550" s="26" t="e">
        <f t="shared" si="358"/>
        <v>#VALUE!</v>
      </c>
      <c r="Y1550" s="26" t="e">
        <f t="shared" si="359"/>
        <v>#VALUE!</v>
      </c>
      <c r="Z1550" s="1" t="e">
        <f t="shared" si="360"/>
        <v>#VALUE!</v>
      </c>
      <c r="AA1550"/>
      <c r="AB1550"/>
    </row>
    <row r="1551" spans="1:28" x14ac:dyDescent="0.55000000000000004">
      <c r="A1551" s="1">
        <f t="shared" si="347"/>
        <v>1551</v>
      </c>
      <c r="B1551" t="s">
        <v>31</v>
      </c>
      <c r="C1551" t="s">
        <v>153</v>
      </c>
      <c r="D1551" t="s">
        <v>133</v>
      </c>
      <c r="E1551" t="s">
        <v>154</v>
      </c>
      <c r="G1551" t="s">
        <v>145</v>
      </c>
      <c r="I1551" t="s">
        <v>141</v>
      </c>
      <c r="K1551" t="s">
        <v>155</v>
      </c>
      <c r="M1551" t="s">
        <v>47</v>
      </c>
      <c r="N1551" s="1" t="e">
        <f t="shared" si="348"/>
        <v>#VALUE!</v>
      </c>
      <c r="O1551" s="1" t="e">
        <f t="shared" si="349"/>
        <v>#VALUE!</v>
      </c>
      <c r="P1551" s="1" t="e">
        <f t="shared" si="350"/>
        <v>#VALUE!</v>
      </c>
      <c r="Q1551" s="1" t="e">
        <f t="shared" si="351"/>
        <v>#VALUE!</v>
      </c>
      <c r="R1551" s="1" t="e">
        <f t="shared" si="352"/>
        <v>#VALUE!</v>
      </c>
      <c r="S1551" s="1" t="e">
        <f t="shared" si="353"/>
        <v>#VALUE!</v>
      </c>
      <c r="T1551" s="1" t="e">
        <f t="shared" si="354"/>
        <v>#VALUE!</v>
      </c>
      <c r="U1551" s="26" t="e">
        <f t="shared" si="355"/>
        <v>#VALUE!</v>
      </c>
      <c r="V1551" s="26" t="e">
        <f t="shared" si="356"/>
        <v>#VALUE!</v>
      </c>
      <c r="W1551" s="1" t="e">
        <f t="shared" si="357"/>
        <v>#VALUE!</v>
      </c>
      <c r="X1551" s="26" t="e">
        <f t="shared" si="358"/>
        <v>#VALUE!</v>
      </c>
      <c r="Y1551" s="26" t="e">
        <f t="shared" si="359"/>
        <v>#VALUE!</v>
      </c>
      <c r="Z1551" s="1" t="e">
        <f t="shared" si="360"/>
        <v>#VALUE!</v>
      </c>
      <c r="AA1551"/>
      <c r="AB1551"/>
    </row>
    <row r="1552" spans="1:28" x14ac:dyDescent="0.55000000000000004">
      <c r="A1552" s="1">
        <f t="shared" si="347"/>
        <v>1552</v>
      </c>
      <c r="B1552" t="s">
        <v>31</v>
      </c>
      <c r="C1552" t="s">
        <v>153</v>
      </c>
      <c r="D1552" t="s">
        <v>133</v>
      </c>
      <c r="E1552" t="s">
        <v>154</v>
      </c>
      <c r="G1552" t="s">
        <v>151</v>
      </c>
      <c r="I1552" t="s">
        <v>138</v>
      </c>
      <c r="K1552" t="s">
        <v>156</v>
      </c>
      <c r="M1552" t="s">
        <v>47</v>
      </c>
      <c r="N1552" s="1" t="e">
        <f t="shared" si="348"/>
        <v>#VALUE!</v>
      </c>
      <c r="O1552" s="1" t="e">
        <f t="shared" si="349"/>
        <v>#VALUE!</v>
      </c>
      <c r="P1552" s="1" t="e">
        <f t="shared" si="350"/>
        <v>#VALUE!</v>
      </c>
      <c r="Q1552" s="1" t="e">
        <f t="shared" si="351"/>
        <v>#VALUE!</v>
      </c>
      <c r="R1552" s="1" t="e">
        <f t="shared" si="352"/>
        <v>#VALUE!</v>
      </c>
      <c r="S1552" s="1" t="e">
        <f t="shared" si="353"/>
        <v>#VALUE!</v>
      </c>
      <c r="T1552" s="1" t="e">
        <f t="shared" si="354"/>
        <v>#VALUE!</v>
      </c>
      <c r="U1552" s="26" t="e">
        <f t="shared" si="355"/>
        <v>#VALUE!</v>
      </c>
      <c r="V1552" s="26" t="e">
        <f t="shared" si="356"/>
        <v>#VALUE!</v>
      </c>
      <c r="W1552" s="1" t="e">
        <f t="shared" si="357"/>
        <v>#VALUE!</v>
      </c>
      <c r="X1552" s="26" t="e">
        <f t="shared" si="358"/>
        <v>#VALUE!</v>
      </c>
      <c r="Y1552" s="26" t="e">
        <f t="shared" si="359"/>
        <v>#VALUE!</v>
      </c>
      <c r="Z1552" s="1" t="e">
        <f t="shared" si="360"/>
        <v>#VALUE!</v>
      </c>
      <c r="AA1552"/>
      <c r="AB1552"/>
    </row>
    <row r="1553" spans="1:28" x14ac:dyDescent="0.55000000000000004">
      <c r="A1553" s="1">
        <f t="shared" si="347"/>
        <v>1553</v>
      </c>
      <c r="B1553" t="s">
        <v>31</v>
      </c>
      <c r="C1553" t="s">
        <v>153</v>
      </c>
      <c r="D1553" t="s">
        <v>133</v>
      </c>
      <c r="E1553" t="s">
        <v>154</v>
      </c>
      <c r="G1553" t="s">
        <v>139</v>
      </c>
      <c r="I1553" t="s">
        <v>150</v>
      </c>
      <c r="K1553" t="s">
        <v>143</v>
      </c>
      <c r="M1553" t="s">
        <v>47</v>
      </c>
      <c r="N1553" s="1" t="e">
        <f t="shared" si="348"/>
        <v>#VALUE!</v>
      </c>
      <c r="O1553" s="1" t="e">
        <f t="shared" si="349"/>
        <v>#VALUE!</v>
      </c>
      <c r="P1553" s="1" t="e">
        <f t="shared" si="350"/>
        <v>#VALUE!</v>
      </c>
      <c r="Q1553" s="1" t="e">
        <f t="shared" si="351"/>
        <v>#VALUE!</v>
      </c>
      <c r="R1553" s="1" t="e">
        <f t="shared" si="352"/>
        <v>#VALUE!</v>
      </c>
      <c r="S1553" s="1" t="e">
        <f t="shared" si="353"/>
        <v>#VALUE!</v>
      </c>
      <c r="T1553" s="1" t="e">
        <f t="shared" si="354"/>
        <v>#VALUE!</v>
      </c>
      <c r="U1553" s="26" t="e">
        <f t="shared" si="355"/>
        <v>#VALUE!</v>
      </c>
      <c r="V1553" s="26" t="e">
        <f t="shared" si="356"/>
        <v>#VALUE!</v>
      </c>
      <c r="W1553" s="1" t="e">
        <f t="shared" si="357"/>
        <v>#VALUE!</v>
      </c>
      <c r="X1553" s="26" t="e">
        <f t="shared" si="358"/>
        <v>#VALUE!</v>
      </c>
      <c r="Y1553" s="26" t="e">
        <f t="shared" si="359"/>
        <v>#VALUE!</v>
      </c>
      <c r="Z1553" s="1" t="e">
        <f t="shared" si="360"/>
        <v>#VALUE!</v>
      </c>
      <c r="AA1553"/>
      <c r="AB1553"/>
    </row>
    <row r="1554" spans="1:28" x14ac:dyDescent="0.55000000000000004">
      <c r="A1554" s="1">
        <f t="shared" si="347"/>
        <v>1554</v>
      </c>
      <c r="B1554" t="s">
        <v>31</v>
      </c>
      <c r="C1554" t="s">
        <v>153</v>
      </c>
      <c r="D1554" t="s">
        <v>133</v>
      </c>
      <c r="E1554" t="s">
        <v>154</v>
      </c>
      <c r="G1554" t="s">
        <v>148</v>
      </c>
      <c r="I1554" t="s">
        <v>135</v>
      </c>
      <c r="K1554" t="s">
        <v>157</v>
      </c>
      <c r="M1554" t="s">
        <v>47</v>
      </c>
      <c r="N1554" s="1" t="e">
        <f t="shared" si="348"/>
        <v>#VALUE!</v>
      </c>
      <c r="O1554" s="1" t="e">
        <f t="shared" si="349"/>
        <v>#VALUE!</v>
      </c>
      <c r="P1554" s="1" t="e">
        <f t="shared" si="350"/>
        <v>#VALUE!</v>
      </c>
      <c r="Q1554" s="1" t="e">
        <f t="shared" si="351"/>
        <v>#VALUE!</v>
      </c>
      <c r="R1554" s="1" t="e">
        <f t="shared" si="352"/>
        <v>#VALUE!</v>
      </c>
      <c r="S1554" s="1" t="e">
        <f t="shared" si="353"/>
        <v>#VALUE!</v>
      </c>
      <c r="T1554" s="1" t="e">
        <f t="shared" si="354"/>
        <v>#VALUE!</v>
      </c>
      <c r="U1554" s="26" t="e">
        <f t="shared" si="355"/>
        <v>#VALUE!</v>
      </c>
      <c r="V1554" s="26" t="e">
        <f t="shared" si="356"/>
        <v>#VALUE!</v>
      </c>
      <c r="W1554" s="1" t="e">
        <f t="shared" si="357"/>
        <v>#VALUE!</v>
      </c>
      <c r="X1554" s="26" t="e">
        <f t="shared" si="358"/>
        <v>#VALUE!</v>
      </c>
      <c r="Y1554" s="26" t="e">
        <f t="shared" si="359"/>
        <v>#VALUE!</v>
      </c>
      <c r="Z1554" s="1" t="e">
        <f t="shared" si="360"/>
        <v>#VALUE!</v>
      </c>
      <c r="AA1554"/>
      <c r="AB1554"/>
    </row>
    <row r="1555" spans="1:28" x14ac:dyDescent="0.55000000000000004">
      <c r="A1555" s="1">
        <f t="shared" si="347"/>
        <v>1555</v>
      </c>
      <c r="B1555" t="s">
        <v>31</v>
      </c>
      <c r="C1555" t="s">
        <v>153</v>
      </c>
      <c r="D1555" t="s">
        <v>133</v>
      </c>
      <c r="E1555" t="s">
        <v>154</v>
      </c>
      <c r="G1555" t="s">
        <v>144</v>
      </c>
      <c r="I1555" t="s">
        <v>147</v>
      </c>
      <c r="K1555" t="s">
        <v>146</v>
      </c>
      <c r="M1555" t="s">
        <v>47</v>
      </c>
      <c r="N1555" s="1" t="e">
        <f t="shared" si="348"/>
        <v>#VALUE!</v>
      </c>
      <c r="O1555" s="1" t="e">
        <f t="shared" si="349"/>
        <v>#VALUE!</v>
      </c>
      <c r="P1555" s="1" t="e">
        <f t="shared" si="350"/>
        <v>#VALUE!</v>
      </c>
      <c r="Q1555" s="1" t="e">
        <f t="shared" si="351"/>
        <v>#VALUE!</v>
      </c>
      <c r="R1555" s="1" t="e">
        <f t="shared" si="352"/>
        <v>#VALUE!</v>
      </c>
      <c r="S1555" s="1" t="e">
        <f t="shared" si="353"/>
        <v>#VALUE!</v>
      </c>
      <c r="T1555" s="1" t="e">
        <f t="shared" si="354"/>
        <v>#VALUE!</v>
      </c>
      <c r="U1555" s="26" t="e">
        <f t="shared" si="355"/>
        <v>#VALUE!</v>
      </c>
      <c r="V1555" s="26" t="e">
        <f t="shared" si="356"/>
        <v>#VALUE!</v>
      </c>
      <c r="W1555" s="1" t="e">
        <f t="shared" si="357"/>
        <v>#VALUE!</v>
      </c>
      <c r="X1555" s="26" t="e">
        <f t="shared" si="358"/>
        <v>#VALUE!</v>
      </c>
      <c r="Y1555" s="26" t="e">
        <f t="shared" si="359"/>
        <v>#VALUE!</v>
      </c>
      <c r="Z1555" s="1" t="e">
        <f t="shared" si="360"/>
        <v>#VALUE!</v>
      </c>
      <c r="AA1555"/>
      <c r="AB1555"/>
    </row>
    <row r="1556" spans="1:28" x14ac:dyDescent="0.55000000000000004">
      <c r="A1556" s="1">
        <f t="shared" si="347"/>
        <v>1556</v>
      </c>
      <c r="B1556" t="s">
        <v>31</v>
      </c>
      <c r="C1556" t="s">
        <v>153</v>
      </c>
      <c r="D1556" t="s">
        <v>133</v>
      </c>
      <c r="E1556" t="s">
        <v>154</v>
      </c>
      <c r="G1556" t="s">
        <v>136</v>
      </c>
      <c r="I1556" t="s">
        <v>142</v>
      </c>
      <c r="K1556" t="s">
        <v>158</v>
      </c>
      <c r="M1556" t="s">
        <v>47</v>
      </c>
      <c r="N1556" s="1" t="e">
        <f t="shared" si="348"/>
        <v>#VALUE!</v>
      </c>
      <c r="O1556" s="1" t="e">
        <f t="shared" si="349"/>
        <v>#VALUE!</v>
      </c>
      <c r="P1556" s="1" t="e">
        <f t="shared" si="350"/>
        <v>#VALUE!</v>
      </c>
      <c r="Q1556" s="1" t="e">
        <f t="shared" si="351"/>
        <v>#VALUE!</v>
      </c>
      <c r="R1556" s="1" t="e">
        <f t="shared" si="352"/>
        <v>#VALUE!</v>
      </c>
      <c r="S1556" s="1" t="e">
        <f t="shared" si="353"/>
        <v>#VALUE!</v>
      </c>
      <c r="T1556" s="1" t="e">
        <f t="shared" si="354"/>
        <v>#VALUE!</v>
      </c>
      <c r="U1556" s="26" t="e">
        <f t="shared" si="355"/>
        <v>#VALUE!</v>
      </c>
      <c r="V1556" s="26" t="e">
        <f t="shared" si="356"/>
        <v>#VALUE!</v>
      </c>
      <c r="W1556" s="1" t="e">
        <f t="shared" si="357"/>
        <v>#VALUE!</v>
      </c>
      <c r="X1556" s="26" t="e">
        <f t="shared" si="358"/>
        <v>#VALUE!</v>
      </c>
      <c r="Y1556" s="26" t="e">
        <f t="shared" si="359"/>
        <v>#VALUE!</v>
      </c>
      <c r="Z1556" s="1" t="e">
        <f t="shared" si="360"/>
        <v>#VALUE!</v>
      </c>
      <c r="AA1556"/>
      <c r="AB1556"/>
    </row>
    <row r="1557" spans="1:28" x14ac:dyDescent="0.55000000000000004">
      <c r="A1557" s="1">
        <f t="shared" si="347"/>
        <v>1557</v>
      </c>
      <c r="B1557" t="s">
        <v>30</v>
      </c>
      <c r="C1557" t="s">
        <v>130</v>
      </c>
      <c r="D1557" t="s">
        <v>133</v>
      </c>
      <c r="E1557" t="s">
        <v>154</v>
      </c>
      <c r="F1557" t="s">
        <v>346</v>
      </c>
      <c r="G1557" t="s">
        <v>51</v>
      </c>
      <c r="I1557" t="s">
        <v>64</v>
      </c>
      <c r="K1557" t="s">
        <v>53</v>
      </c>
      <c r="M1557" t="s">
        <v>47</v>
      </c>
      <c r="N1557" s="1" t="e">
        <f t="shared" si="348"/>
        <v>#VALUE!</v>
      </c>
      <c r="O1557" s="1" t="e">
        <f t="shared" si="349"/>
        <v>#VALUE!</v>
      </c>
      <c r="P1557" s="1" t="e">
        <f t="shared" si="350"/>
        <v>#VALUE!</v>
      </c>
      <c r="Q1557" s="1" t="e">
        <f t="shared" si="351"/>
        <v>#VALUE!</v>
      </c>
      <c r="R1557" s="1" t="e">
        <f t="shared" si="352"/>
        <v>#VALUE!</v>
      </c>
      <c r="S1557" s="1" t="e">
        <f t="shared" si="353"/>
        <v>#VALUE!</v>
      </c>
      <c r="T1557" s="1" t="e">
        <f t="shared" si="354"/>
        <v>#VALUE!</v>
      </c>
      <c r="U1557" s="26" t="e">
        <f t="shared" si="355"/>
        <v>#VALUE!</v>
      </c>
      <c r="V1557" s="26" t="e">
        <f t="shared" si="356"/>
        <v>#VALUE!</v>
      </c>
      <c r="W1557" s="1" t="e">
        <f t="shared" si="357"/>
        <v>#VALUE!</v>
      </c>
      <c r="X1557" s="26" t="e">
        <f t="shared" si="358"/>
        <v>#VALUE!</v>
      </c>
      <c r="Y1557" s="26" t="e">
        <f t="shared" si="359"/>
        <v>#VALUE!</v>
      </c>
      <c r="Z1557" s="1" t="e">
        <f t="shared" si="360"/>
        <v>#VALUE!</v>
      </c>
      <c r="AA1557"/>
      <c r="AB1557"/>
    </row>
    <row r="1558" spans="1:28" x14ac:dyDescent="0.55000000000000004">
      <c r="A1558" s="1">
        <f t="shared" si="347"/>
        <v>1558</v>
      </c>
      <c r="B1558" t="s">
        <v>30</v>
      </c>
      <c r="C1558" t="s">
        <v>130</v>
      </c>
      <c r="D1558" t="s">
        <v>133</v>
      </c>
      <c r="E1558" t="s">
        <v>154</v>
      </c>
      <c r="F1558" t="s">
        <v>346</v>
      </c>
      <c r="G1558" t="s">
        <v>54</v>
      </c>
      <c r="I1558" t="s">
        <v>66</v>
      </c>
      <c r="K1558" t="s">
        <v>56</v>
      </c>
      <c r="M1558" t="s">
        <v>47</v>
      </c>
      <c r="N1558" s="1" t="e">
        <f t="shared" si="348"/>
        <v>#VALUE!</v>
      </c>
      <c r="O1558" s="1" t="e">
        <f t="shared" si="349"/>
        <v>#VALUE!</v>
      </c>
      <c r="P1558" s="1" t="e">
        <f t="shared" si="350"/>
        <v>#VALUE!</v>
      </c>
      <c r="Q1558" s="1" t="e">
        <f t="shared" si="351"/>
        <v>#VALUE!</v>
      </c>
      <c r="R1558" s="1" t="e">
        <f t="shared" si="352"/>
        <v>#VALUE!</v>
      </c>
      <c r="S1558" s="1" t="e">
        <f t="shared" si="353"/>
        <v>#VALUE!</v>
      </c>
      <c r="T1558" s="1" t="e">
        <f t="shared" si="354"/>
        <v>#VALUE!</v>
      </c>
      <c r="U1558" s="26" t="e">
        <f t="shared" si="355"/>
        <v>#VALUE!</v>
      </c>
      <c r="V1558" s="26" t="e">
        <f t="shared" si="356"/>
        <v>#VALUE!</v>
      </c>
      <c r="W1558" s="1" t="e">
        <f t="shared" si="357"/>
        <v>#VALUE!</v>
      </c>
      <c r="X1558" s="26" t="e">
        <f t="shared" si="358"/>
        <v>#VALUE!</v>
      </c>
      <c r="Y1558" s="26" t="e">
        <f t="shared" si="359"/>
        <v>#VALUE!</v>
      </c>
      <c r="Z1558" s="1" t="e">
        <f t="shared" si="360"/>
        <v>#VALUE!</v>
      </c>
      <c r="AA1558"/>
      <c r="AB1558"/>
    </row>
    <row r="1559" spans="1:28" x14ac:dyDescent="0.55000000000000004">
      <c r="A1559" s="1">
        <f t="shared" si="347"/>
        <v>1559</v>
      </c>
      <c r="B1559" t="s">
        <v>30</v>
      </c>
      <c r="C1559" t="s">
        <v>130</v>
      </c>
      <c r="D1559" t="s">
        <v>133</v>
      </c>
      <c r="E1559" t="s">
        <v>154</v>
      </c>
      <c r="F1559" t="s">
        <v>356</v>
      </c>
      <c r="G1559" t="s">
        <v>60</v>
      </c>
      <c r="I1559" t="s">
        <v>48</v>
      </c>
      <c r="K1559" t="s">
        <v>62</v>
      </c>
      <c r="M1559" t="s">
        <v>47</v>
      </c>
      <c r="N1559" s="1" t="e">
        <f t="shared" si="348"/>
        <v>#VALUE!</v>
      </c>
      <c r="O1559" s="1" t="e">
        <f t="shared" si="349"/>
        <v>#VALUE!</v>
      </c>
      <c r="P1559" s="1" t="e">
        <f t="shared" si="350"/>
        <v>#VALUE!</v>
      </c>
      <c r="Q1559" s="1" t="e">
        <f t="shared" si="351"/>
        <v>#VALUE!</v>
      </c>
      <c r="R1559" s="1" t="e">
        <f t="shared" si="352"/>
        <v>#VALUE!</v>
      </c>
      <c r="S1559" s="1" t="e">
        <f t="shared" si="353"/>
        <v>#VALUE!</v>
      </c>
      <c r="T1559" s="1" t="e">
        <f t="shared" si="354"/>
        <v>#VALUE!</v>
      </c>
      <c r="U1559" s="26" t="e">
        <f t="shared" si="355"/>
        <v>#VALUE!</v>
      </c>
      <c r="V1559" s="26" t="e">
        <f t="shared" si="356"/>
        <v>#VALUE!</v>
      </c>
      <c r="W1559" s="1" t="e">
        <f t="shared" si="357"/>
        <v>#VALUE!</v>
      </c>
      <c r="X1559" s="26" t="e">
        <f t="shared" si="358"/>
        <v>#VALUE!</v>
      </c>
      <c r="Y1559" s="26" t="e">
        <f t="shared" si="359"/>
        <v>#VALUE!</v>
      </c>
      <c r="Z1559" s="1" t="e">
        <f t="shared" si="360"/>
        <v>#VALUE!</v>
      </c>
      <c r="AA1559"/>
      <c r="AB1559"/>
    </row>
    <row r="1560" spans="1:28" x14ac:dyDescent="0.55000000000000004">
      <c r="A1560" s="1">
        <f t="shared" si="347"/>
        <v>1560</v>
      </c>
      <c r="B1560" t="s">
        <v>35</v>
      </c>
      <c r="C1560" t="s">
        <v>130</v>
      </c>
      <c r="D1560" t="s">
        <v>133</v>
      </c>
      <c r="E1560" t="s">
        <v>154</v>
      </c>
      <c r="F1560" t="s">
        <v>376</v>
      </c>
      <c r="G1560" t="s">
        <v>377</v>
      </c>
      <c r="I1560" t="s">
        <v>210</v>
      </c>
      <c r="K1560" t="s">
        <v>378</v>
      </c>
      <c r="M1560" t="s">
        <v>47</v>
      </c>
      <c r="N1560" s="1" t="e">
        <f t="shared" si="348"/>
        <v>#VALUE!</v>
      </c>
      <c r="O1560" s="1" t="e">
        <f t="shared" si="349"/>
        <v>#VALUE!</v>
      </c>
      <c r="P1560" s="1" t="e">
        <f t="shared" si="350"/>
        <v>#VALUE!</v>
      </c>
      <c r="Q1560" s="1" t="e">
        <f t="shared" si="351"/>
        <v>#VALUE!</v>
      </c>
      <c r="R1560" s="1" t="e">
        <f t="shared" si="352"/>
        <v>#VALUE!</v>
      </c>
      <c r="S1560" s="1" t="e">
        <f t="shared" si="353"/>
        <v>#VALUE!</v>
      </c>
      <c r="T1560" s="1" t="e">
        <f t="shared" si="354"/>
        <v>#VALUE!</v>
      </c>
      <c r="U1560" s="26" t="e">
        <f t="shared" si="355"/>
        <v>#VALUE!</v>
      </c>
      <c r="V1560" s="26" t="e">
        <f t="shared" si="356"/>
        <v>#VALUE!</v>
      </c>
      <c r="W1560" s="1" t="e">
        <f t="shared" si="357"/>
        <v>#VALUE!</v>
      </c>
      <c r="X1560" s="26" t="e">
        <f t="shared" si="358"/>
        <v>#VALUE!</v>
      </c>
      <c r="Y1560" s="26" t="e">
        <f t="shared" si="359"/>
        <v>#VALUE!</v>
      </c>
      <c r="Z1560" s="1" t="e">
        <f t="shared" si="360"/>
        <v>#VALUE!</v>
      </c>
      <c r="AA1560"/>
      <c r="AB1560"/>
    </row>
    <row r="1561" spans="1:28" x14ac:dyDescent="0.55000000000000004">
      <c r="A1561" s="1">
        <f t="shared" si="347"/>
        <v>1561</v>
      </c>
      <c r="B1561" t="s">
        <v>35</v>
      </c>
      <c r="C1561" t="s">
        <v>130</v>
      </c>
      <c r="D1561" t="s">
        <v>133</v>
      </c>
      <c r="E1561" t="s">
        <v>154</v>
      </c>
      <c r="F1561" t="s">
        <v>375</v>
      </c>
      <c r="G1561" t="s">
        <v>383</v>
      </c>
      <c r="I1561" t="s">
        <v>306</v>
      </c>
      <c r="K1561" t="s">
        <v>387</v>
      </c>
      <c r="M1561" t="s">
        <v>47</v>
      </c>
      <c r="N1561" s="1" t="e">
        <f t="shared" si="348"/>
        <v>#VALUE!</v>
      </c>
      <c r="O1561" s="1" t="e">
        <f t="shared" si="349"/>
        <v>#VALUE!</v>
      </c>
      <c r="P1561" s="1" t="e">
        <f t="shared" si="350"/>
        <v>#VALUE!</v>
      </c>
      <c r="Q1561" s="1" t="e">
        <f t="shared" si="351"/>
        <v>#VALUE!</v>
      </c>
      <c r="R1561" s="1" t="e">
        <f t="shared" si="352"/>
        <v>#VALUE!</v>
      </c>
      <c r="S1561" s="1" t="e">
        <f t="shared" si="353"/>
        <v>#VALUE!</v>
      </c>
      <c r="T1561" s="1" t="e">
        <f t="shared" si="354"/>
        <v>#VALUE!</v>
      </c>
      <c r="U1561" s="26" t="e">
        <f t="shared" si="355"/>
        <v>#VALUE!</v>
      </c>
      <c r="V1561" s="26" t="e">
        <f t="shared" si="356"/>
        <v>#VALUE!</v>
      </c>
      <c r="W1561" s="1" t="e">
        <f t="shared" si="357"/>
        <v>#VALUE!</v>
      </c>
      <c r="X1561" s="26" t="e">
        <f t="shared" si="358"/>
        <v>#VALUE!</v>
      </c>
      <c r="Y1561" s="26" t="e">
        <f t="shared" si="359"/>
        <v>#VALUE!</v>
      </c>
      <c r="Z1561" s="1" t="e">
        <f t="shared" si="360"/>
        <v>#VALUE!</v>
      </c>
      <c r="AA1561"/>
      <c r="AB1561"/>
    </row>
    <row r="1562" spans="1:28" x14ac:dyDescent="0.55000000000000004">
      <c r="A1562" s="1">
        <f t="shared" si="347"/>
        <v>1562</v>
      </c>
      <c r="B1562" t="s">
        <v>37</v>
      </c>
      <c r="C1562" t="s">
        <v>333</v>
      </c>
      <c r="D1562" t="s">
        <v>133</v>
      </c>
      <c r="E1562" t="s">
        <v>154</v>
      </c>
      <c r="F1562" t="s">
        <v>315</v>
      </c>
      <c r="G1562" t="s">
        <v>316</v>
      </c>
      <c r="I1562" t="s">
        <v>312</v>
      </c>
      <c r="K1562" t="s">
        <v>341</v>
      </c>
      <c r="M1562" t="s">
        <v>47</v>
      </c>
      <c r="N1562" s="1" t="e">
        <f t="shared" si="348"/>
        <v>#VALUE!</v>
      </c>
      <c r="O1562" s="1" t="e">
        <f t="shared" si="349"/>
        <v>#VALUE!</v>
      </c>
      <c r="P1562" s="1" t="e">
        <f t="shared" si="350"/>
        <v>#VALUE!</v>
      </c>
      <c r="Q1562" s="1" t="e">
        <f t="shared" si="351"/>
        <v>#VALUE!</v>
      </c>
      <c r="R1562" s="1" t="e">
        <f t="shared" si="352"/>
        <v>#VALUE!</v>
      </c>
      <c r="S1562" s="1" t="e">
        <f t="shared" si="353"/>
        <v>#VALUE!</v>
      </c>
      <c r="T1562" s="1" t="e">
        <f t="shared" si="354"/>
        <v>#VALUE!</v>
      </c>
      <c r="U1562" s="26" t="e">
        <f t="shared" si="355"/>
        <v>#VALUE!</v>
      </c>
      <c r="V1562" s="26" t="e">
        <f t="shared" si="356"/>
        <v>#VALUE!</v>
      </c>
      <c r="W1562" s="1" t="e">
        <f t="shared" si="357"/>
        <v>#VALUE!</v>
      </c>
      <c r="X1562" s="26" t="e">
        <f t="shared" si="358"/>
        <v>#VALUE!</v>
      </c>
      <c r="Y1562" s="26" t="e">
        <f t="shared" si="359"/>
        <v>#VALUE!</v>
      </c>
      <c r="Z1562" s="1" t="e">
        <f t="shared" si="360"/>
        <v>#VALUE!</v>
      </c>
      <c r="AA1562"/>
      <c r="AB1562"/>
    </row>
    <row r="1563" spans="1:28" x14ac:dyDescent="0.55000000000000004">
      <c r="A1563" s="1">
        <f t="shared" si="347"/>
        <v>1563</v>
      </c>
      <c r="B1563" t="s">
        <v>39</v>
      </c>
      <c r="C1563" t="s">
        <v>82</v>
      </c>
      <c r="D1563" t="s">
        <v>133</v>
      </c>
      <c r="E1563" t="s">
        <v>154</v>
      </c>
      <c r="F1563" t="s">
        <v>343</v>
      </c>
      <c r="G1563" t="s">
        <v>234</v>
      </c>
      <c r="I1563" t="s">
        <v>232</v>
      </c>
      <c r="K1563" t="s">
        <v>236</v>
      </c>
      <c r="M1563" t="s">
        <v>47</v>
      </c>
      <c r="N1563" s="1" t="e">
        <f t="shared" si="348"/>
        <v>#VALUE!</v>
      </c>
      <c r="O1563" s="1" t="e">
        <f t="shared" si="349"/>
        <v>#VALUE!</v>
      </c>
      <c r="P1563" s="1" t="e">
        <f t="shared" si="350"/>
        <v>#VALUE!</v>
      </c>
      <c r="Q1563" s="1" t="e">
        <f t="shared" si="351"/>
        <v>#VALUE!</v>
      </c>
      <c r="R1563" s="1" t="e">
        <f t="shared" si="352"/>
        <v>#VALUE!</v>
      </c>
      <c r="S1563" s="1" t="e">
        <f t="shared" si="353"/>
        <v>#VALUE!</v>
      </c>
      <c r="T1563" s="1" t="e">
        <f t="shared" si="354"/>
        <v>#VALUE!</v>
      </c>
      <c r="U1563" s="26" t="e">
        <f t="shared" si="355"/>
        <v>#VALUE!</v>
      </c>
      <c r="V1563" s="26" t="e">
        <f t="shared" si="356"/>
        <v>#VALUE!</v>
      </c>
      <c r="W1563" s="1" t="e">
        <f t="shared" si="357"/>
        <v>#VALUE!</v>
      </c>
      <c r="X1563" s="26" t="e">
        <f t="shared" si="358"/>
        <v>#VALUE!</v>
      </c>
      <c r="Y1563" s="26" t="e">
        <f t="shared" si="359"/>
        <v>#VALUE!</v>
      </c>
      <c r="Z1563" s="1" t="e">
        <f t="shared" si="360"/>
        <v>#VALUE!</v>
      </c>
      <c r="AA1563"/>
      <c r="AB1563"/>
    </row>
    <row r="1564" spans="1:28" x14ac:dyDescent="0.55000000000000004">
      <c r="A1564" s="1">
        <f t="shared" si="347"/>
        <v>1564</v>
      </c>
      <c r="B1564" t="s">
        <v>39</v>
      </c>
      <c r="C1564" t="s">
        <v>82</v>
      </c>
      <c r="D1564" t="s">
        <v>133</v>
      </c>
      <c r="E1564" t="s">
        <v>154</v>
      </c>
      <c r="F1564" t="s">
        <v>390</v>
      </c>
      <c r="G1564" t="s">
        <v>235</v>
      </c>
      <c r="I1564" t="s">
        <v>222</v>
      </c>
      <c r="K1564" t="s">
        <v>242</v>
      </c>
      <c r="M1564" t="s">
        <v>47</v>
      </c>
      <c r="N1564" s="1" t="e">
        <f t="shared" si="348"/>
        <v>#VALUE!</v>
      </c>
      <c r="O1564" s="1" t="e">
        <f t="shared" si="349"/>
        <v>#VALUE!</v>
      </c>
      <c r="P1564" s="1" t="e">
        <f t="shared" si="350"/>
        <v>#VALUE!</v>
      </c>
      <c r="Q1564" s="1" t="e">
        <f t="shared" si="351"/>
        <v>#VALUE!</v>
      </c>
      <c r="R1564" s="1" t="e">
        <f t="shared" si="352"/>
        <v>#VALUE!</v>
      </c>
      <c r="S1564" s="1" t="e">
        <f t="shared" si="353"/>
        <v>#VALUE!</v>
      </c>
      <c r="T1564" s="1" t="e">
        <f t="shared" si="354"/>
        <v>#VALUE!</v>
      </c>
      <c r="U1564" s="26" t="e">
        <f t="shared" si="355"/>
        <v>#VALUE!</v>
      </c>
      <c r="V1564" s="26" t="e">
        <f t="shared" si="356"/>
        <v>#VALUE!</v>
      </c>
      <c r="W1564" s="1" t="e">
        <f t="shared" si="357"/>
        <v>#VALUE!</v>
      </c>
      <c r="X1564" s="26" t="e">
        <f t="shared" si="358"/>
        <v>#VALUE!</v>
      </c>
      <c r="Y1564" s="26" t="e">
        <f t="shared" si="359"/>
        <v>#VALUE!</v>
      </c>
      <c r="Z1564" s="1" t="e">
        <f t="shared" si="360"/>
        <v>#VALUE!</v>
      </c>
      <c r="AA1564"/>
      <c r="AB1564"/>
    </row>
    <row r="1565" spans="1:28" x14ac:dyDescent="0.55000000000000004">
      <c r="A1565" s="1">
        <f t="shared" si="347"/>
        <v>1565</v>
      </c>
      <c r="B1565" t="s">
        <v>34</v>
      </c>
      <c r="C1565" t="s">
        <v>104</v>
      </c>
      <c r="D1565" t="s">
        <v>42</v>
      </c>
      <c r="E1565" t="s">
        <v>105</v>
      </c>
      <c r="G1565" t="s">
        <v>102</v>
      </c>
      <c r="I1565" t="s">
        <v>89</v>
      </c>
      <c r="K1565" t="s">
        <v>106</v>
      </c>
      <c r="M1565" t="s">
        <v>47</v>
      </c>
      <c r="N1565" s="1" t="e">
        <f t="shared" si="348"/>
        <v>#VALUE!</v>
      </c>
      <c r="O1565" s="1" t="e">
        <f t="shared" si="349"/>
        <v>#VALUE!</v>
      </c>
      <c r="P1565" s="1" t="e">
        <f t="shared" si="350"/>
        <v>#VALUE!</v>
      </c>
      <c r="Q1565" s="1" t="e">
        <f t="shared" si="351"/>
        <v>#VALUE!</v>
      </c>
      <c r="R1565" s="1" t="e">
        <f t="shared" si="352"/>
        <v>#VALUE!</v>
      </c>
      <c r="S1565" s="1" t="e">
        <f t="shared" si="353"/>
        <v>#VALUE!</v>
      </c>
      <c r="T1565" s="1" t="e">
        <f t="shared" si="354"/>
        <v>#VALUE!</v>
      </c>
      <c r="U1565" s="26" t="e">
        <f t="shared" si="355"/>
        <v>#VALUE!</v>
      </c>
      <c r="V1565" s="26" t="e">
        <f t="shared" si="356"/>
        <v>#VALUE!</v>
      </c>
      <c r="W1565" s="1" t="e">
        <f t="shared" si="357"/>
        <v>#VALUE!</v>
      </c>
      <c r="X1565" s="26" t="e">
        <f t="shared" si="358"/>
        <v>#VALUE!</v>
      </c>
      <c r="Y1565" s="26" t="e">
        <f t="shared" si="359"/>
        <v>#VALUE!</v>
      </c>
      <c r="Z1565" s="1" t="e">
        <f t="shared" si="360"/>
        <v>#VALUE!</v>
      </c>
      <c r="AA1565"/>
      <c r="AB1565"/>
    </row>
    <row r="1566" spans="1:28" x14ac:dyDescent="0.55000000000000004">
      <c r="A1566" s="1">
        <f t="shared" si="347"/>
        <v>1566</v>
      </c>
      <c r="B1566" t="s">
        <v>34</v>
      </c>
      <c r="C1566" t="s">
        <v>104</v>
      </c>
      <c r="D1566" t="s">
        <v>42</v>
      </c>
      <c r="E1566" t="s">
        <v>105</v>
      </c>
      <c r="G1566" t="s">
        <v>99</v>
      </c>
      <c r="I1566" t="s">
        <v>92</v>
      </c>
      <c r="K1566" t="s">
        <v>107</v>
      </c>
      <c r="M1566" t="s">
        <v>47</v>
      </c>
      <c r="N1566" s="1" t="e">
        <f t="shared" si="348"/>
        <v>#VALUE!</v>
      </c>
      <c r="O1566" s="1" t="e">
        <f t="shared" si="349"/>
        <v>#VALUE!</v>
      </c>
      <c r="P1566" s="1" t="e">
        <f t="shared" si="350"/>
        <v>#VALUE!</v>
      </c>
      <c r="Q1566" s="1" t="e">
        <f t="shared" si="351"/>
        <v>#VALUE!</v>
      </c>
      <c r="R1566" s="1" t="e">
        <f t="shared" si="352"/>
        <v>#VALUE!</v>
      </c>
      <c r="S1566" s="1" t="e">
        <f t="shared" si="353"/>
        <v>#VALUE!</v>
      </c>
      <c r="T1566" s="1" t="e">
        <f t="shared" si="354"/>
        <v>#VALUE!</v>
      </c>
      <c r="U1566" s="26" t="e">
        <f t="shared" si="355"/>
        <v>#VALUE!</v>
      </c>
      <c r="V1566" s="26" t="e">
        <f t="shared" si="356"/>
        <v>#VALUE!</v>
      </c>
      <c r="W1566" s="1" t="e">
        <f t="shared" si="357"/>
        <v>#VALUE!</v>
      </c>
      <c r="X1566" s="26" t="e">
        <f t="shared" si="358"/>
        <v>#VALUE!</v>
      </c>
      <c r="Y1566" s="26" t="e">
        <f t="shared" si="359"/>
        <v>#VALUE!</v>
      </c>
      <c r="Z1566" s="1" t="e">
        <f t="shared" si="360"/>
        <v>#VALUE!</v>
      </c>
      <c r="AA1566"/>
      <c r="AB1566"/>
    </row>
    <row r="1567" spans="1:28" x14ac:dyDescent="0.55000000000000004">
      <c r="A1567" s="1">
        <f t="shared" si="347"/>
        <v>1567</v>
      </c>
      <c r="B1567" t="s">
        <v>34</v>
      </c>
      <c r="C1567" t="s">
        <v>104</v>
      </c>
      <c r="D1567" t="s">
        <v>42</v>
      </c>
      <c r="E1567" t="s">
        <v>105</v>
      </c>
      <c r="G1567" t="s">
        <v>90</v>
      </c>
      <c r="I1567" t="s">
        <v>86</v>
      </c>
      <c r="K1567" t="s">
        <v>108</v>
      </c>
      <c r="M1567" t="s">
        <v>47</v>
      </c>
      <c r="N1567" s="1" t="e">
        <f t="shared" si="348"/>
        <v>#VALUE!</v>
      </c>
      <c r="O1567" s="1" t="e">
        <f t="shared" si="349"/>
        <v>#VALUE!</v>
      </c>
      <c r="P1567" s="1" t="e">
        <f t="shared" si="350"/>
        <v>#VALUE!</v>
      </c>
      <c r="Q1567" s="1" t="e">
        <f t="shared" si="351"/>
        <v>#VALUE!</v>
      </c>
      <c r="R1567" s="1" t="e">
        <f t="shared" si="352"/>
        <v>#VALUE!</v>
      </c>
      <c r="S1567" s="1" t="e">
        <f t="shared" si="353"/>
        <v>#VALUE!</v>
      </c>
      <c r="T1567" s="1" t="e">
        <f t="shared" si="354"/>
        <v>#VALUE!</v>
      </c>
      <c r="U1567" s="26" t="e">
        <f t="shared" si="355"/>
        <v>#VALUE!</v>
      </c>
      <c r="V1567" s="26" t="e">
        <f t="shared" si="356"/>
        <v>#VALUE!</v>
      </c>
      <c r="W1567" s="1" t="e">
        <f t="shared" si="357"/>
        <v>#VALUE!</v>
      </c>
      <c r="X1567" s="26" t="e">
        <f t="shared" si="358"/>
        <v>#VALUE!</v>
      </c>
      <c r="Y1567" s="26" t="e">
        <f t="shared" si="359"/>
        <v>#VALUE!</v>
      </c>
      <c r="Z1567" s="1" t="e">
        <f t="shared" si="360"/>
        <v>#VALUE!</v>
      </c>
      <c r="AA1567"/>
      <c r="AB1567"/>
    </row>
    <row r="1568" spans="1:28" x14ac:dyDescent="0.55000000000000004">
      <c r="A1568" s="1">
        <f t="shared" si="347"/>
        <v>1568</v>
      </c>
      <c r="B1568" t="s">
        <v>34</v>
      </c>
      <c r="C1568" t="s">
        <v>104</v>
      </c>
      <c r="D1568" t="s">
        <v>42</v>
      </c>
      <c r="E1568" t="s">
        <v>105</v>
      </c>
      <c r="G1568" t="s">
        <v>95</v>
      </c>
      <c r="I1568" t="s">
        <v>98</v>
      </c>
      <c r="K1568" t="s">
        <v>97</v>
      </c>
      <c r="M1568" t="s">
        <v>47</v>
      </c>
      <c r="N1568" s="1" t="e">
        <f t="shared" si="348"/>
        <v>#VALUE!</v>
      </c>
      <c r="O1568" s="1" t="e">
        <f t="shared" si="349"/>
        <v>#VALUE!</v>
      </c>
      <c r="P1568" s="1" t="e">
        <f t="shared" si="350"/>
        <v>#VALUE!</v>
      </c>
      <c r="Q1568" s="1" t="e">
        <f t="shared" si="351"/>
        <v>#VALUE!</v>
      </c>
      <c r="R1568" s="1" t="e">
        <f t="shared" si="352"/>
        <v>#VALUE!</v>
      </c>
      <c r="S1568" s="1" t="e">
        <f t="shared" si="353"/>
        <v>#VALUE!</v>
      </c>
      <c r="T1568" s="1" t="e">
        <f t="shared" si="354"/>
        <v>#VALUE!</v>
      </c>
      <c r="U1568" s="26" t="e">
        <f t="shared" si="355"/>
        <v>#VALUE!</v>
      </c>
      <c r="V1568" s="26" t="e">
        <f t="shared" si="356"/>
        <v>#VALUE!</v>
      </c>
      <c r="W1568" s="1" t="e">
        <f t="shared" si="357"/>
        <v>#VALUE!</v>
      </c>
      <c r="X1568" s="26" t="e">
        <f t="shared" si="358"/>
        <v>#VALUE!</v>
      </c>
      <c r="Y1568" s="26" t="e">
        <f t="shared" si="359"/>
        <v>#VALUE!</v>
      </c>
      <c r="Z1568" s="1" t="e">
        <f t="shared" si="360"/>
        <v>#VALUE!</v>
      </c>
      <c r="AA1568"/>
      <c r="AB1568"/>
    </row>
    <row r="1569" spans="1:28" x14ac:dyDescent="0.55000000000000004">
      <c r="A1569" s="1">
        <f t="shared" si="347"/>
        <v>1569</v>
      </c>
      <c r="B1569" t="s">
        <v>34</v>
      </c>
      <c r="C1569" t="s">
        <v>104</v>
      </c>
      <c r="D1569" t="s">
        <v>42</v>
      </c>
      <c r="E1569" t="s">
        <v>105</v>
      </c>
      <c r="G1569" t="s">
        <v>87</v>
      </c>
      <c r="I1569" t="s">
        <v>93</v>
      </c>
      <c r="K1569" t="s">
        <v>109</v>
      </c>
      <c r="M1569" t="s">
        <v>47</v>
      </c>
      <c r="N1569" s="1" t="e">
        <f t="shared" si="348"/>
        <v>#VALUE!</v>
      </c>
      <c r="O1569" s="1" t="e">
        <f t="shared" si="349"/>
        <v>#VALUE!</v>
      </c>
      <c r="P1569" s="1" t="e">
        <f t="shared" si="350"/>
        <v>#VALUE!</v>
      </c>
      <c r="Q1569" s="1" t="e">
        <f t="shared" si="351"/>
        <v>#VALUE!</v>
      </c>
      <c r="R1569" s="1" t="e">
        <f t="shared" si="352"/>
        <v>#VALUE!</v>
      </c>
      <c r="S1569" s="1" t="e">
        <f t="shared" si="353"/>
        <v>#VALUE!</v>
      </c>
      <c r="T1569" s="1" t="e">
        <f t="shared" si="354"/>
        <v>#VALUE!</v>
      </c>
      <c r="U1569" s="26" t="e">
        <f t="shared" si="355"/>
        <v>#VALUE!</v>
      </c>
      <c r="V1569" s="26" t="e">
        <f t="shared" si="356"/>
        <v>#VALUE!</v>
      </c>
      <c r="W1569" s="1" t="e">
        <f t="shared" si="357"/>
        <v>#VALUE!</v>
      </c>
      <c r="X1569" s="26" t="e">
        <f t="shared" si="358"/>
        <v>#VALUE!</v>
      </c>
      <c r="Y1569" s="26" t="e">
        <f t="shared" si="359"/>
        <v>#VALUE!</v>
      </c>
      <c r="Z1569" s="1" t="e">
        <f t="shared" si="360"/>
        <v>#VALUE!</v>
      </c>
      <c r="AA1569"/>
      <c r="AB1569"/>
    </row>
    <row r="1570" spans="1:28" x14ac:dyDescent="0.55000000000000004">
      <c r="A1570" s="1">
        <f t="shared" si="347"/>
        <v>1570</v>
      </c>
      <c r="B1570" t="s">
        <v>34</v>
      </c>
      <c r="C1570" t="s">
        <v>104</v>
      </c>
      <c r="D1570" t="s">
        <v>42</v>
      </c>
      <c r="E1570" t="s">
        <v>105</v>
      </c>
      <c r="G1570" t="s">
        <v>96</v>
      </c>
      <c r="I1570" t="s">
        <v>101</v>
      </c>
      <c r="K1570" t="s">
        <v>110</v>
      </c>
      <c r="M1570" t="s">
        <v>47</v>
      </c>
      <c r="N1570" s="1" t="e">
        <f t="shared" si="348"/>
        <v>#VALUE!</v>
      </c>
      <c r="O1570" s="1" t="e">
        <f t="shared" si="349"/>
        <v>#VALUE!</v>
      </c>
      <c r="P1570" s="1" t="e">
        <f t="shared" si="350"/>
        <v>#VALUE!</v>
      </c>
      <c r="Q1570" s="1" t="e">
        <f t="shared" si="351"/>
        <v>#VALUE!</v>
      </c>
      <c r="R1570" s="1" t="e">
        <f t="shared" si="352"/>
        <v>#VALUE!</v>
      </c>
      <c r="S1570" s="1" t="e">
        <f t="shared" si="353"/>
        <v>#VALUE!</v>
      </c>
      <c r="T1570" s="1" t="e">
        <f t="shared" si="354"/>
        <v>#VALUE!</v>
      </c>
      <c r="U1570" s="26" t="e">
        <f t="shared" si="355"/>
        <v>#VALUE!</v>
      </c>
      <c r="V1570" s="26" t="e">
        <f t="shared" si="356"/>
        <v>#VALUE!</v>
      </c>
      <c r="W1570" s="1" t="e">
        <f t="shared" si="357"/>
        <v>#VALUE!</v>
      </c>
      <c r="X1570" s="26" t="e">
        <f t="shared" si="358"/>
        <v>#VALUE!</v>
      </c>
      <c r="Y1570" s="26" t="e">
        <f t="shared" si="359"/>
        <v>#VALUE!</v>
      </c>
      <c r="Z1570" s="1" t="e">
        <f t="shared" si="360"/>
        <v>#VALUE!</v>
      </c>
      <c r="AA1570"/>
      <c r="AB1570"/>
    </row>
    <row r="1571" spans="1:28" x14ac:dyDescent="0.55000000000000004">
      <c r="A1571" s="1">
        <f t="shared" si="347"/>
        <v>1571</v>
      </c>
      <c r="B1571" t="s">
        <v>30</v>
      </c>
      <c r="C1571" t="s">
        <v>130</v>
      </c>
      <c r="D1571" t="s">
        <v>42</v>
      </c>
      <c r="E1571" t="s">
        <v>105</v>
      </c>
      <c r="F1571" t="s">
        <v>380</v>
      </c>
      <c r="G1571" t="s">
        <v>52</v>
      </c>
      <c r="I1571" t="s">
        <v>49</v>
      </c>
      <c r="K1571" t="s">
        <v>71</v>
      </c>
      <c r="M1571" t="s">
        <v>47</v>
      </c>
      <c r="N1571" s="1" t="e">
        <f t="shared" si="348"/>
        <v>#VALUE!</v>
      </c>
      <c r="O1571" s="1" t="e">
        <f t="shared" si="349"/>
        <v>#VALUE!</v>
      </c>
      <c r="P1571" s="1" t="e">
        <f t="shared" si="350"/>
        <v>#VALUE!</v>
      </c>
      <c r="Q1571" s="1" t="e">
        <f t="shared" si="351"/>
        <v>#VALUE!</v>
      </c>
      <c r="R1571" s="1" t="e">
        <f t="shared" si="352"/>
        <v>#VALUE!</v>
      </c>
      <c r="S1571" s="1" t="e">
        <f t="shared" si="353"/>
        <v>#VALUE!</v>
      </c>
      <c r="T1571" s="1" t="e">
        <f t="shared" si="354"/>
        <v>#VALUE!</v>
      </c>
      <c r="U1571" s="26" t="e">
        <f t="shared" si="355"/>
        <v>#VALUE!</v>
      </c>
      <c r="V1571" s="26" t="e">
        <f t="shared" si="356"/>
        <v>#VALUE!</v>
      </c>
      <c r="W1571" s="1" t="e">
        <f t="shared" si="357"/>
        <v>#VALUE!</v>
      </c>
      <c r="X1571" s="26" t="e">
        <f t="shared" si="358"/>
        <v>#VALUE!</v>
      </c>
      <c r="Y1571" s="26" t="e">
        <f t="shared" si="359"/>
        <v>#VALUE!</v>
      </c>
      <c r="Z1571" s="1" t="e">
        <f t="shared" si="360"/>
        <v>#VALUE!</v>
      </c>
      <c r="AA1571"/>
      <c r="AB1571"/>
    </row>
    <row r="1572" spans="1:28" x14ac:dyDescent="0.55000000000000004">
      <c r="A1572" s="1">
        <f t="shared" si="347"/>
        <v>1572</v>
      </c>
      <c r="B1572" t="s">
        <v>30</v>
      </c>
      <c r="C1572" t="s">
        <v>130</v>
      </c>
      <c r="D1572" t="s">
        <v>42</v>
      </c>
      <c r="E1572" t="s">
        <v>105</v>
      </c>
      <c r="F1572" t="s">
        <v>380</v>
      </c>
      <c r="G1572" t="s">
        <v>45</v>
      </c>
      <c r="I1572" t="s">
        <v>67</v>
      </c>
      <c r="K1572" t="s">
        <v>74</v>
      </c>
      <c r="M1572" t="s">
        <v>47</v>
      </c>
      <c r="N1572" s="1" t="e">
        <f t="shared" si="348"/>
        <v>#VALUE!</v>
      </c>
      <c r="O1572" s="1" t="e">
        <f t="shared" si="349"/>
        <v>#VALUE!</v>
      </c>
      <c r="P1572" s="1" t="e">
        <f t="shared" si="350"/>
        <v>#VALUE!</v>
      </c>
      <c r="Q1572" s="1" t="e">
        <f t="shared" si="351"/>
        <v>#VALUE!</v>
      </c>
      <c r="R1572" s="1" t="e">
        <f t="shared" si="352"/>
        <v>#VALUE!</v>
      </c>
      <c r="S1572" s="1" t="e">
        <f t="shared" si="353"/>
        <v>#VALUE!</v>
      </c>
      <c r="T1572" s="1" t="e">
        <f t="shared" si="354"/>
        <v>#VALUE!</v>
      </c>
      <c r="U1572" s="26" t="e">
        <f t="shared" si="355"/>
        <v>#VALUE!</v>
      </c>
      <c r="V1572" s="26" t="e">
        <f t="shared" si="356"/>
        <v>#VALUE!</v>
      </c>
      <c r="W1572" s="1" t="e">
        <f t="shared" si="357"/>
        <v>#VALUE!</v>
      </c>
      <c r="X1572" s="26" t="e">
        <f t="shared" si="358"/>
        <v>#VALUE!</v>
      </c>
      <c r="Y1572" s="26" t="e">
        <f t="shared" si="359"/>
        <v>#VALUE!</v>
      </c>
      <c r="Z1572" s="1" t="e">
        <f t="shared" si="360"/>
        <v>#VALUE!</v>
      </c>
      <c r="AA1572"/>
      <c r="AB1572"/>
    </row>
    <row r="1573" spans="1:28" x14ac:dyDescent="0.55000000000000004">
      <c r="A1573" s="1">
        <f t="shared" si="347"/>
        <v>1573</v>
      </c>
      <c r="B1573" t="s">
        <v>30</v>
      </c>
      <c r="C1573" t="s">
        <v>130</v>
      </c>
      <c r="D1573" t="s">
        <v>42</v>
      </c>
      <c r="E1573" t="s">
        <v>105</v>
      </c>
      <c r="F1573" t="s">
        <v>380</v>
      </c>
      <c r="G1573" t="s">
        <v>57</v>
      </c>
      <c r="I1573" t="s">
        <v>63</v>
      </c>
      <c r="K1573" t="s">
        <v>59</v>
      </c>
      <c r="M1573" t="s">
        <v>47</v>
      </c>
      <c r="N1573" s="1" t="e">
        <f t="shared" si="348"/>
        <v>#VALUE!</v>
      </c>
      <c r="O1573" s="1" t="e">
        <f t="shared" si="349"/>
        <v>#VALUE!</v>
      </c>
      <c r="P1573" s="1" t="e">
        <f t="shared" si="350"/>
        <v>#VALUE!</v>
      </c>
      <c r="Q1573" s="1" t="e">
        <f t="shared" si="351"/>
        <v>#VALUE!</v>
      </c>
      <c r="R1573" s="1" t="e">
        <f t="shared" si="352"/>
        <v>#VALUE!</v>
      </c>
      <c r="S1573" s="1" t="e">
        <f t="shared" si="353"/>
        <v>#VALUE!</v>
      </c>
      <c r="T1573" s="1" t="e">
        <f t="shared" si="354"/>
        <v>#VALUE!</v>
      </c>
      <c r="U1573" s="26" t="e">
        <f t="shared" si="355"/>
        <v>#VALUE!</v>
      </c>
      <c r="V1573" s="26" t="e">
        <f t="shared" si="356"/>
        <v>#VALUE!</v>
      </c>
      <c r="W1573" s="1" t="e">
        <f t="shared" si="357"/>
        <v>#VALUE!</v>
      </c>
      <c r="X1573" s="26" t="e">
        <f t="shared" si="358"/>
        <v>#VALUE!</v>
      </c>
      <c r="Y1573" s="26" t="e">
        <f t="shared" si="359"/>
        <v>#VALUE!</v>
      </c>
      <c r="Z1573" s="1" t="e">
        <f t="shared" si="360"/>
        <v>#VALUE!</v>
      </c>
      <c r="AA1573"/>
      <c r="AB1573"/>
    </row>
    <row r="1574" spans="1:28" x14ac:dyDescent="0.55000000000000004">
      <c r="A1574" s="1">
        <f t="shared" si="347"/>
        <v>1574</v>
      </c>
      <c r="B1574" t="s">
        <v>30</v>
      </c>
      <c r="C1574" t="s">
        <v>130</v>
      </c>
      <c r="D1574" t="s">
        <v>42</v>
      </c>
      <c r="E1574" t="s">
        <v>105</v>
      </c>
      <c r="F1574" t="s">
        <v>398</v>
      </c>
      <c r="G1574" t="s">
        <v>55</v>
      </c>
      <c r="I1574" t="s">
        <v>61</v>
      </c>
      <c r="K1574" t="s">
        <v>75</v>
      </c>
      <c r="M1574" t="s">
        <v>47</v>
      </c>
      <c r="N1574" s="1" t="e">
        <f t="shared" si="348"/>
        <v>#VALUE!</v>
      </c>
      <c r="O1574" s="1" t="e">
        <f t="shared" si="349"/>
        <v>#VALUE!</v>
      </c>
      <c r="P1574" s="1" t="e">
        <f t="shared" si="350"/>
        <v>#VALUE!</v>
      </c>
      <c r="Q1574" s="1" t="e">
        <f t="shared" si="351"/>
        <v>#VALUE!</v>
      </c>
      <c r="R1574" s="1" t="e">
        <f t="shared" si="352"/>
        <v>#VALUE!</v>
      </c>
      <c r="S1574" s="1" t="e">
        <f t="shared" si="353"/>
        <v>#VALUE!</v>
      </c>
      <c r="T1574" s="1" t="e">
        <f t="shared" si="354"/>
        <v>#VALUE!</v>
      </c>
      <c r="U1574" s="26" t="e">
        <f t="shared" si="355"/>
        <v>#VALUE!</v>
      </c>
      <c r="V1574" s="26" t="e">
        <f t="shared" si="356"/>
        <v>#VALUE!</v>
      </c>
      <c r="W1574" s="1" t="e">
        <f t="shared" si="357"/>
        <v>#VALUE!</v>
      </c>
      <c r="X1574" s="26" t="e">
        <f t="shared" si="358"/>
        <v>#VALUE!</v>
      </c>
      <c r="Y1574" s="26" t="e">
        <f t="shared" si="359"/>
        <v>#VALUE!</v>
      </c>
      <c r="Z1574" s="1" t="e">
        <f t="shared" si="360"/>
        <v>#VALUE!</v>
      </c>
      <c r="AA1574"/>
      <c r="AB1574"/>
    </row>
    <row r="1575" spans="1:28" x14ac:dyDescent="0.55000000000000004">
      <c r="A1575" s="1">
        <f t="shared" si="347"/>
        <v>1575</v>
      </c>
      <c r="B1575" t="s">
        <v>30</v>
      </c>
      <c r="C1575" t="s">
        <v>130</v>
      </c>
      <c r="D1575" t="s">
        <v>42</v>
      </c>
      <c r="E1575" t="s">
        <v>105</v>
      </c>
      <c r="F1575" t="s">
        <v>398</v>
      </c>
      <c r="G1575" t="s">
        <v>44</v>
      </c>
      <c r="I1575" t="s">
        <v>58</v>
      </c>
      <c r="K1575" t="s">
        <v>46</v>
      </c>
      <c r="M1575" t="s">
        <v>47</v>
      </c>
      <c r="N1575" s="1" t="e">
        <f t="shared" si="348"/>
        <v>#VALUE!</v>
      </c>
      <c r="O1575" s="1" t="e">
        <f t="shared" si="349"/>
        <v>#VALUE!</v>
      </c>
      <c r="P1575" s="1" t="e">
        <f t="shared" si="350"/>
        <v>#VALUE!</v>
      </c>
      <c r="Q1575" s="1" t="e">
        <f t="shared" si="351"/>
        <v>#VALUE!</v>
      </c>
      <c r="R1575" s="1" t="e">
        <f t="shared" si="352"/>
        <v>#VALUE!</v>
      </c>
      <c r="S1575" s="1" t="e">
        <f t="shared" si="353"/>
        <v>#VALUE!</v>
      </c>
      <c r="T1575" s="1" t="e">
        <f t="shared" si="354"/>
        <v>#VALUE!</v>
      </c>
      <c r="U1575" s="26" t="e">
        <f t="shared" si="355"/>
        <v>#VALUE!</v>
      </c>
      <c r="V1575" s="26" t="e">
        <f t="shared" si="356"/>
        <v>#VALUE!</v>
      </c>
      <c r="W1575" s="1" t="e">
        <f t="shared" si="357"/>
        <v>#VALUE!</v>
      </c>
      <c r="X1575" s="26" t="e">
        <f t="shared" si="358"/>
        <v>#VALUE!</v>
      </c>
      <c r="Y1575" s="26" t="e">
        <f t="shared" si="359"/>
        <v>#VALUE!</v>
      </c>
      <c r="Z1575" s="1" t="e">
        <f t="shared" si="360"/>
        <v>#VALUE!</v>
      </c>
      <c r="AA1575"/>
      <c r="AB1575"/>
    </row>
    <row r="1576" spans="1:28" x14ac:dyDescent="0.55000000000000004">
      <c r="A1576" s="1">
        <f t="shared" si="347"/>
        <v>1576</v>
      </c>
      <c r="B1576" t="s">
        <v>35</v>
      </c>
      <c r="C1576" t="s">
        <v>130</v>
      </c>
      <c r="D1576" t="s">
        <v>42</v>
      </c>
      <c r="E1576" t="s">
        <v>105</v>
      </c>
      <c r="F1576" t="s">
        <v>411</v>
      </c>
      <c r="G1576" t="s">
        <v>214</v>
      </c>
      <c r="I1576" t="s">
        <v>211</v>
      </c>
      <c r="K1576" t="s">
        <v>301</v>
      </c>
      <c r="M1576" t="s">
        <v>47</v>
      </c>
      <c r="N1576" s="1" t="e">
        <f t="shared" si="348"/>
        <v>#VALUE!</v>
      </c>
      <c r="O1576" s="1" t="e">
        <f t="shared" si="349"/>
        <v>#VALUE!</v>
      </c>
      <c r="P1576" s="1" t="e">
        <f t="shared" si="350"/>
        <v>#VALUE!</v>
      </c>
      <c r="Q1576" s="1" t="e">
        <f t="shared" si="351"/>
        <v>#VALUE!</v>
      </c>
      <c r="R1576" s="1" t="e">
        <f t="shared" si="352"/>
        <v>#VALUE!</v>
      </c>
      <c r="S1576" s="1" t="e">
        <f t="shared" si="353"/>
        <v>#VALUE!</v>
      </c>
      <c r="T1576" s="1" t="e">
        <f t="shared" si="354"/>
        <v>#VALUE!</v>
      </c>
      <c r="U1576" s="26" t="e">
        <f t="shared" si="355"/>
        <v>#VALUE!</v>
      </c>
      <c r="V1576" s="26" t="e">
        <f t="shared" si="356"/>
        <v>#VALUE!</v>
      </c>
      <c r="W1576" s="1" t="e">
        <f t="shared" si="357"/>
        <v>#VALUE!</v>
      </c>
      <c r="X1576" s="26" t="e">
        <f t="shared" si="358"/>
        <v>#VALUE!</v>
      </c>
      <c r="Y1576" s="26" t="e">
        <f t="shared" si="359"/>
        <v>#VALUE!</v>
      </c>
      <c r="Z1576" s="1" t="e">
        <f t="shared" si="360"/>
        <v>#VALUE!</v>
      </c>
      <c r="AA1576"/>
      <c r="AB1576"/>
    </row>
    <row r="1577" spans="1:28" x14ac:dyDescent="0.55000000000000004">
      <c r="A1577" s="1">
        <f t="shared" si="347"/>
        <v>1577</v>
      </c>
      <c r="B1577" t="s">
        <v>35</v>
      </c>
      <c r="C1577" t="s">
        <v>130</v>
      </c>
      <c r="D1577" t="s">
        <v>42</v>
      </c>
      <c r="E1577" t="s">
        <v>105</v>
      </c>
      <c r="F1577" t="s">
        <v>412</v>
      </c>
      <c r="G1577" t="s">
        <v>384</v>
      </c>
      <c r="I1577" t="s">
        <v>204</v>
      </c>
      <c r="K1577" t="s">
        <v>385</v>
      </c>
      <c r="M1577" t="s">
        <v>47</v>
      </c>
      <c r="N1577" s="1" t="e">
        <f t="shared" si="348"/>
        <v>#VALUE!</v>
      </c>
      <c r="O1577" s="1" t="e">
        <f t="shared" si="349"/>
        <v>#VALUE!</v>
      </c>
      <c r="P1577" s="1" t="e">
        <f t="shared" si="350"/>
        <v>#VALUE!</v>
      </c>
      <c r="Q1577" s="1" t="e">
        <f t="shared" si="351"/>
        <v>#VALUE!</v>
      </c>
      <c r="R1577" s="1" t="e">
        <f t="shared" si="352"/>
        <v>#VALUE!</v>
      </c>
      <c r="S1577" s="1" t="e">
        <f t="shared" si="353"/>
        <v>#VALUE!</v>
      </c>
      <c r="T1577" s="1" t="e">
        <f t="shared" si="354"/>
        <v>#VALUE!</v>
      </c>
      <c r="U1577" s="26" t="e">
        <f t="shared" si="355"/>
        <v>#VALUE!</v>
      </c>
      <c r="V1577" s="26" t="e">
        <f t="shared" si="356"/>
        <v>#VALUE!</v>
      </c>
      <c r="W1577" s="1" t="e">
        <f t="shared" si="357"/>
        <v>#VALUE!</v>
      </c>
      <c r="X1577" s="26" t="e">
        <f t="shared" si="358"/>
        <v>#VALUE!</v>
      </c>
      <c r="Y1577" s="26" t="e">
        <f t="shared" si="359"/>
        <v>#VALUE!</v>
      </c>
      <c r="Z1577" s="1" t="e">
        <f t="shared" si="360"/>
        <v>#VALUE!</v>
      </c>
      <c r="AA1577"/>
      <c r="AB1577"/>
    </row>
    <row r="1578" spans="1:28" x14ac:dyDescent="0.55000000000000004">
      <c r="A1578" s="1">
        <f t="shared" si="347"/>
        <v>1578</v>
      </c>
      <c r="B1578" t="s">
        <v>39</v>
      </c>
      <c r="C1578" t="s">
        <v>82</v>
      </c>
      <c r="D1578" t="s">
        <v>42</v>
      </c>
      <c r="E1578" t="s">
        <v>105</v>
      </c>
      <c r="F1578" t="s">
        <v>343</v>
      </c>
      <c r="G1578" t="s">
        <v>225</v>
      </c>
      <c r="I1578" t="s">
        <v>231</v>
      </c>
      <c r="K1578" t="s">
        <v>227</v>
      </c>
      <c r="M1578" t="s">
        <v>47</v>
      </c>
      <c r="N1578" s="1" t="e">
        <f t="shared" si="348"/>
        <v>#VALUE!</v>
      </c>
      <c r="O1578" s="1" t="e">
        <f t="shared" si="349"/>
        <v>#VALUE!</v>
      </c>
      <c r="P1578" s="1" t="e">
        <f t="shared" si="350"/>
        <v>#VALUE!</v>
      </c>
      <c r="Q1578" s="1" t="e">
        <f t="shared" si="351"/>
        <v>#VALUE!</v>
      </c>
      <c r="R1578" s="1" t="e">
        <f t="shared" si="352"/>
        <v>#VALUE!</v>
      </c>
      <c r="S1578" s="1" t="e">
        <f t="shared" si="353"/>
        <v>#VALUE!</v>
      </c>
      <c r="T1578" s="1" t="e">
        <f t="shared" si="354"/>
        <v>#VALUE!</v>
      </c>
      <c r="U1578" s="26" t="e">
        <f t="shared" si="355"/>
        <v>#VALUE!</v>
      </c>
      <c r="V1578" s="26" t="e">
        <f t="shared" si="356"/>
        <v>#VALUE!</v>
      </c>
      <c r="W1578" s="1" t="e">
        <f t="shared" si="357"/>
        <v>#VALUE!</v>
      </c>
      <c r="X1578" s="26" t="e">
        <f t="shared" si="358"/>
        <v>#VALUE!</v>
      </c>
      <c r="Y1578" s="26" t="e">
        <f t="shared" si="359"/>
        <v>#VALUE!</v>
      </c>
      <c r="Z1578" s="1" t="e">
        <f t="shared" si="360"/>
        <v>#VALUE!</v>
      </c>
      <c r="AA1578"/>
      <c r="AB1578"/>
    </row>
    <row r="1579" spans="1:28" x14ac:dyDescent="0.55000000000000004">
      <c r="A1579" s="1">
        <f t="shared" si="347"/>
        <v>1579</v>
      </c>
      <c r="B1579" t="s">
        <v>39</v>
      </c>
      <c r="C1579" t="s">
        <v>82</v>
      </c>
      <c r="D1579" t="s">
        <v>42</v>
      </c>
      <c r="E1579" t="s">
        <v>105</v>
      </c>
      <c r="F1579" t="s">
        <v>343</v>
      </c>
      <c r="G1579" t="s">
        <v>220</v>
      </c>
      <c r="I1579" t="s">
        <v>219</v>
      </c>
      <c r="K1579" t="s">
        <v>240</v>
      </c>
      <c r="M1579" t="s">
        <v>47</v>
      </c>
      <c r="N1579" s="1" t="e">
        <f t="shared" si="348"/>
        <v>#VALUE!</v>
      </c>
      <c r="O1579" s="1" t="e">
        <f t="shared" si="349"/>
        <v>#VALUE!</v>
      </c>
      <c r="P1579" s="1" t="e">
        <f t="shared" si="350"/>
        <v>#VALUE!</v>
      </c>
      <c r="Q1579" s="1" t="e">
        <f t="shared" si="351"/>
        <v>#VALUE!</v>
      </c>
      <c r="R1579" s="1" t="e">
        <f t="shared" si="352"/>
        <v>#VALUE!</v>
      </c>
      <c r="S1579" s="1" t="e">
        <f t="shared" si="353"/>
        <v>#VALUE!</v>
      </c>
      <c r="T1579" s="1" t="e">
        <f t="shared" si="354"/>
        <v>#VALUE!</v>
      </c>
      <c r="U1579" s="26" t="e">
        <f t="shared" si="355"/>
        <v>#VALUE!</v>
      </c>
      <c r="V1579" s="26" t="e">
        <f t="shared" si="356"/>
        <v>#VALUE!</v>
      </c>
      <c r="W1579" s="1" t="e">
        <f t="shared" si="357"/>
        <v>#VALUE!</v>
      </c>
      <c r="X1579" s="26" t="e">
        <f t="shared" si="358"/>
        <v>#VALUE!</v>
      </c>
      <c r="Y1579" s="26" t="e">
        <f t="shared" si="359"/>
        <v>#VALUE!</v>
      </c>
      <c r="Z1579" s="1" t="e">
        <f t="shared" si="360"/>
        <v>#VALUE!</v>
      </c>
      <c r="AA1579"/>
      <c r="AB1579"/>
    </row>
    <row r="1580" spans="1:28" x14ac:dyDescent="0.55000000000000004">
      <c r="A1580" s="1">
        <f t="shared" si="347"/>
        <v>1580</v>
      </c>
      <c r="B1580" t="s">
        <v>39</v>
      </c>
      <c r="C1580" t="s">
        <v>82</v>
      </c>
      <c r="D1580" t="s">
        <v>42</v>
      </c>
      <c r="E1580" t="s">
        <v>105</v>
      </c>
      <c r="F1580" t="s">
        <v>390</v>
      </c>
      <c r="G1580" t="s">
        <v>223</v>
      </c>
      <c r="I1580" t="s">
        <v>226</v>
      </c>
      <c r="K1580" t="s">
        <v>244</v>
      </c>
      <c r="M1580" t="s">
        <v>47</v>
      </c>
      <c r="N1580" s="1" t="e">
        <f t="shared" si="348"/>
        <v>#VALUE!</v>
      </c>
      <c r="O1580" s="1" t="e">
        <f t="shared" si="349"/>
        <v>#VALUE!</v>
      </c>
      <c r="P1580" s="1" t="e">
        <f t="shared" si="350"/>
        <v>#VALUE!</v>
      </c>
      <c r="Q1580" s="1" t="e">
        <f t="shared" si="351"/>
        <v>#VALUE!</v>
      </c>
      <c r="R1580" s="1" t="e">
        <f t="shared" si="352"/>
        <v>#VALUE!</v>
      </c>
      <c r="S1580" s="1" t="e">
        <f t="shared" si="353"/>
        <v>#VALUE!</v>
      </c>
      <c r="T1580" s="1" t="e">
        <f t="shared" si="354"/>
        <v>#VALUE!</v>
      </c>
      <c r="U1580" s="26" t="e">
        <f t="shared" si="355"/>
        <v>#VALUE!</v>
      </c>
      <c r="V1580" s="26" t="e">
        <f t="shared" si="356"/>
        <v>#VALUE!</v>
      </c>
      <c r="W1580" s="1" t="e">
        <f t="shared" si="357"/>
        <v>#VALUE!</v>
      </c>
      <c r="X1580" s="26" t="e">
        <f t="shared" si="358"/>
        <v>#VALUE!</v>
      </c>
      <c r="Y1580" s="26" t="e">
        <f t="shared" si="359"/>
        <v>#VALUE!</v>
      </c>
      <c r="Z1580" s="1" t="e">
        <f t="shared" si="360"/>
        <v>#VALUE!</v>
      </c>
      <c r="AA1580"/>
      <c r="AB1580"/>
    </row>
    <row r="1581" spans="1:28" x14ac:dyDescent="0.55000000000000004">
      <c r="A1581" s="1">
        <f t="shared" si="347"/>
        <v>1581</v>
      </c>
      <c r="B1581" t="s">
        <v>39</v>
      </c>
      <c r="C1581" t="s">
        <v>82</v>
      </c>
      <c r="D1581" t="s">
        <v>42</v>
      </c>
      <c r="E1581" t="s">
        <v>105</v>
      </c>
      <c r="F1581" t="s">
        <v>390</v>
      </c>
      <c r="G1581" t="s">
        <v>229</v>
      </c>
      <c r="I1581" t="s">
        <v>228</v>
      </c>
      <c r="K1581" t="s">
        <v>246</v>
      </c>
      <c r="M1581" t="s">
        <v>47</v>
      </c>
      <c r="N1581" s="1" t="e">
        <f t="shared" si="348"/>
        <v>#VALUE!</v>
      </c>
      <c r="O1581" s="1" t="e">
        <f t="shared" si="349"/>
        <v>#VALUE!</v>
      </c>
      <c r="P1581" s="1" t="e">
        <f t="shared" si="350"/>
        <v>#VALUE!</v>
      </c>
      <c r="Q1581" s="1" t="e">
        <f t="shared" si="351"/>
        <v>#VALUE!</v>
      </c>
      <c r="R1581" s="1" t="e">
        <f t="shared" si="352"/>
        <v>#VALUE!</v>
      </c>
      <c r="S1581" s="1" t="e">
        <f t="shared" si="353"/>
        <v>#VALUE!</v>
      </c>
      <c r="T1581" s="1" t="e">
        <f t="shared" si="354"/>
        <v>#VALUE!</v>
      </c>
      <c r="U1581" s="26" t="e">
        <f t="shared" si="355"/>
        <v>#VALUE!</v>
      </c>
      <c r="V1581" s="26" t="e">
        <f t="shared" si="356"/>
        <v>#VALUE!</v>
      </c>
      <c r="W1581" s="1" t="e">
        <f t="shared" si="357"/>
        <v>#VALUE!</v>
      </c>
      <c r="X1581" s="26" t="e">
        <f t="shared" si="358"/>
        <v>#VALUE!</v>
      </c>
      <c r="Y1581" s="26" t="e">
        <f t="shared" si="359"/>
        <v>#VALUE!</v>
      </c>
      <c r="Z1581" s="1" t="e">
        <f t="shared" si="360"/>
        <v>#VALUE!</v>
      </c>
      <c r="AA1581"/>
      <c r="AB1581"/>
    </row>
    <row r="1582" spans="1:28" x14ac:dyDescent="0.55000000000000004">
      <c r="A1582" s="1">
        <f t="shared" si="347"/>
        <v>1582</v>
      </c>
      <c r="B1582" t="s">
        <v>35</v>
      </c>
      <c r="C1582" t="s">
        <v>130</v>
      </c>
      <c r="D1582" t="s">
        <v>42</v>
      </c>
      <c r="E1582" t="s">
        <v>105</v>
      </c>
      <c r="F1582" t="s">
        <v>357</v>
      </c>
      <c r="G1582" t="s">
        <v>208</v>
      </c>
      <c r="I1582" t="s">
        <v>207</v>
      </c>
      <c r="K1582" t="s">
        <v>381</v>
      </c>
      <c r="M1582" t="s">
        <v>47</v>
      </c>
      <c r="N1582" s="1" t="e">
        <f t="shared" si="348"/>
        <v>#VALUE!</v>
      </c>
      <c r="O1582" s="1" t="e">
        <f t="shared" si="349"/>
        <v>#VALUE!</v>
      </c>
      <c r="P1582" s="1" t="e">
        <f t="shared" si="350"/>
        <v>#VALUE!</v>
      </c>
      <c r="Q1582" s="1" t="e">
        <f t="shared" si="351"/>
        <v>#VALUE!</v>
      </c>
      <c r="R1582" s="1" t="e">
        <f t="shared" si="352"/>
        <v>#VALUE!</v>
      </c>
      <c r="S1582" s="1" t="e">
        <f t="shared" si="353"/>
        <v>#VALUE!</v>
      </c>
      <c r="T1582" s="1" t="e">
        <f t="shared" si="354"/>
        <v>#VALUE!</v>
      </c>
      <c r="U1582" s="26" t="e">
        <f t="shared" si="355"/>
        <v>#VALUE!</v>
      </c>
      <c r="V1582" s="26" t="e">
        <f t="shared" si="356"/>
        <v>#VALUE!</v>
      </c>
      <c r="W1582" s="1" t="e">
        <f t="shared" si="357"/>
        <v>#VALUE!</v>
      </c>
      <c r="X1582" s="26" t="e">
        <f t="shared" si="358"/>
        <v>#VALUE!</v>
      </c>
      <c r="Y1582" s="26" t="e">
        <f t="shared" si="359"/>
        <v>#VALUE!</v>
      </c>
      <c r="Z1582" s="1" t="e">
        <f t="shared" si="360"/>
        <v>#VALUE!</v>
      </c>
      <c r="AA1582"/>
      <c r="AB1582"/>
    </row>
    <row r="1583" spans="1:28" x14ac:dyDescent="0.55000000000000004">
      <c r="A1583" s="1">
        <f t="shared" si="347"/>
        <v>1583</v>
      </c>
      <c r="B1583" t="s">
        <v>35</v>
      </c>
      <c r="C1583" t="s">
        <v>130</v>
      </c>
      <c r="D1583" t="s">
        <v>42</v>
      </c>
      <c r="E1583" t="s">
        <v>105</v>
      </c>
      <c r="F1583" t="s">
        <v>357</v>
      </c>
      <c r="G1583" t="s">
        <v>386</v>
      </c>
      <c r="I1583" t="s">
        <v>205</v>
      </c>
      <c r="K1583" t="s">
        <v>418</v>
      </c>
      <c r="M1583" t="s">
        <v>47</v>
      </c>
      <c r="N1583" s="1" t="e">
        <f t="shared" si="348"/>
        <v>#VALUE!</v>
      </c>
      <c r="O1583" s="1" t="e">
        <f t="shared" si="349"/>
        <v>#VALUE!</v>
      </c>
      <c r="P1583" s="1" t="e">
        <f t="shared" si="350"/>
        <v>#VALUE!</v>
      </c>
      <c r="Q1583" s="1" t="e">
        <f t="shared" si="351"/>
        <v>#VALUE!</v>
      </c>
      <c r="R1583" s="1" t="e">
        <f t="shared" si="352"/>
        <v>#VALUE!</v>
      </c>
      <c r="S1583" s="1" t="e">
        <f t="shared" si="353"/>
        <v>#VALUE!</v>
      </c>
      <c r="T1583" s="1" t="e">
        <f t="shared" si="354"/>
        <v>#VALUE!</v>
      </c>
      <c r="U1583" s="26" t="e">
        <f t="shared" si="355"/>
        <v>#VALUE!</v>
      </c>
      <c r="V1583" s="26" t="e">
        <f t="shared" si="356"/>
        <v>#VALUE!</v>
      </c>
      <c r="W1583" s="1" t="e">
        <f t="shared" si="357"/>
        <v>#VALUE!</v>
      </c>
      <c r="X1583" s="26" t="e">
        <f t="shared" si="358"/>
        <v>#VALUE!</v>
      </c>
      <c r="Y1583" s="26" t="e">
        <f t="shared" si="359"/>
        <v>#VALUE!</v>
      </c>
      <c r="Z1583" s="1" t="e">
        <f t="shared" si="360"/>
        <v>#VALUE!</v>
      </c>
      <c r="AA1583"/>
      <c r="AB1583"/>
    </row>
    <row r="1584" spans="1:28" x14ac:dyDescent="0.55000000000000004">
      <c r="A1584" s="1">
        <f t="shared" si="347"/>
        <v>1584</v>
      </c>
      <c r="B1584" t="s">
        <v>35</v>
      </c>
      <c r="C1584" t="s">
        <v>130</v>
      </c>
      <c r="D1584" t="s">
        <v>42</v>
      </c>
      <c r="E1584" t="s">
        <v>105</v>
      </c>
      <c r="F1584" t="s">
        <v>357</v>
      </c>
      <c r="G1584" t="s">
        <v>303</v>
      </c>
      <c r="I1584" t="s">
        <v>307</v>
      </c>
      <c r="K1584" t="s">
        <v>305</v>
      </c>
      <c r="M1584" t="s">
        <v>47</v>
      </c>
      <c r="N1584" s="1" t="e">
        <f t="shared" si="348"/>
        <v>#VALUE!</v>
      </c>
      <c r="O1584" s="1" t="e">
        <f t="shared" si="349"/>
        <v>#VALUE!</v>
      </c>
      <c r="P1584" s="1" t="e">
        <f t="shared" si="350"/>
        <v>#VALUE!</v>
      </c>
      <c r="Q1584" s="1" t="e">
        <f t="shared" si="351"/>
        <v>#VALUE!</v>
      </c>
      <c r="R1584" s="1" t="e">
        <f t="shared" si="352"/>
        <v>#VALUE!</v>
      </c>
      <c r="S1584" s="1" t="e">
        <f t="shared" si="353"/>
        <v>#VALUE!</v>
      </c>
      <c r="T1584" s="1" t="e">
        <f t="shared" si="354"/>
        <v>#VALUE!</v>
      </c>
      <c r="U1584" s="26" t="e">
        <f t="shared" si="355"/>
        <v>#VALUE!</v>
      </c>
      <c r="V1584" s="26" t="e">
        <f t="shared" si="356"/>
        <v>#VALUE!</v>
      </c>
      <c r="W1584" s="1" t="e">
        <f t="shared" si="357"/>
        <v>#VALUE!</v>
      </c>
      <c r="X1584" s="26" t="e">
        <f t="shared" si="358"/>
        <v>#VALUE!</v>
      </c>
      <c r="Y1584" s="26" t="e">
        <f t="shared" si="359"/>
        <v>#VALUE!</v>
      </c>
      <c r="Z1584" s="1" t="e">
        <f t="shared" si="360"/>
        <v>#VALUE!</v>
      </c>
      <c r="AA1584"/>
      <c r="AB1584"/>
    </row>
    <row r="1585" spans="1:28" x14ac:dyDescent="0.55000000000000004">
      <c r="A1585" s="1">
        <f t="shared" si="347"/>
        <v>1585</v>
      </c>
      <c r="B1585" t="s">
        <v>37</v>
      </c>
      <c r="C1585" t="s">
        <v>114</v>
      </c>
      <c r="D1585" t="s">
        <v>174</v>
      </c>
      <c r="E1585" t="s">
        <v>334</v>
      </c>
      <c r="F1585" t="s">
        <v>315</v>
      </c>
      <c r="G1585" t="s">
        <v>326</v>
      </c>
      <c r="I1585" t="s">
        <v>328</v>
      </c>
      <c r="K1585" t="s">
        <v>327</v>
      </c>
      <c r="M1585" t="s">
        <v>47</v>
      </c>
      <c r="N1585" s="1" t="e">
        <f t="shared" si="348"/>
        <v>#VALUE!</v>
      </c>
      <c r="O1585" s="1" t="e">
        <f t="shared" si="349"/>
        <v>#VALUE!</v>
      </c>
      <c r="P1585" s="1" t="e">
        <f t="shared" si="350"/>
        <v>#VALUE!</v>
      </c>
      <c r="Q1585" s="1" t="e">
        <f t="shared" si="351"/>
        <v>#VALUE!</v>
      </c>
      <c r="R1585" s="1" t="e">
        <f t="shared" si="352"/>
        <v>#VALUE!</v>
      </c>
      <c r="S1585" s="1" t="e">
        <f t="shared" si="353"/>
        <v>#VALUE!</v>
      </c>
      <c r="T1585" s="1" t="e">
        <f t="shared" si="354"/>
        <v>#VALUE!</v>
      </c>
      <c r="U1585" s="26" t="e">
        <f t="shared" si="355"/>
        <v>#VALUE!</v>
      </c>
      <c r="V1585" s="26" t="e">
        <f t="shared" si="356"/>
        <v>#VALUE!</v>
      </c>
      <c r="W1585" s="1" t="e">
        <f t="shared" si="357"/>
        <v>#VALUE!</v>
      </c>
      <c r="X1585" s="26" t="e">
        <f t="shared" si="358"/>
        <v>#VALUE!</v>
      </c>
      <c r="Y1585" s="26" t="e">
        <f t="shared" si="359"/>
        <v>#VALUE!</v>
      </c>
      <c r="Z1585" s="1" t="e">
        <f t="shared" si="360"/>
        <v>#VALUE!</v>
      </c>
      <c r="AA1585"/>
      <c r="AB1585"/>
    </row>
    <row r="1586" spans="1:28" x14ac:dyDescent="0.55000000000000004">
      <c r="A1586" s="1">
        <f t="shared" si="347"/>
        <v>1586</v>
      </c>
      <c r="B1586" t="s">
        <v>39</v>
      </c>
      <c r="C1586" t="s">
        <v>130</v>
      </c>
      <c r="D1586" t="s">
        <v>42</v>
      </c>
      <c r="E1586" t="s">
        <v>415</v>
      </c>
      <c r="F1586" t="s">
        <v>390</v>
      </c>
      <c r="G1586" t="s">
        <v>220</v>
      </c>
      <c r="I1586" t="s">
        <v>223</v>
      </c>
      <c r="K1586" t="s">
        <v>240</v>
      </c>
      <c r="M1586" t="s">
        <v>47</v>
      </c>
      <c r="N1586" s="1" t="e">
        <f t="shared" si="348"/>
        <v>#VALUE!</v>
      </c>
      <c r="O1586" s="1" t="e">
        <f t="shared" si="349"/>
        <v>#VALUE!</v>
      </c>
      <c r="P1586" s="1" t="e">
        <f t="shared" si="350"/>
        <v>#VALUE!</v>
      </c>
      <c r="Q1586" s="1" t="e">
        <f t="shared" si="351"/>
        <v>#VALUE!</v>
      </c>
      <c r="R1586" s="1" t="e">
        <f t="shared" si="352"/>
        <v>#VALUE!</v>
      </c>
      <c r="S1586" s="1" t="e">
        <f t="shared" si="353"/>
        <v>#VALUE!</v>
      </c>
      <c r="T1586" s="1" t="e">
        <f t="shared" si="354"/>
        <v>#VALUE!</v>
      </c>
      <c r="U1586" s="26" t="e">
        <f t="shared" si="355"/>
        <v>#VALUE!</v>
      </c>
      <c r="V1586" s="26" t="e">
        <f t="shared" si="356"/>
        <v>#VALUE!</v>
      </c>
      <c r="W1586" s="1" t="e">
        <f t="shared" si="357"/>
        <v>#VALUE!</v>
      </c>
      <c r="X1586" s="26" t="e">
        <f t="shared" si="358"/>
        <v>#VALUE!</v>
      </c>
      <c r="Y1586" s="26" t="e">
        <f t="shared" si="359"/>
        <v>#VALUE!</v>
      </c>
      <c r="Z1586" s="1" t="e">
        <f t="shared" si="360"/>
        <v>#VALUE!</v>
      </c>
      <c r="AA1586"/>
      <c r="AB1586"/>
    </row>
    <row r="1587" spans="1:28" x14ac:dyDescent="0.55000000000000004">
      <c r="A1587" s="1">
        <f t="shared" si="347"/>
        <v>1587</v>
      </c>
      <c r="B1587" t="s">
        <v>30</v>
      </c>
      <c r="C1587" t="s">
        <v>194</v>
      </c>
      <c r="D1587" t="s">
        <v>174</v>
      </c>
      <c r="E1587" t="s">
        <v>272</v>
      </c>
      <c r="F1587" t="s">
        <v>182</v>
      </c>
      <c r="G1587" t="s">
        <v>64</v>
      </c>
      <c r="I1587" t="s">
        <v>54</v>
      </c>
      <c r="K1587" t="s">
        <v>62</v>
      </c>
      <c r="M1587" t="s">
        <v>47</v>
      </c>
      <c r="N1587" s="1" t="e">
        <f t="shared" si="348"/>
        <v>#VALUE!</v>
      </c>
      <c r="O1587" s="1" t="e">
        <f t="shared" si="349"/>
        <v>#VALUE!</v>
      </c>
      <c r="P1587" s="1" t="e">
        <f t="shared" si="350"/>
        <v>#VALUE!</v>
      </c>
      <c r="Q1587" s="1" t="e">
        <f t="shared" si="351"/>
        <v>#VALUE!</v>
      </c>
      <c r="R1587" s="1" t="e">
        <f t="shared" si="352"/>
        <v>#VALUE!</v>
      </c>
      <c r="S1587" s="1" t="e">
        <f t="shared" si="353"/>
        <v>#VALUE!</v>
      </c>
      <c r="T1587" s="1" t="e">
        <f t="shared" si="354"/>
        <v>#VALUE!</v>
      </c>
      <c r="U1587" s="26" t="e">
        <f t="shared" si="355"/>
        <v>#VALUE!</v>
      </c>
      <c r="V1587" s="26" t="e">
        <f t="shared" si="356"/>
        <v>#VALUE!</v>
      </c>
      <c r="W1587" s="1" t="e">
        <f t="shared" si="357"/>
        <v>#VALUE!</v>
      </c>
      <c r="X1587" s="26" t="e">
        <f t="shared" si="358"/>
        <v>#VALUE!</v>
      </c>
      <c r="Y1587" s="26" t="e">
        <f t="shared" si="359"/>
        <v>#VALUE!</v>
      </c>
      <c r="Z1587" s="1" t="e">
        <f t="shared" si="360"/>
        <v>#VALUE!</v>
      </c>
      <c r="AA1587"/>
      <c r="AB1587"/>
    </row>
    <row r="1588" spans="1:28" x14ac:dyDescent="0.55000000000000004">
      <c r="A1588" s="1">
        <f t="shared" si="347"/>
        <v>1588</v>
      </c>
      <c r="B1588" t="s">
        <v>33</v>
      </c>
      <c r="C1588" t="s">
        <v>76</v>
      </c>
      <c r="D1588" t="s">
        <v>174</v>
      </c>
      <c r="E1588" t="s">
        <v>272</v>
      </c>
      <c r="F1588" t="s">
        <v>277</v>
      </c>
      <c r="G1588" t="s">
        <v>282</v>
      </c>
      <c r="I1588" t="s">
        <v>278</v>
      </c>
      <c r="K1588" t="s">
        <v>295</v>
      </c>
      <c r="M1588" t="s">
        <v>47</v>
      </c>
      <c r="N1588" s="1" t="e">
        <f t="shared" si="348"/>
        <v>#VALUE!</v>
      </c>
      <c r="O1588" s="1" t="e">
        <f t="shared" si="349"/>
        <v>#VALUE!</v>
      </c>
      <c r="P1588" s="1" t="e">
        <f t="shared" si="350"/>
        <v>#VALUE!</v>
      </c>
      <c r="Q1588" s="1" t="e">
        <f t="shared" si="351"/>
        <v>#VALUE!</v>
      </c>
      <c r="R1588" s="1" t="e">
        <f t="shared" si="352"/>
        <v>#VALUE!</v>
      </c>
      <c r="S1588" s="1" t="e">
        <f t="shared" si="353"/>
        <v>#VALUE!</v>
      </c>
      <c r="T1588" s="1" t="e">
        <f t="shared" si="354"/>
        <v>#VALUE!</v>
      </c>
      <c r="U1588" s="26" t="e">
        <f t="shared" si="355"/>
        <v>#VALUE!</v>
      </c>
      <c r="V1588" s="26" t="e">
        <f t="shared" si="356"/>
        <v>#VALUE!</v>
      </c>
      <c r="W1588" s="1" t="e">
        <f t="shared" si="357"/>
        <v>#VALUE!</v>
      </c>
      <c r="X1588" s="26" t="e">
        <f t="shared" si="358"/>
        <v>#VALUE!</v>
      </c>
      <c r="Y1588" s="26" t="e">
        <f t="shared" si="359"/>
        <v>#VALUE!</v>
      </c>
      <c r="Z1588" s="1" t="e">
        <f t="shared" si="360"/>
        <v>#VALUE!</v>
      </c>
      <c r="AA1588"/>
      <c r="AB1588"/>
    </row>
    <row r="1589" spans="1:28" x14ac:dyDescent="0.55000000000000004">
      <c r="A1589" s="1">
        <f t="shared" si="347"/>
        <v>1589</v>
      </c>
      <c r="B1589" t="s">
        <v>33</v>
      </c>
      <c r="C1589" t="s">
        <v>76</v>
      </c>
      <c r="D1589" t="s">
        <v>174</v>
      </c>
      <c r="E1589" t="s">
        <v>272</v>
      </c>
      <c r="F1589" t="s">
        <v>290</v>
      </c>
      <c r="G1589" t="s">
        <v>296</v>
      </c>
      <c r="I1589" t="s">
        <v>288</v>
      </c>
      <c r="K1589" t="s">
        <v>297</v>
      </c>
      <c r="M1589" t="s">
        <v>47</v>
      </c>
      <c r="N1589" s="1" t="e">
        <f t="shared" si="348"/>
        <v>#VALUE!</v>
      </c>
      <c r="O1589" s="1" t="e">
        <f t="shared" si="349"/>
        <v>#VALUE!</v>
      </c>
      <c r="P1589" s="1" t="e">
        <f t="shared" si="350"/>
        <v>#VALUE!</v>
      </c>
      <c r="Q1589" s="1" t="e">
        <f t="shared" si="351"/>
        <v>#VALUE!</v>
      </c>
      <c r="R1589" s="1" t="e">
        <f t="shared" si="352"/>
        <v>#VALUE!</v>
      </c>
      <c r="S1589" s="1" t="e">
        <f t="shared" si="353"/>
        <v>#VALUE!</v>
      </c>
      <c r="T1589" s="1" t="e">
        <f t="shared" si="354"/>
        <v>#VALUE!</v>
      </c>
      <c r="U1589" s="26" t="e">
        <f t="shared" si="355"/>
        <v>#VALUE!</v>
      </c>
      <c r="V1589" s="26" t="e">
        <f t="shared" si="356"/>
        <v>#VALUE!</v>
      </c>
      <c r="W1589" s="1" t="e">
        <f t="shared" si="357"/>
        <v>#VALUE!</v>
      </c>
      <c r="X1589" s="26" t="e">
        <f t="shared" si="358"/>
        <v>#VALUE!</v>
      </c>
      <c r="Y1589" s="26" t="e">
        <f t="shared" si="359"/>
        <v>#VALUE!</v>
      </c>
      <c r="Z1589" s="1" t="e">
        <f t="shared" si="360"/>
        <v>#VALUE!</v>
      </c>
      <c r="AA1589"/>
      <c r="AB1589"/>
    </row>
    <row r="1590" spans="1:28" x14ac:dyDescent="0.55000000000000004">
      <c r="A1590" s="1">
        <f t="shared" si="347"/>
        <v>1590</v>
      </c>
      <c r="B1590" t="s">
        <v>37</v>
      </c>
      <c r="C1590" t="s">
        <v>335</v>
      </c>
      <c r="D1590" t="s">
        <v>174</v>
      </c>
      <c r="E1590" t="s">
        <v>272</v>
      </c>
      <c r="F1590" t="s">
        <v>315</v>
      </c>
      <c r="G1590" t="s">
        <v>324</v>
      </c>
      <c r="I1590" t="s">
        <v>312</v>
      </c>
      <c r="K1590" t="s">
        <v>325</v>
      </c>
      <c r="M1590" t="s">
        <v>47</v>
      </c>
      <c r="N1590" s="1" t="e">
        <f t="shared" si="348"/>
        <v>#VALUE!</v>
      </c>
      <c r="O1590" s="1" t="e">
        <f t="shared" si="349"/>
        <v>#VALUE!</v>
      </c>
      <c r="P1590" s="1" t="e">
        <f t="shared" si="350"/>
        <v>#VALUE!</v>
      </c>
      <c r="Q1590" s="1" t="e">
        <f t="shared" si="351"/>
        <v>#VALUE!</v>
      </c>
      <c r="R1590" s="1" t="e">
        <f t="shared" si="352"/>
        <v>#VALUE!</v>
      </c>
      <c r="S1590" s="1" t="e">
        <f t="shared" si="353"/>
        <v>#VALUE!</v>
      </c>
      <c r="T1590" s="1" t="e">
        <f t="shared" si="354"/>
        <v>#VALUE!</v>
      </c>
      <c r="U1590" s="26" t="e">
        <f t="shared" si="355"/>
        <v>#VALUE!</v>
      </c>
      <c r="V1590" s="26" t="e">
        <f t="shared" si="356"/>
        <v>#VALUE!</v>
      </c>
      <c r="W1590" s="1" t="e">
        <f t="shared" si="357"/>
        <v>#VALUE!</v>
      </c>
      <c r="X1590" s="26" t="e">
        <f t="shared" si="358"/>
        <v>#VALUE!</v>
      </c>
      <c r="Y1590" s="26" t="e">
        <f t="shared" si="359"/>
        <v>#VALUE!</v>
      </c>
      <c r="Z1590" s="1" t="e">
        <f t="shared" si="360"/>
        <v>#VALUE!</v>
      </c>
      <c r="AA1590"/>
      <c r="AB1590"/>
    </row>
    <row r="1591" spans="1:28" x14ac:dyDescent="0.55000000000000004">
      <c r="A1591" s="1">
        <f t="shared" si="347"/>
        <v>1591</v>
      </c>
      <c r="B1591" t="s">
        <v>37</v>
      </c>
      <c r="C1591" t="s">
        <v>335</v>
      </c>
      <c r="D1591" t="s">
        <v>174</v>
      </c>
      <c r="E1591" t="s">
        <v>272</v>
      </c>
      <c r="F1591" t="s">
        <v>315</v>
      </c>
      <c r="G1591" t="s">
        <v>328</v>
      </c>
      <c r="I1591" t="s">
        <v>316</v>
      </c>
      <c r="K1591" t="s">
        <v>329</v>
      </c>
      <c r="M1591" t="s">
        <v>47</v>
      </c>
      <c r="N1591" s="1" t="e">
        <f t="shared" si="348"/>
        <v>#VALUE!</v>
      </c>
      <c r="O1591" s="1" t="e">
        <f t="shared" si="349"/>
        <v>#VALUE!</v>
      </c>
      <c r="P1591" s="1" t="e">
        <f t="shared" si="350"/>
        <v>#VALUE!</v>
      </c>
      <c r="Q1591" s="1" t="e">
        <f t="shared" si="351"/>
        <v>#VALUE!</v>
      </c>
      <c r="R1591" s="1" t="e">
        <f t="shared" si="352"/>
        <v>#VALUE!</v>
      </c>
      <c r="S1591" s="1" t="e">
        <f t="shared" si="353"/>
        <v>#VALUE!</v>
      </c>
      <c r="T1591" s="1" t="e">
        <f t="shared" si="354"/>
        <v>#VALUE!</v>
      </c>
      <c r="U1591" s="26" t="e">
        <f t="shared" si="355"/>
        <v>#VALUE!</v>
      </c>
      <c r="V1591" s="26" t="e">
        <f t="shared" si="356"/>
        <v>#VALUE!</v>
      </c>
      <c r="W1591" s="1" t="e">
        <f t="shared" si="357"/>
        <v>#VALUE!</v>
      </c>
      <c r="X1591" s="26" t="e">
        <f t="shared" si="358"/>
        <v>#VALUE!</v>
      </c>
      <c r="Y1591" s="26" t="e">
        <f t="shared" si="359"/>
        <v>#VALUE!</v>
      </c>
      <c r="Z1591" s="1" t="e">
        <f t="shared" si="360"/>
        <v>#VALUE!</v>
      </c>
      <c r="AA1591"/>
      <c r="AB1591"/>
    </row>
    <row r="1592" spans="1:28" x14ac:dyDescent="0.55000000000000004">
      <c r="A1592" s="1">
        <f t="shared" si="347"/>
        <v>1592</v>
      </c>
      <c r="B1592" t="s">
        <v>37</v>
      </c>
      <c r="C1592" t="s">
        <v>335</v>
      </c>
      <c r="D1592" t="s">
        <v>174</v>
      </c>
      <c r="E1592" t="s">
        <v>272</v>
      </c>
      <c r="F1592" t="s">
        <v>315</v>
      </c>
      <c r="G1592" t="s">
        <v>313</v>
      </c>
      <c r="I1592" t="s">
        <v>322</v>
      </c>
      <c r="K1592" t="s">
        <v>317</v>
      </c>
      <c r="M1592" t="s">
        <v>47</v>
      </c>
      <c r="N1592" s="1" t="e">
        <f t="shared" si="348"/>
        <v>#VALUE!</v>
      </c>
      <c r="O1592" s="1" t="e">
        <f t="shared" si="349"/>
        <v>#VALUE!</v>
      </c>
      <c r="P1592" s="1" t="e">
        <f t="shared" si="350"/>
        <v>#VALUE!</v>
      </c>
      <c r="Q1592" s="1" t="e">
        <f t="shared" si="351"/>
        <v>#VALUE!</v>
      </c>
      <c r="R1592" s="1" t="e">
        <f t="shared" si="352"/>
        <v>#VALUE!</v>
      </c>
      <c r="S1592" s="1" t="e">
        <f t="shared" si="353"/>
        <v>#VALUE!</v>
      </c>
      <c r="T1592" s="1" t="e">
        <f t="shared" si="354"/>
        <v>#VALUE!</v>
      </c>
      <c r="U1592" s="26" t="e">
        <f t="shared" si="355"/>
        <v>#VALUE!</v>
      </c>
      <c r="V1592" s="26" t="e">
        <f t="shared" si="356"/>
        <v>#VALUE!</v>
      </c>
      <c r="W1592" s="1" t="e">
        <f t="shared" si="357"/>
        <v>#VALUE!</v>
      </c>
      <c r="X1592" s="26" t="e">
        <f t="shared" si="358"/>
        <v>#VALUE!</v>
      </c>
      <c r="Y1592" s="26" t="e">
        <f t="shared" si="359"/>
        <v>#VALUE!</v>
      </c>
      <c r="Z1592" s="1" t="e">
        <f t="shared" si="360"/>
        <v>#VALUE!</v>
      </c>
      <c r="AA1592"/>
      <c r="AB1592"/>
    </row>
    <row r="1593" spans="1:28" x14ac:dyDescent="0.55000000000000004">
      <c r="A1593" s="1">
        <f t="shared" si="347"/>
        <v>1593</v>
      </c>
      <c r="B1593" t="s">
        <v>37</v>
      </c>
      <c r="C1593" t="s">
        <v>335</v>
      </c>
      <c r="D1593" t="s">
        <v>174</v>
      </c>
      <c r="E1593" t="s">
        <v>272</v>
      </c>
      <c r="F1593" t="s">
        <v>315</v>
      </c>
      <c r="G1593" t="s">
        <v>321</v>
      </c>
      <c r="I1593" t="s">
        <v>326</v>
      </c>
      <c r="K1593" t="s">
        <v>323</v>
      </c>
      <c r="M1593" t="s">
        <v>47</v>
      </c>
      <c r="N1593" s="1" t="e">
        <f t="shared" si="348"/>
        <v>#VALUE!</v>
      </c>
      <c r="O1593" s="1" t="e">
        <f t="shared" si="349"/>
        <v>#VALUE!</v>
      </c>
      <c r="P1593" s="1" t="e">
        <f t="shared" si="350"/>
        <v>#VALUE!</v>
      </c>
      <c r="Q1593" s="1" t="e">
        <f t="shared" si="351"/>
        <v>#VALUE!</v>
      </c>
      <c r="R1593" s="1" t="e">
        <f t="shared" si="352"/>
        <v>#VALUE!</v>
      </c>
      <c r="S1593" s="1" t="e">
        <f t="shared" si="353"/>
        <v>#VALUE!</v>
      </c>
      <c r="T1593" s="1" t="e">
        <f t="shared" si="354"/>
        <v>#VALUE!</v>
      </c>
      <c r="U1593" s="26" t="e">
        <f t="shared" si="355"/>
        <v>#VALUE!</v>
      </c>
      <c r="V1593" s="26" t="e">
        <f t="shared" si="356"/>
        <v>#VALUE!</v>
      </c>
      <c r="W1593" s="1" t="e">
        <f t="shared" si="357"/>
        <v>#VALUE!</v>
      </c>
      <c r="X1593" s="26" t="e">
        <f t="shared" si="358"/>
        <v>#VALUE!</v>
      </c>
      <c r="Y1593" s="26" t="e">
        <f t="shared" si="359"/>
        <v>#VALUE!</v>
      </c>
      <c r="Z1593" s="1" t="e">
        <f t="shared" si="360"/>
        <v>#VALUE!</v>
      </c>
      <c r="AA1593"/>
      <c r="AB1593"/>
    </row>
    <row r="1594" spans="1:28" x14ac:dyDescent="0.55000000000000004">
      <c r="A1594" s="1">
        <f t="shared" si="347"/>
        <v>1594</v>
      </c>
      <c r="B1594" t="s">
        <v>37</v>
      </c>
      <c r="C1594" t="s">
        <v>335</v>
      </c>
      <c r="D1594" t="s">
        <v>174</v>
      </c>
      <c r="E1594" t="s">
        <v>272</v>
      </c>
      <c r="F1594" t="s">
        <v>311</v>
      </c>
      <c r="G1594" t="s">
        <v>319</v>
      </c>
      <c r="I1594" t="s">
        <v>318</v>
      </c>
      <c r="K1594" t="s">
        <v>330</v>
      </c>
      <c r="M1594" t="s">
        <v>47</v>
      </c>
      <c r="N1594" s="1" t="e">
        <f t="shared" si="348"/>
        <v>#VALUE!</v>
      </c>
      <c r="O1594" s="1" t="e">
        <f t="shared" si="349"/>
        <v>#VALUE!</v>
      </c>
      <c r="P1594" s="1" t="e">
        <f t="shared" si="350"/>
        <v>#VALUE!</v>
      </c>
      <c r="Q1594" s="1" t="e">
        <f t="shared" si="351"/>
        <v>#VALUE!</v>
      </c>
      <c r="R1594" s="1" t="e">
        <f t="shared" si="352"/>
        <v>#VALUE!</v>
      </c>
      <c r="S1594" s="1" t="e">
        <f t="shared" si="353"/>
        <v>#VALUE!</v>
      </c>
      <c r="T1594" s="1" t="e">
        <f t="shared" si="354"/>
        <v>#VALUE!</v>
      </c>
      <c r="U1594" s="26" t="e">
        <f t="shared" si="355"/>
        <v>#VALUE!</v>
      </c>
      <c r="V1594" s="26" t="e">
        <f t="shared" si="356"/>
        <v>#VALUE!</v>
      </c>
      <c r="W1594" s="1" t="e">
        <f t="shared" si="357"/>
        <v>#VALUE!</v>
      </c>
      <c r="X1594" s="26" t="e">
        <f t="shared" si="358"/>
        <v>#VALUE!</v>
      </c>
      <c r="Y1594" s="26" t="e">
        <f t="shared" si="359"/>
        <v>#VALUE!</v>
      </c>
      <c r="Z1594" s="1" t="e">
        <f t="shared" si="360"/>
        <v>#VALUE!</v>
      </c>
      <c r="AA1594"/>
      <c r="AB1594"/>
    </row>
    <row r="1595" spans="1:28" x14ac:dyDescent="0.55000000000000004">
      <c r="A1595" s="1">
        <f t="shared" si="347"/>
        <v>1595</v>
      </c>
      <c r="B1595" t="s">
        <v>39</v>
      </c>
      <c r="C1595" t="s">
        <v>332</v>
      </c>
      <c r="D1595" t="s">
        <v>174</v>
      </c>
      <c r="E1595" t="s">
        <v>272</v>
      </c>
      <c r="F1595" t="s">
        <v>342</v>
      </c>
      <c r="G1595" t="s">
        <v>226</v>
      </c>
      <c r="I1595" t="s">
        <v>225</v>
      </c>
      <c r="K1595" t="s">
        <v>241</v>
      </c>
      <c r="M1595" t="s">
        <v>47</v>
      </c>
      <c r="N1595" s="1" t="e">
        <f t="shared" si="348"/>
        <v>#VALUE!</v>
      </c>
      <c r="O1595" s="1" t="e">
        <f t="shared" si="349"/>
        <v>#VALUE!</v>
      </c>
      <c r="P1595" s="1" t="e">
        <f t="shared" si="350"/>
        <v>#VALUE!</v>
      </c>
      <c r="Q1595" s="1" t="e">
        <f t="shared" si="351"/>
        <v>#VALUE!</v>
      </c>
      <c r="R1595" s="1" t="e">
        <f t="shared" si="352"/>
        <v>#VALUE!</v>
      </c>
      <c r="S1595" s="1" t="e">
        <f t="shared" si="353"/>
        <v>#VALUE!</v>
      </c>
      <c r="T1595" s="1" t="e">
        <f t="shared" si="354"/>
        <v>#VALUE!</v>
      </c>
      <c r="U1595" s="26" t="e">
        <f t="shared" si="355"/>
        <v>#VALUE!</v>
      </c>
      <c r="V1595" s="26" t="e">
        <f t="shared" si="356"/>
        <v>#VALUE!</v>
      </c>
      <c r="W1595" s="1" t="e">
        <f t="shared" si="357"/>
        <v>#VALUE!</v>
      </c>
      <c r="X1595" s="26" t="e">
        <f t="shared" si="358"/>
        <v>#VALUE!</v>
      </c>
      <c r="Y1595" s="26" t="e">
        <f t="shared" si="359"/>
        <v>#VALUE!</v>
      </c>
      <c r="Z1595" s="1" t="e">
        <f t="shared" si="360"/>
        <v>#VALUE!</v>
      </c>
      <c r="AA1595"/>
      <c r="AB1595"/>
    </row>
    <row r="1596" spans="1:28" x14ac:dyDescent="0.55000000000000004">
      <c r="A1596" s="1">
        <f t="shared" si="347"/>
        <v>1596</v>
      </c>
      <c r="B1596" t="s">
        <v>39</v>
      </c>
      <c r="C1596" t="s">
        <v>332</v>
      </c>
      <c r="D1596" t="s">
        <v>174</v>
      </c>
      <c r="E1596" t="s">
        <v>272</v>
      </c>
      <c r="F1596" t="s">
        <v>343</v>
      </c>
      <c r="G1596" t="s">
        <v>223</v>
      </c>
      <c r="I1596" t="s">
        <v>229</v>
      </c>
      <c r="K1596" t="s">
        <v>244</v>
      </c>
      <c r="M1596" t="s">
        <v>47</v>
      </c>
      <c r="N1596" s="1" t="e">
        <f t="shared" si="348"/>
        <v>#VALUE!</v>
      </c>
      <c r="O1596" s="1" t="e">
        <f t="shared" si="349"/>
        <v>#VALUE!</v>
      </c>
      <c r="P1596" s="1" t="e">
        <f t="shared" si="350"/>
        <v>#VALUE!</v>
      </c>
      <c r="Q1596" s="1" t="e">
        <f t="shared" si="351"/>
        <v>#VALUE!</v>
      </c>
      <c r="R1596" s="1" t="e">
        <f t="shared" si="352"/>
        <v>#VALUE!</v>
      </c>
      <c r="S1596" s="1" t="e">
        <f t="shared" si="353"/>
        <v>#VALUE!</v>
      </c>
      <c r="T1596" s="1" t="e">
        <f t="shared" si="354"/>
        <v>#VALUE!</v>
      </c>
      <c r="U1596" s="26" t="e">
        <f t="shared" si="355"/>
        <v>#VALUE!</v>
      </c>
      <c r="V1596" s="26" t="e">
        <f t="shared" si="356"/>
        <v>#VALUE!</v>
      </c>
      <c r="W1596" s="1" t="e">
        <f t="shared" si="357"/>
        <v>#VALUE!</v>
      </c>
      <c r="X1596" s="26" t="e">
        <f t="shared" si="358"/>
        <v>#VALUE!</v>
      </c>
      <c r="Y1596" s="26" t="e">
        <f t="shared" si="359"/>
        <v>#VALUE!</v>
      </c>
      <c r="Z1596" s="1" t="e">
        <f t="shared" si="360"/>
        <v>#VALUE!</v>
      </c>
      <c r="AA1596"/>
      <c r="AB1596"/>
    </row>
    <row r="1597" spans="1:28" x14ac:dyDescent="0.55000000000000004">
      <c r="A1597" s="1">
        <f t="shared" si="347"/>
        <v>1597</v>
      </c>
      <c r="B1597" t="s">
        <v>39</v>
      </c>
      <c r="C1597" t="s">
        <v>332</v>
      </c>
      <c r="D1597" t="s">
        <v>174</v>
      </c>
      <c r="E1597" t="s">
        <v>272</v>
      </c>
      <c r="F1597" t="s">
        <v>343</v>
      </c>
      <c r="G1597" t="s">
        <v>220</v>
      </c>
      <c r="I1597" t="s">
        <v>234</v>
      </c>
      <c r="K1597" t="s">
        <v>240</v>
      </c>
      <c r="M1597" t="s">
        <v>47</v>
      </c>
      <c r="N1597" s="1" t="e">
        <f t="shared" si="348"/>
        <v>#VALUE!</v>
      </c>
      <c r="O1597" s="1" t="e">
        <f t="shared" si="349"/>
        <v>#VALUE!</v>
      </c>
      <c r="P1597" s="1" t="e">
        <f t="shared" si="350"/>
        <v>#VALUE!</v>
      </c>
      <c r="Q1597" s="1" t="e">
        <f t="shared" si="351"/>
        <v>#VALUE!</v>
      </c>
      <c r="R1597" s="1" t="e">
        <f t="shared" si="352"/>
        <v>#VALUE!</v>
      </c>
      <c r="S1597" s="1" t="e">
        <f t="shared" si="353"/>
        <v>#VALUE!</v>
      </c>
      <c r="T1597" s="1" t="e">
        <f t="shared" si="354"/>
        <v>#VALUE!</v>
      </c>
      <c r="U1597" s="26" t="e">
        <f t="shared" si="355"/>
        <v>#VALUE!</v>
      </c>
      <c r="V1597" s="26" t="e">
        <f t="shared" si="356"/>
        <v>#VALUE!</v>
      </c>
      <c r="W1597" s="1" t="e">
        <f t="shared" si="357"/>
        <v>#VALUE!</v>
      </c>
      <c r="X1597" s="26" t="e">
        <f t="shared" si="358"/>
        <v>#VALUE!</v>
      </c>
      <c r="Y1597" s="26" t="e">
        <f t="shared" si="359"/>
        <v>#VALUE!</v>
      </c>
      <c r="Z1597" s="1" t="e">
        <f t="shared" si="360"/>
        <v>#VALUE!</v>
      </c>
      <c r="AA1597"/>
      <c r="AB1597"/>
    </row>
    <row r="1598" spans="1:28" x14ac:dyDescent="0.55000000000000004">
      <c r="A1598" s="1">
        <f t="shared" si="347"/>
        <v>1598</v>
      </c>
      <c r="B1598" t="s">
        <v>31</v>
      </c>
      <c r="C1598" t="s">
        <v>84</v>
      </c>
      <c r="D1598" t="s">
        <v>133</v>
      </c>
      <c r="E1598" t="s">
        <v>159</v>
      </c>
      <c r="G1598" t="s">
        <v>139</v>
      </c>
      <c r="I1598" t="s">
        <v>145</v>
      </c>
      <c r="K1598" t="s">
        <v>143</v>
      </c>
      <c r="M1598" t="s">
        <v>47</v>
      </c>
      <c r="N1598" s="1" t="e">
        <f t="shared" si="348"/>
        <v>#VALUE!</v>
      </c>
      <c r="O1598" s="1" t="e">
        <f t="shared" si="349"/>
        <v>#VALUE!</v>
      </c>
      <c r="P1598" s="1" t="e">
        <f t="shared" si="350"/>
        <v>#VALUE!</v>
      </c>
      <c r="Q1598" s="1" t="e">
        <f t="shared" si="351"/>
        <v>#VALUE!</v>
      </c>
      <c r="R1598" s="1" t="e">
        <f t="shared" si="352"/>
        <v>#VALUE!</v>
      </c>
      <c r="S1598" s="1" t="e">
        <f t="shared" si="353"/>
        <v>#VALUE!</v>
      </c>
      <c r="T1598" s="1" t="e">
        <f t="shared" si="354"/>
        <v>#VALUE!</v>
      </c>
      <c r="U1598" s="26" t="e">
        <f t="shared" si="355"/>
        <v>#VALUE!</v>
      </c>
      <c r="V1598" s="26" t="e">
        <f t="shared" si="356"/>
        <v>#VALUE!</v>
      </c>
      <c r="W1598" s="1" t="e">
        <f t="shared" si="357"/>
        <v>#VALUE!</v>
      </c>
      <c r="X1598" s="26" t="e">
        <f t="shared" si="358"/>
        <v>#VALUE!</v>
      </c>
      <c r="Y1598" s="26" t="e">
        <f t="shared" si="359"/>
        <v>#VALUE!</v>
      </c>
      <c r="Z1598" s="1" t="e">
        <f t="shared" si="360"/>
        <v>#VALUE!</v>
      </c>
      <c r="AA1598"/>
      <c r="AB1598"/>
    </row>
    <row r="1599" spans="1:28" x14ac:dyDescent="0.55000000000000004">
      <c r="A1599" s="1">
        <f t="shared" si="347"/>
        <v>1599</v>
      </c>
      <c r="B1599" t="s">
        <v>31</v>
      </c>
      <c r="C1599" t="s">
        <v>84</v>
      </c>
      <c r="D1599" t="s">
        <v>133</v>
      </c>
      <c r="E1599" t="s">
        <v>159</v>
      </c>
      <c r="G1599" t="s">
        <v>150</v>
      </c>
      <c r="I1599" t="s">
        <v>141</v>
      </c>
      <c r="K1599" t="s">
        <v>152</v>
      </c>
      <c r="M1599" t="s">
        <v>47</v>
      </c>
      <c r="N1599" s="1" t="e">
        <f t="shared" si="348"/>
        <v>#VALUE!</v>
      </c>
      <c r="O1599" s="1" t="e">
        <f t="shared" si="349"/>
        <v>#VALUE!</v>
      </c>
      <c r="P1599" s="1" t="e">
        <f t="shared" si="350"/>
        <v>#VALUE!</v>
      </c>
      <c r="Q1599" s="1" t="e">
        <f t="shared" si="351"/>
        <v>#VALUE!</v>
      </c>
      <c r="R1599" s="1" t="e">
        <f t="shared" si="352"/>
        <v>#VALUE!</v>
      </c>
      <c r="S1599" s="1" t="e">
        <f t="shared" si="353"/>
        <v>#VALUE!</v>
      </c>
      <c r="T1599" s="1" t="e">
        <f t="shared" si="354"/>
        <v>#VALUE!</v>
      </c>
      <c r="U1599" s="26" t="e">
        <f t="shared" si="355"/>
        <v>#VALUE!</v>
      </c>
      <c r="V1599" s="26" t="e">
        <f t="shared" si="356"/>
        <v>#VALUE!</v>
      </c>
      <c r="W1599" s="1" t="e">
        <f t="shared" si="357"/>
        <v>#VALUE!</v>
      </c>
      <c r="X1599" s="26" t="e">
        <f t="shared" si="358"/>
        <v>#VALUE!</v>
      </c>
      <c r="Y1599" s="26" t="e">
        <f t="shared" si="359"/>
        <v>#VALUE!</v>
      </c>
      <c r="Z1599" s="1" t="e">
        <f t="shared" si="360"/>
        <v>#VALUE!</v>
      </c>
      <c r="AA1599"/>
      <c r="AB1599"/>
    </row>
    <row r="1600" spans="1:28" x14ac:dyDescent="0.55000000000000004">
      <c r="A1600" s="1">
        <f t="shared" si="347"/>
        <v>1600</v>
      </c>
      <c r="B1600" t="s">
        <v>31</v>
      </c>
      <c r="C1600" t="s">
        <v>84</v>
      </c>
      <c r="D1600" t="s">
        <v>133</v>
      </c>
      <c r="E1600" t="s">
        <v>159</v>
      </c>
      <c r="G1600" t="s">
        <v>136</v>
      </c>
      <c r="I1600" t="s">
        <v>151</v>
      </c>
      <c r="K1600" t="s">
        <v>158</v>
      </c>
      <c r="M1600" t="s">
        <v>47</v>
      </c>
      <c r="N1600" s="1" t="e">
        <f t="shared" si="348"/>
        <v>#VALUE!</v>
      </c>
      <c r="O1600" s="1" t="e">
        <f t="shared" si="349"/>
        <v>#VALUE!</v>
      </c>
      <c r="P1600" s="1" t="e">
        <f t="shared" si="350"/>
        <v>#VALUE!</v>
      </c>
      <c r="Q1600" s="1" t="e">
        <f t="shared" si="351"/>
        <v>#VALUE!</v>
      </c>
      <c r="R1600" s="1" t="e">
        <f t="shared" si="352"/>
        <v>#VALUE!</v>
      </c>
      <c r="S1600" s="1" t="e">
        <f t="shared" si="353"/>
        <v>#VALUE!</v>
      </c>
      <c r="T1600" s="1" t="e">
        <f t="shared" si="354"/>
        <v>#VALUE!</v>
      </c>
      <c r="U1600" s="26" t="e">
        <f t="shared" si="355"/>
        <v>#VALUE!</v>
      </c>
      <c r="V1600" s="26" t="e">
        <f t="shared" si="356"/>
        <v>#VALUE!</v>
      </c>
      <c r="W1600" s="1" t="e">
        <f t="shared" si="357"/>
        <v>#VALUE!</v>
      </c>
      <c r="X1600" s="26" t="e">
        <f t="shared" si="358"/>
        <v>#VALUE!</v>
      </c>
      <c r="Y1600" s="26" t="e">
        <f t="shared" si="359"/>
        <v>#VALUE!</v>
      </c>
      <c r="Z1600" s="1" t="e">
        <f t="shared" si="360"/>
        <v>#VALUE!</v>
      </c>
      <c r="AA1600"/>
      <c r="AB1600"/>
    </row>
    <row r="1601" spans="1:28" x14ac:dyDescent="0.55000000000000004">
      <c r="A1601" s="1">
        <f t="shared" si="347"/>
        <v>1601</v>
      </c>
      <c r="B1601" t="s">
        <v>31</v>
      </c>
      <c r="C1601" t="s">
        <v>84</v>
      </c>
      <c r="D1601" t="s">
        <v>133</v>
      </c>
      <c r="E1601" t="s">
        <v>159</v>
      </c>
      <c r="G1601" t="s">
        <v>138</v>
      </c>
      <c r="I1601" t="s">
        <v>147</v>
      </c>
      <c r="K1601" t="s">
        <v>140</v>
      </c>
      <c r="M1601" t="s">
        <v>47</v>
      </c>
      <c r="N1601" s="1" t="e">
        <f t="shared" si="348"/>
        <v>#VALUE!</v>
      </c>
      <c r="O1601" s="1" t="e">
        <f t="shared" si="349"/>
        <v>#VALUE!</v>
      </c>
      <c r="P1601" s="1" t="e">
        <f t="shared" si="350"/>
        <v>#VALUE!</v>
      </c>
      <c r="Q1601" s="1" t="e">
        <f t="shared" si="351"/>
        <v>#VALUE!</v>
      </c>
      <c r="R1601" s="1" t="e">
        <f t="shared" si="352"/>
        <v>#VALUE!</v>
      </c>
      <c r="S1601" s="1" t="e">
        <f t="shared" si="353"/>
        <v>#VALUE!</v>
      </c>
      <c r="T1601" s="1" t="e">
        <f t="shared" si="354"/>
        <v>#VALUE!</v>
      </c>
      <c r="U1601" s="26" t="e">
        <f t="shared" si="355"/>
        <v>#VALUE!</v>
      </c>
      <c r="V1601" s="26" t="e">
        <f t="shared" si="356"/>
        <v>#VALUE!</v>
      </c>
      <c r="W1601" s="1" t="e">
        <f t="shared" si="357"/>
        <v>#VALUE!</v>
      </c>
      <c r="X1601" s="26" t="e">
        <f t="shared" si="358"/>
        <v>#VALUE!</v>
      </c>
      <c r="Y1601" s="26" t="e">
        <f t="shared" si="359"/>
        <v>#VALUE!</v>
      </c>
      <c r="Z1601" s="1" t="e">
        <f t="shared" si="360"/>
        <v>#VALUE!</v>
      </c>
      <c r="AA1601"/>
      <c r="AB1601"/>
    </row>
    <row r="1602" spans="1:28" x14ac:dyDescent="0.55000000000000004">
      <c r="A1602" s="1">
        <f t="shared" si="347"/>
        <v>1602</v>
      </c>
      <c r="B1602" t="s">
        <v>31</v>
      </c>
      <c r="C1602" t="s">
        <v>84</v>
      </c>
      <c r="D1602" t="s">
        <v>133</v>
      </c>
      <c r="E1602" t="s">
        <v>159</v>
      </c>
      <c r="G1602" t="s">
        <v>142</v>
      </c>
      <c r="I1602" t="s">
        <v>148</v>
      </c>
      <c r="K1602" t="s">
        <v>160</v>
      </c>
      <c r="M1602" t="s">
        <v>47</v>
      </c>
      <c r="N1602" s="1" t="e">
        <f t="shared" si="348"/>
        <v>#VALUE!</v>
      </c>
      <c r="O1602" s="1" t="e">
        <f t="shared" si="349"/>
        <v>#VALUE!</v>
      </c>
      <c r="P1602" s="1" t="e">
        <f t="shared" si="350"/>
        <v>#VALUE!</v>
      </c>
      <c r="Q1602" s="1" t="e">
        <f t="shared" si="351"/>
        <v>#VALUE!</v>
      </c>
      <c r="R1602" s="1" t="e">
        <f t="shared" si="352"/>
        <v>#VALUE!</v>
      </c>
      <c r="S1602" s="1" t="e">
        <f t="shared" si="353"/>
        <v>#VALUE!</v>
      </c>
      <c r="T1602" s="1" t="e">
        <f t="shared" si="354"/>
        <v>#VALUE!</v>
      </c>
      <c r="U1602" s="26" t="e">
        <f t="shared" si="355"/>
        <v>#VALUE!</v>
      </c>
      <c r="V1602" s="26" t="e">
        <f t="shared" si="356"/>
        <v>#VALUE!</v>
      </c>
      <c r="W1602" s="1" t="e">
        <f t="shared" si="357"/>
        <v>#VALUE!</v>
      </c>
      <c r="X1602" s="26" t="e">
        <f t="shared" si="358"/>
        <v>#VALUE!</v>
      </c>
      <c r="Y1602" s="26" t="e">
        <f t="shared" si="359"/>
        <v>#VALUE!</v>
      </c>
      <c r="Z1602" s="1" t="e">
        <f t="shared" si="360"/>
        <v>#VALUE!</v>
      </c>
      <c r="AA1602"/>
      <c r="AB1602"/>
    </row>
    <row r="1603" spans="1:28" x14ac:dyDescent="0.55000000000000004">
      <c r="A1603" s="1">
        <f t="shared" ref="A1603:A1666" si="361">A1602+1</f>
        <v>1603</v>
      </c>
      <c r="B1603" t="s">
        <v>31</v>
      </c>
      <c r="C1603" t="s">
        <v>84</v>
      </c>
      <c r="D1603" t="s">
        <v>133</v>
      </c>
      <c r="E1603" t="s">
        <v>159</v>
      </c>
      <c r="G1603" t="s">
        <v>135</v>
      </c>
      <c r="I1603" t="s">
        <v>144</v>
      </c>
      <c r="K1603" t="s">
        <v>137</v>
      </c>
      <c r="M1603" t="s">
        <v>47</v>
      </c>
      <c r="N1603" s="1" t="e">
        <f t="shared" ref="N1603:N1666" si="362">VALUE(LEFT(H1603,1))</f>
        <v>#VALUE!</v>
      </c>
      <c r="O1603" s="1" t="e">
        <f t="shared" ref="O1603:O1666" si="363">VALUE(RIGHT(H1603,1))</f>
        <v>#VALUE!</v>
      </c>
      <c r="P1603" s="1" t="e">
        <f t="shared" ref="P1603:P1666" si="364">SUM(N1603,O1603)</f>
        <v>#VALUE!</v>
      </c>
      <c r="Q1603" s="1" t="e">
        <f t="shared" ref="Q1603:Q1666" si="365">IF(N1603&lt;&gt;O1603, 1, 0)</f>
        <v>#VALUE!</v>
      </c>
      <c r="R1603" s="1" t="e">
        <f t="shared" ref="R1603:R1666" si="366">IF(P1603&lt;=4,1,0)</f>
        <v>#VALUE!</v>
      </c>
      <c r="S1603" s="1" t="e">
        <f t="shared" ref="S1603:S1666" si="367">IF(AND(Q1603=1,R1603=1),1,0)</f>
        <v>#VALUE!</v>
      </c>
      <c r="T1603" s="1" t="e">
        <f t="shared" ref="T1603:T1666" si="368">IF(N1603&lt;=2,1,0)</f>
        <v>#VALUE!</v>
      </c>
      <c r="U1603" s="26" t="e">
        <f t="shared" ref="U1603:U1666" si="369">IF(AND(N1603&gt;=1,N1603&lt;=3),1,0)</f>
        <v>#VALUE!</v>
      </c>
      <c r="V1603" s="26" t="e">
        <f t="shared" ref="V1603:V1666" si="370">IF(AND(N1603&gt;=2,N1603&lt;=5),1,0)</f>
        <v>#VALUE!</v>
      </c>
      <c r="W1603" s="1" t="e">
        <f t="shared" ref="W1603:W1666" si="371">IF(O1603&lt;=2,1,0)</f>
        <v>#VALUE!</v>
      </c>
      <c r="X1603" s="26" t="e">
        <f t="shared" ref="X1603:X1666" si="372">IF(AND(O1603&gt;=1,O1603&lt;=3),1,0)</f>
        <v>#VALUE!</v>
      </c>
      <c r="Y1603" s="26" t="e">
        <f t="shared" ref="Y1603:Y1666" si="373">IF(AND(O1603&gt;=2,O1603&lt;=5),1,0)</f>
        <v>#VALUE!</v>
      </c>
      <c r="Z1603" s="1" t="e">
        <f t="shared" ref="Z1603:Z1666" si="374">IF(P1603&gt;=2,1,0)</f>
        <v>#VALUE!</v>
      </c>
      <c r="AA1603"/>
      <c r="AB1603"/>
    </row>
    <row r="1604" spans="1:28" x14ac:dyDescent="0.55000000000000004">
      <c r="A1604" s="1">
        <f t="shared" si="361"/>
        <v>1604</v>
      </c>
      <c r="B1604" t="s">
        <v>30</v>
      </c>
      <c r="C1604" t="s">
        <v>194</v>
      </c>
      <c r="D1604" t="s">
        <v>133</v>
      </c>
      <c r="E1604" t="s">
        <v>159</v>
      </c>
      <c r="F1604" t="s">
        <v>346</v>
      </c>
      <c r="G1604" t="s">
        <v>63</v>
      </c>
      <c r="I1604" t="s">
        <v>51</v>
      </c>
      <c r="K1604" t="s">
        <v>65</v>
      </c>
      <c r="M1604" t="s">
        <v>47</v>
      </c>
      <c r="N1604" s="1" t="e">
        <f t="shared" si="362"/>
        <v>#VALUE!</v>
      </c>
      <c r="O1604" s="1" t="e">
        <f t="shared" si="363"/>
        <v>#VALUE!</v>
      </c>
      <c r="P1604" s="1" t="e">
        <f t="shared" si="364"/>
        <v>#VALUE!</v>
      </c>
      <c r="Q1604" s="1" t="e">
        <f t="shared" si="365"/>
        <v>#VALUE!</v>
      </c>
      <c r="R1604" s="1" t="e">
        <f t="shared" si="366"/>
        <v>#VALUE!</v>
      </c>
      <c r="S1604" s="1" t="e">
        <f t="shared" si="367"/>
        <v>#VALUE!</v>
      </c>
      <c r="T1604" s="1" t="e">
        <f t="shared" si="368"/>
        <v>#VALUE!</v>
      </c>
      <c r="U1604" s="26" t="e">
        <f t="shared" si="369"/>
        <v>#VALUE!</v>
      </c>
      <c r="V1604" s="26" t="e">
        <f t="shared" si="370"/>
        <v>#VALUE!</v>
      </c>
      <c r="W1604" s="1" t="e">
        <f t="shared" si="371"/>
        <v>#VALUE!</v>
      </c>
      <c r="X1604" s="26" t="e">
        <f t="shared" si="372"/>
        <v>#VALUE!</v>
      </c>
      <c r="Y1604" s="26" t="e">
        <f t="shared" si="373"/>
        <v>#VALUE!</v>
      </c>
      <c r="Z1604" s="1" t="e">
        <f t="shared" si="374"/>
        <v>#VALUE!</v>
      </c>
      <c r="AA1604"/>
      <c r="AB1604"/>
    </row>
    <row r="1605" spans="1:28" x14ac:dyDescent="0.55000000000000004">
      <c r="A1605" s="1">
        <f t="shared" si="361"/>
        <v>1605</v>
      </c>
      <c r="B1605" t="s">
        <v>30</v>
      </c>
      <c r="C1605" t="s">
        <v>194</v>
      </c>
      <c r="D1605" t="s">
        <v>133</v>
      </c>
      <c r="E1605" t="s">
        <v>159</v>
      </c>
      <c r="F1605" t="s">
        <v>350</v>
      </c>
      <c r="G1605" t="s">
        <v>61</v>
      </c>
      <c r="I1605" t="s">
        <v>48</v>
      </c>
      <c r="K1605" t="s">
        <v>62</v>
      </c>
      <c r="M1605" t="s">
        <v>47</v>
      </c>
      <c r="N1605" s="1" t="e">
        <f t="shared" si="362"/>
        <v>#VALUE!</v>
      </c>
      <c r="O1605" s="1" t="e">
        <f t="shared" si="363"/>
        <v>#VALUE!</v>
      </c>
      <c r="P1605" s="1" t="e">
        <f t="shared" si="364"/>
        <v>#VALUE!</v>
      </c>
      <c r="Q1605" s="1" t="e">
        <f t="shared" si="365"/>
        <v>#VALUE!</v>
      </c>
      <c r="R1605" s="1" t="e">
        <f t="shared" si="366"/>
        <v>#VALUE!</v>
      </c>
      <c r="S1605" s="1" t="e">
        <f t="shared" si="367"/>
        <v>#VALUE!</v>
      </c>
      <c r="T1605" s="1" t="e">
        <f t="shared" si="368"/>
        <v>#VALUE!</v>
      </c>
      <c r="U1605" s="26" t="e">
        <f t="shared" si="369"/>
        <v>#VALUE!</v>
      </c>
      <c r="V1605" s="26" t="e">
        <f t="shared" si="370"/>
        <v>#VALUE!</v>
      </c>
      <c r="W1605" s="1" t="e">
        <f t="shared" si="371"/>
        <v>#VALUE!</v>
      </c>
      <c r="X1605" s="26" t="e">
        <f t="shared" si="372"/>
        <v>#VALUE!</v>
      </c>
      <c r="Y1605" s="26" t="e">
        <f t="shared" si="373"/>
        <v>#VALUE!</v>
      </c>
      <c r="Z1605" s="1" t="e">
        <f t="shared" si="374"/>
        <v>#VALUE!</v>
      </c>
      <c r="AA1605"/>
      <c r="AB1605"/>
    </row>
    <row r="1606" spans="1:28" x14ac:dyDescent="0.55000000000000004">
      <c r="A1606" s="1">
        <f t="shared" si="361"/>
        <v>1606</v>
      </c>
      <c r="B1606" t="s">
        <v>30</v>
      </c>
      <c r="C1606" t="s">
        <v>194</v>
      </c>
      <c r="D1606" t="s">
        <v>133</v>
      </c>
      <c r="E1606" t="s">
        <v>159</v>
      </c>
      <c r="F1606" t="s">
        <v>347</v>
      </c>
      <c r="G1606" t="s">
        <v>55</v>
      </c>
      <c r="I1606" t="s">
        <v>44</v>
      </c>
      <c r="K1606" t="s">
        <v>75</v>
      </c>
      <c r="M1606" t="s">
        <v>47</v>
      </c>
      <c r="N1606" s="1" t="e">
        <f t="shared" si="362"/>
        <v>#VALUE!</v>
      </c>
      <c r="O1606" s="1" t="e">
        <f t="shared" si="363"/>
        <v>#VALUE!</v>
      </c>
      <c r="P1606" s="1" t="e">
        <f t="shared" si="364"/>
        <v>#VALUE!</v>
      </c>
      <c r="Q1606" s="1" t="e">
        <f t="shared" si="365"/>
        <v>#VALUE!</v>
      </c>
      <c r="R1606" s="1" t="e">
        <f t="shared" si="366"/>
        <v>#VALUE!</v>
      </c>
      <c r="S1606" s="1" t="e">
        <f t="shared" si="367"/>
        <v>#VALUE!</v>
      </c>
      <c r="T1606" s="1" t="e">
        <f t="shared" si="368"/>
        <v>#VALUE!</v>
      </c>
      <c r="U1606" s="26" t="e">
        <f t="shared" si="369"/>
        <v>#VALUE!</v>
      </c>
      <c r="V1606" s="26" t="e">
        <f t="shared" si="370"/>
        <v>#VALUE!</v>
      </c>
      <c r="W1606" s="1" t="e">
        <f t="shared" si="371"/>
        <v>#VALUE!</v>
      </c>
      <c r="X1606" s="26" t="e">
        <f t="shared" si="372"/>
        <v>#VALUE!</v>
      </c>
      <c r="Y1606" s="26" t="e">
        <f t="shared" si="373"/>
        <v>#VALUE!</v>
      </c>
      <c r="Z1606" s="1" t="e">
        <f t="shared" si="374"/>
        <v>#VALUE!</v>
      </c>
      <c r="AA1606"/>
      <c r="AB1606"/>
    </row>
    <row r="1607" spans="1:28" x14ac:dyDescent="0.55000000000000004">
      <c r="A1607" s="1">
        <f t="shared" si="361"/>
        <v>1607</v>
      </c>
      <c r="B1607" t="s">
        <v>33</v>
      </c>
      <c r="C1607" t="s">
        <v>76</v>
      </c>
      <c r="D1607" t="s">
        <v>133</v>
      </c>
      <c r="E1607" t="s">
        <v>159</v>
      </c>
      <c r="F1607" t="s">
        <v>277</v>
      </c>
      <c r="G1607" t="s">
        <v>367</v>
      </c>
      <c r="I1607" t="s">
        <v>299</v>
      </c>
      <c r="K1607" t="s">
        <v>368</v>
      </c>
      <c r="M1607" t="s">
        <v>47</v>
      </c>
      <c r="N1607" s="1" t="e">
        <f t="shared" si="362"/>
        <v>#VALUE!</v>
      </c>
      <c r="O1607" s="1" t="e">
        <f t="shared" si="363"/>
        <v>#VALUE!</v>
      </c>
      <c r="P1607" s="1" t="e">
        <f t="shared" si="364"/>
        <v>#VALUE!</v>
      </c>
      <c r="Q1607" s="1" t="e">
        <f t="shared" si="365"/>
        <v>#VALUE!</v>
      </c>
      <c r="R1607" s="1" t="e">
        <f t="shared" si="366"/>
        <v>#VALUE!</v>
      </c>
      <c r="S1607" s="1" t="e">
        <f t="shared" si="367"/>
        <v>#VALUE!</v>
      </c>
      <c r="T1607" s="1" t="e">
        <f t="shared" si="368"/>
        <v>#VALUE!</v>
      </c>
      <c r="U1607" s="26" t="e">
        <f t="shared" si="369"/>
        <v>#VALUE!</v>
      </c>
      <c r="V1607" s="26" t="e">
        <f t="shared" si="370"/>
        <v>#VALUE!</v>
      </c>
      <c r="W1607" s="1" t="e">
        <f t="shared" si="371"/>
        <v>#VALUE!</v>
      </c>
      <c r="X1607" s="26" t="e">
        <f t="shared" si="372"/>
        <v>#VALUE!</v>
      </c>
      <c r="Y1607" s="26" t="e">
        <f t="shared" si="373"/>
        <v>#VALUE!</v>
      </c>
      <c r="Z1607" s="1" t="e">
        <f t="shared" si="374"/>
        <v>#VALUE!</v>
      </c>
      <c r="AA1607"/>
      <c r="AB1607"/>
    </row>
    <row r="1608" spans="1:28" x14ac:dyDescent="0.55000000000000004">
      <c r="A1608" s="1">
        <f t="shared" si="361"/>
        <v>1608</v>
      </c>
      <c r="B1608" t="s">
        <v>33</v>
      </c>
      <c r="C1608" t="s">
        <v>76</v>
      </c>
      <c r="D1608" t="s">
        <v>133</v>
      </c>
      <c r="E1608" t="s">
        <v>159</v>
      </c>
      <c r="F1608" t="s">
        <v>277</v>
      </c>
      <c r="G1608" t="s">
        <v>360</v>
      </c>
      <c r="I1608" t="s">
        <v>365</v>
      </c>
      <c r="K1608" t="s">
        <v>371</v>
      </c>
      <c r="M1608" t="s">
        <v>47</v>
      </c>
      <c r="N1608" s="1" t="e">
        <f t="shared" si="362"/>
        <v>#VALUE!</v>
      </c>
      <c r="O1608" s="1" t="e">
        <f t="shared" si="363"/>
        <v>#VALUE!</v>
      </c>
      <c r="P1608" s="1" t="e">
        <f t="shared" si="364"/>
        <v>#VALUE!</v>
      </c>
      <c r="Q1608" s="1" t="e">
        <f t="shared" si="365"/>
        <v>#VALUE!</v>
      </c>
      <c r="R1608" s="1" t="e">
        <f t="shared" si="366"/>
        <v>#VALUE!</v>
      </c>
      <c r="S1608" s="1" t="e">
        <f t="shared" si="367"/>
        <v>#VALUE!</v>
      </c>
      <c r="T1608" s="1" t="e">
        <f t="shared" si="368"/>
        <v>#VALUE!</v>
      </c>
      <c r="U1608" s="26" t="e">
        <f t="shared" si="369"/>
        <v>#VALUE!</v>
      </c>
      <c r="V1608" s="26" t="e">
        <f t="shared" si="370"/>
        <v>#VALUE!</v>
      </c>
      <c r="W1608" s="1" t="e">
        <f t="shared" si="371"/>
        <v>#VALUE!</v>
      </c>
      <c r="X1608" s="26" t="e">
        <f t="shared" si="372"/>
        <v>#VALUE!</v>
      </c>
      <c r="Y1608" s="26" t="e">
        <f t="shared" si="373"/>
        <v>#VALUE!</v>
      </c>
      <c r="Z1608" s="1" t="e">
        <f t="shared" si="374"/>
        <v>#VALUE!</v>
      </c>
      <c r="AA1608"/>
      <c r="AB1608"/>
    </row>
    <row r="1609" spans="1:28" x14ac:dyDescent="0.55000000000000004">
      <c r="A1609" s="1">
        <f t="shared" si="361"/>
        <v>1609</v>
      </c>
      <c r="B1609" t="s">
        <v>33</v>
      </c>
      <c r="C1609" t="s">
        <v>76</v>
      </c>
      <c r="D1609" t="s">
        <v>133</v>
      </c>
      <c r="E1609" t="s">
        <v>159</v>
      </c>
      <c r="F1609" t="s">
        <v>290</v>
      </c>
      <c r="G1609" t="s">
        <v>285</v>
      </c>
      <c r="I1609" t="s">
        <v>281</v>
      </c>
      <c r="K1609" t="s">
        <v>359</v>
      </c>
      <c r="M1609" t="s">
        <v>47</v>
      </c>
      <c r="N1609" s="1" t="e">
        <f t="shared" si="362"/>
        <v>#VALUE!</v>
      </c>
      <c r="O1609" s="1" t="e">
        <f t="shared" si="363"/>
        <v>#VALUE!</v>
      </c>
      <c r="P1609" s="1" t="e">
        <f t="shared" si="364"/>
        <v>#VALUE!</v>
      </c>
      <c r="Q1609" s="1" t="e">
        <f t="shared" si="365"/>
        <v>#VALUE!</v>
      </c>
      <c r="R1609" s="1" t="e">
        <f t="shared" si="366"/>
        <v>#VALUE!</v>
      </c>
      <c r="S1609" s="1" t="e">
        <f t="shared" si="367"/>
        <v>#VALUE!</v>
      </c>
      <c r="T1609" s="1" t="e">
        <f t="shared" si="368"/>
        <v>#VALUE!</v>
      </c>
      <c r="U1609" s="26" t="e">
        <f t="shared" si="369"/>
        <v>#VALUE!</v>
      </c>
      <c r="V1609" s="26" t="e">
        <f t="shared" si="370"/>
        <v>#VALUE!</v>
      </c>
      <c r="W1609" s="1" t="e">
        <f t="shared" si="371"/>
        <v>#VALUE!</v>
      </c>
      <c r="X1609" s="26" t="e">
        <f t="shared" si="372"/>
        <v>#VALUE!</v>
      </c>
      <c r="Y1609" s="26" t="e">
        <f t="shared" si="373"/>
        <v>#VALUE!</v>
      </c>
      <c r="Z1609" s="1" t="e">
        <f t="shared" si="374"/>
        <v>#VALUE!</v>
      </c>
      <c r="AA1609"/>
      <c r="AB1609"/>
    </row>
    <row r="1610" spans="1:28" x14ac:dyDescent="0.55000000000000004">
      <c r="A1610" s="1">
        <f t="shared" si="361"/>
        <v>1610</v>
      </c>
      <c r="B1610" t="s">
        <v>39</v>
      </c>
      <c r="C1610" t="s">
        <v>332</v>
      </c>
      <c r="D1610" t="s">
        <v>133</v>
      </c>
      <c r="E1610" t="s">
        <v>159</v>
      </c>
      <c r="F1610" t="s">
        <v>342</v>
      </c>
      <c r="G1610" t="s">
        <v>228</v>
      </c>
      <c r="I1610" t="s">
        <v>219</v>
      </c>
      <c r="K1610" t="s">
        <v>230</v>
      </c>
      <c r="M1610" t="s">
        <v>47</v>
      </c>
      <c r="N1610" s="1" t="e">
        <f t="shared" si="362"/>
        <v>#VALUE!</v>
      </c>
      <c r="O1610" s="1" t="e">
        <f t="shared" si="363"/>
        <v>#VALUE!</v>
      </c>
      <c r="P1610" s="1" t="e">
        <f t="shared" si="364"/>
        <v>#VALUE!</v>
      </c>
      <c r="Q1610" s="1" t="e">
        <f t="shared" si="365"/>
        <v>#VALUE!</v>
      </c>
      <c r="R1610" s="1" t="e">
        <f t="shared" si="366"/>
        <v>#VALUE!</v>
      </c>
      <c r="S1610" s="1" t="e">
        <f t="shared" si="367"/>
        <v>#VALUE!</v>
      </c>
      <c r="T1610" s="1" t="e">
        <f t="shared" si="368"/>
        <v>#VALUE!</v>
      </c>
      <c r="U1610" s="26" t="e">
        <f t="shared" si="369"/>
        <v>#VALUE!</v>
      </c>
      <c r="V1610" s="26" t="e">
        <f t="shared" si="370"/>
        <v>#VALUE!</v>
      </c>
      <c r="W1610" s="1" t="e">
        <f t="shared" si="371"/>
        <v>#VALUE!</v>
      </c>
      <c r="X1610" s="26" t="e">
        <f t="shared" si="372"/>
        <v>#VALUE!</v>
      </c>
      <c r="Y1610" s="26" t="e">
        <f t="shared" si="373"/>
        <v>#VALUE!</v>
      </c>
      <c r="Z1610" s="1" t="e">
        <f t="shared" si="374"/>
        <v>#VALUE!</v>
      </c>
      <c r="AA1610"/>
      <c r="AB1610"/>
    </row>
    <row r="1611" spans="1:28" x14ac:dyDescent="0.55000000000000004">
      <c r="A1611" s="1">
        <f t="shared" si="361"/>
        <v>1611</v>
      </c>
      <c r="B1611" t="s">
        <v>39</v>
      </c>
      <c r="C1611" t="s">
        <v>332</v>
      </c>
      <c r="D1611" t="s">
        <v>133</v>
      </c>
      <c r="E1611" t="s">
        <v>159</v>
      </c>
      <c r="F1611" t="s">
        <v>343</v>
      </c>
      <c r="G1611" t="s">
        <v>232</v>
      </c>
      <c r="I1611" t="s">
        <v>235</v>
      </c>
      <c r="K1611" t="s">
        <v>238</v>
      </c>
      <c r="M1611" t="s">
        <v>47</v>
      </c>
      <c r="N1611" s="1" t="e">
        <f t="shared" si="362"/>
        <v>#VALUE!</v>
      </c>
      <c r="O1611" s="1" t="e">
        <f t="shared" si="363"/>
        <v>#VALUE!</v>
      </c>
      <c r="P1611" s="1" t="e">
        <f t="shared" si="364"/>
        <v>#VALUE!</v>
      </c>
      <c r="Q1611" s="1" t="e">
        <f t="shared" si="365"/>
        <v>#VALUE!</v>
      </c>
      <c r="R1611" s="1" t="e">
        <f t="shared" si="366"/>
        <v>#VALUE!</v>
      </c>
      <c r="S1611" s="1" t="e">
        <f t="shared" si="367"/>
        <v>#VALUE!</v>
      </c>
      <c r="T1611" s="1" t="e">
        <f t="shared" si="368"/>
        <v>#VALUE!</v>
      </c>
      <c r="U1611" s="26" t="e">
        <f t="shared" si="369"/>
        <v>#VALUE!</v>
      </c>
      <c r="V1611" s="26" t="e">
        <f t="shared" si="370"/>
        <v>#VALUE!</v>
      </c>
      <c r="W1611" s="1" t="e">
        <f t="shared" si="371"/>
        <v>#VALUE!</v>
      </c>
      <c r="X1611" s="26" t="e">
        <f t="shared" si="372"/>
        <v>#VALUE!</v>
      </c>
      <c r="Y1611" s="26" t="e">
        <f t="shared" si="373"/>
        <v>#VALUE!</v>
      </c>
      <c r="Z1611" s="1" t="e">
        <f t="shared" si="374"/>
        <v>#VALUE!</v>
      </c>
      <c r="AA1611"/>
      <c r="AB1611"/>
    </row>
    <row r="1612" spans="1:28" x14ac:dyDescent="0.55000000000000004">
      <c r="A1612" s="1">
        <f t="shared" si="361"/>
        <v>1612</v>
      </c>
      <c r="B1612" t="s">
        <v>34</v>
      </c>
      <c r="C1612" t="s">
        <v>111</v>
      </c>
      <c r="D1612" t="s">
        <v>42</v>
      </c>
      <c r="E1612" t="s">
        <v>112</v>
      </c>
      <c r="G1612" t="s">
        <v>90</v>
      </c>
      <c r="I1612" t="s">
        <v>95</v>
      </c>
      <c r="K1612" t="s">
        <v>108</v>
      </c>
      <c r="M1612" t="s">
        <v>47</v>
      </c>
      <c r="N1612" s="1" t="e">
        <f t="shared" si="362"/>
        <v>#VALUE!</v>
      </c>
      <c r="O1612" s="1" t="e">
        <f t="shared" si="363"/>
        <v>#VALUE!</v>
      </c>
      <c r="P1612" s="1" t="e">
        <f t="shared" si="364"/>
        <v>#VALUE!</v>
      </c>
      <c r="Q1612" s="1" t="e">
        <f t="shared" si="365"/>
        <v>#VALUE!</v>
      </c>
      <c r="R1612" s="1" t="e">
        <f t="shared" si="366"/>
        <v>#VALUE!</v>
      </c>
      <c r="S1612" s="1" t="e">
        <f t="shared" si="367"/>
        <v>#VALUE!</v>
      </c>
      <c r="T1612" s="1" t="e">
        <f t="shared" si="368"/>
        <v>#VALUE!</v>
      </c>
      <c r="U1612" s="26" t="e">
        <f t="shared" si="369"/>
        <v>#VALUE!</v>
      </c>
      <c r="V1612" s="26" t="e">
        <f t="shared" si="370"/>
        <v>#VALUE!</v>
      </c>
      <c r="W1612" s="1" t="e">
        <f t="shared" si="371"/>
        <v>#VALUE!</v>
      </c>
      <c r="X1612" s="26" t="e">
        <f t="shared" si="372"/>
        <v>#VALUE!</v>
      </c>
      <c r="Y1612" s="26" t="e">
        <f t="shared" si="373"/>
        <v>#VALUE!</v>
      </c>
      <c r="Z1612" s="1" t="e">
        <f t="shared" si="374"/>
        <v>#VALUE!</v>
      </c>
      <c r="AA1612"/>
      <c r="AB1612"/>
    </row>
    <row r="1613" spans="1:28" x14ac:dyDescent="0.55000000000000004">
      <c r="A1613" s="1">
        <f t="shared" si="361"/>
        <v>1613</v>
      </c>
      <c r="B1613" t="s">
        <v>34</v>
      </c>
      <c r="C1613" t="s">
        <v>111</v>
      </c>
      <c r="D1613" t="s">
        <v>42</v>
      </c>
      <c r="E1613" t="s">
        <v>112</v>
      </c>
      <c r="G1613" t="s">
        <v>101</v>
      </c>
      <c r="I1613" t="s">
        <v>99</v>
      </c>
      <c r="K1613" t="s">
        <v>103</v>
      </c>
      <c r="M1613" t="s">
        <v>47</v>
      </c>
      <c r="N1613" s="1" t="e">
        <f t="shared" si="362"/>
        <v>#VALUE!</v>
      </c>
      <c r="O1613" s="1" t="e">
        <f t="shared" si="363"/>
        <v>#VALUE!</v>
      </c>
      <c r="P1613" s="1" t="e">
        <f t="shared" si="364"/>
        <v>#VALUE!</v>
      </c>
      <c r="Q1613" s="1" t="e">
        <f t="shared" si="365"/>
        <v>#VALUE!</v>
      </c>
      <c r="R1613" s="1" t="e">
        <f t="shared" si="366"/>
        <v>#VALUE!</v>
      </c>
      <c r="S1613" s="1" t="e">
        <f t="shared" si="367"/>
        <v>#VALUE!</v>
      </c>
      <c r="T1613" s="1" t="e">
        <f t="shared" si="368"/>
        <v>#VALUE!</v>
      </c>
      <c r="U1613" s="26" t="e">
        <f t="shared" si="369"/>
        <v>#VALUE!</v>
      </c>
      <c r="V1613" s="26" t="e">
        <f t="shared" si="370"/>
        <v>#VALUE!</v>
      </c>
      <c r="W1613" s="1" t="e">
        <f t="shared" si="371"/>
        <v>#VALUE!</v>
      </c>
      <c r="X1613" s="26" t="e">
        <f t="shared" si="372"/>
        <v>#VALUE!</v>
      </c>
      <c r="Y1613" s="26" t="e">
        <f t="shared" si="373"/>
        <v>#VALUE!</v>
      </c>
      <c r="Z1613" s="1" t="e">
        <f t="shared" si="374"/>
        <v>#VALUE!</v>
      </c>
      <c r="AA1613"/>
      <c r="AB1613"/>
    </row>
    <row r="1614" spans="1:28" x14ac:dyDescent="0.55000000000000004">
      <c r="A1614" s="1">
        <f t="shared" si="361"/>
        <v>1614</v>
      </c>
      <c r="B1614" t="s">
        <v>34</v>
      </c>
      <c r="C1614" t="s">
        <v>111</v>
      </c>
      <c r="D1614" t="s">
        <v>42</v>
      </c>
      <c r="E1614" t="s">
        <v>112</v>
      </c>
      <c r="G1614" t="s">
        <v>93</v>
      </c>
      <c r="I1614" t="s">
        <v>96</v>
      </c>
      <c r="K1614" t="s">
        <v>113</v>
      </c>
      <c r="M1614" t="s">
        <v>47</v>
      </c>
      <c r="N1614" s="1" t="e">
        <f t="shared" si="362"/>
        <v>#VALUE!</v>
      </c>
      <c r="O1614" s="1" t="e">
        <f t="shared" si="363"/>
        <v>#VALUE!</v>
      </c>
      <c r="P1614" s="1" t="e">
        <f t="shared" si="364"/>
        <v>#VALUE!</v>
      </c>
      <c r="Q1614" s="1" t="e">
        <f t="shared" si="365"/>
        <v>#VALUE!</v>
      </c>
      <c r="R1614" s="1" t="e">
        <f t="shared" si="366"/>
        <v>#VALUE!</v>
      </c>
      <c r="S1614" s="1" t="e">
        <f t="shared" si="367"/>
        <v>#VALUE!</v>
      </c>
      <c r="T1614" s="1" t="e">
        <f t="shared" si="368"/>
        <v>#VALUE!</v>
      </c>
      <c r="U1614" s="26" t="e">
        <f t="shared" si="369"/>
        <v>#VALUE!</v>
      </c>
      <c r="V1614" s="26" t="e">
        <f t="shared" si="370"/>
        <v>#VALUE!</v>
      </c>
      <c r="W1614" s="1" t="e">
        <f t="shared" si="371"/>
        <v>#VALUE!</v>
      </c>
      <c r="X1614" s="26" t="e">
        <f t="shared" si="372"/>
        <v>#VALUE!</v>
      </c>
      <c r="Y1614" s="26" t="e">
        <f t="shared" si="373"/>
        <v>#VALUE!</v>
      </c>
      <c r="Z1614" s="1" t="e">
        <f t="shared" si="374"/>
        <v>#VALUE!</v>
      </c>
      <c r="AA1614"/>
      <c r="AB1614"/>
    </row>
    <row r="1615" spans="1:28" x14ac:dyDescent="0.55000000000000004">
      <c r="A1615" s="1">
        <f t="shared" si="361"/>
        <v>1615</v>
      </c>
      <c r="B1615" t="s">
        <v>34</v>
      </c>
      <c r="C1615" t="s">
        <v>111</v>
      </c>
      <c r="D1615" t="s">
        <v>42</v>
      </c>
      <c r="E1615" t="s">
        <v>112</v>
      </c>
      <c r="G1615" t="s">
        <v>89</v>
      </c>
      <c r="I1615" t="s">
        <v>86</v>
      </c>
      <c r="K1615" t="s">
        <v>91</v>
      </c>
      <c r="M1615" t="s">
        <v>47</v>
      </c>
      <c r="N1615" s="1" t="e">
        <f t="shared" si="362"/>
        <v>#VALUE!</v>
      </c>
      <c r="O1615" s="1" t="e">
        <f t="shared" si="363"/>
        <v>#VALUE!</v>
      </c>
      <c r="P1615" s="1" t="e">
        <f t="shared" si="364"/>
        <v>#VALUE!</v>
      </c>
      <c r="Q1615" s="1" t="e">
        <f t="shared" si="365"/>
        <v>#VALUE!</v>
      </c>
      <c r="R1615" s="1" t="e">
        <f t="shared" si="366"/>
        <v>#VALUE!</v>
      </c>
      <c r="S1615" s="1" t="e">
        <f t="shared" si="367"/>
        <v>#VALUE!</v>
      </c>
      <c r="T1615" s="1" t="e">
        <f t="shared" si="368"/>
        <v>#VALUE!</v>
      </c>
      <c r="U1615" s="26" t="e">
        <f t="shared" si="369"/>
        <v>#VALUE!</v>
      </c>
      <c r="V1615" s="26" t="e">
        <f t="shared" si="370"/>
        <v>#VALUE!</v>
      </c>
      <c r="W1615" s="1" t="e">
        <f t="shared" si="371"/>
        <v>#VALUE!</v>
      </c>
      <c r="X1615" s="26" t="e">
        <f t="shared" si="372"/>
        <v>#VALUE!</v>
      </c>
      <c r="Y1615" s="26" t="e">
        <f t="shared" si="373"/>
        <v>#VALUE!</v>
      </c>
      <c r="Z1615" s="1" t="e">
        <f t="shared" si="374"/>
        <v>#VALUE!</v>
      </c>
      <c r="AA1615"/>
      <c r="AB1615"/>
    </row>
    <row r="1616" spans="1:28" x14ac:dyDescent="0.55000000000000004">
      <c r="A1616" s="1">
        <f t="shared" si="361"/>
        <v>1616</v>
      </c>
      <c r="B1616" t="s">
        <v>34</v>
      </c>
      <c r="C1616" t="s">
        <v>111</v>
      </c>
      <c r="D1616" t="s">
        <v>42</v>
      </c>
      <c r="E1616" t="s">
        <v>112</v>
      </c>
      <c r="G1616" t="s">
        <v>98</v>
      </c>
      <c r="I1616" t="s">
        <v>87</v>
      </c>
      <c r="K1616" t="s">
        <v>100</v>
      </c>
      <c r="M1616" t="s">
        <v>47</v>
      </c>
      <c r="N1616" s="1" t="e">
        <f t="shared" si="362"/>
        <v>#VALUE!</v>
      </c>
      <c r="O1616" s="1" t="e">
        <f t="shared" si="363"/>
        <v>#VALUE!</v>
      </c>
      <c r="P1616" s="1" t="e">
        <f t="shared" si="364"/>
        <v>#VALUE!</v>
      </c>
      <c r="Q1616" s="1" t="e">
        <f t="shared" si="365"/>
        <v>#VALUE!</v>
      </c>
      <c r="R1616" s="1" t="e">
        <f t="shared" si="366"/>
        <v>#VALUE!</v>
      </c>
      <c r="S1616" s="1" t="e">
        <f t="shared" si="367"/>
        <v>#VALUE!</v>
      </c>
      <c r="T1616" s="1" t="e">
        <f t="shared" si="368"/>
        <v>#VALUE!</v>
      </c>
      <c r="U1616" s="26" t="e">
        <f t="shared" si="369"/>
        <v>#VALUE!</v>
      </c>
      <c r="V1616" s="26" t="e">
        <f t="shared" si="370"/>
        <v>#VALUE!</v>
      </c>
      <c r="W1616" s="1" t="e">
        <f t="shared" si="371"/>
        <v>#VALUE!</v>
      </c>
      <c r="X1616" s="26" t="e">
        <f t="shared" si="372"/>
        <v>#VALUE!</v>
      </c>
      <c r="Y1616" s="26" t="e">
        <f t="shared" si="373"/>
        <v>#VALUE!</v>
      </c>
      <c r="Z1616" s="1" t="e">
        <f t="shared" si="374"/>
        <v>#VALUE!</v>
      </c>
      <c r="AA1616"/>
      <c r="AB1616"/>
    </row>
    <row r="1617" spans="1:28" x14ac:dyDescent="0.55000000000000004">
      <c r="A1617" s="1">
        <f t="shared" si="361"/>
        <v>1617</v>
      </c>
      <c r="B1617" t="s">
        <v>34</v>
      </c>
      <c r="C1617" t="s">
        <v>111</v>
      </c>
      <c r="D1617" t="s">
        <v>42</v>
      </c>
      <c r="E1617" t="s">
        <v>112</v>
      </c>
      <c r="G1617" t="s">
        <v>92</v>
      </c>
      <c r="I1617" t="s">
        <v>102</v>
      </c>
      <c r="K1617" t="s">
        <v>94</v>
      </c>
      <c r="M1617" t="s">
        <v>47</v>
      </c>
      <c r="N1617" s="1" t="e">
        <f t="shared" si="362"/>
        <v>#VALUE!</v>
      </c>
      <c r="O1617" s="1" t="e">
        <f t="shared" si="363"/>
        <v>#VALUE!</v>
      </c>
      <c r="P1617" s="1" t="e">
        <f t="shared" si="364"/>
        <v>#VALUE!</v>
      </c>
      <c r="Q1617" s="1" t="e">
        <f t="shared" si="365"/>
        <v>#VALUE!</v>
      </c>
      <c r="R1617" s="1" t="e">
        <f t="shared" si="366"/>
        <v>#VALUE!</v>
      </c>
      <c r="S1617" s="1" t="e">
        <f t="shared" si="367"/>
        <v>#VALUE!</v>
      </c>
      <c r="T1617" s="1" t="e">
        <f t="shared" si="368"/>
        <v>#VALUE!</v>
      </c>
      <c r="U1617" s="26" t="e">
        <f t="shared" si="369"/>
        <v>#VALUE!</v>
      </c>
      <c r="V1617" s="26" t="e">
        <f t="shared" si="370"/>
        <v>#VALUE!</v>
      </c>
      <c r="W1617" s="1" t="e">
        <f t="shared" si="371"/>
        <v>#VALUE!</v>
      </c>
      <c r="X1617" s="26" t="e">
        <f t="shared" si="372"/>
        <v>#VALUE!</v>
      </c>
      <c r="Y1617" s="26" t="e">
        <f t="shared" si="373"/>
        <v>#VALUE!</v>
      </c>
      <c r="Z1617" s="1" t="e">
        <f t="shared" si="374"/>
        <v>#VALUE!</v>
      </c>
      <c r="AA1617"/>
      <c r="AB1617"/>
    </row>
    <row r="1618" spans="1:28" x14ac:dyDescent="0.55000000000000004">
      <c r="A1618" s="1">
        <f t="shared" si="361"/>
        <v>1618</v>
      </c>
      <c r="B1618" t="s">
        <v>30</v>
      </c>
      <c r="C1618" t="s">
        <v>194</v>
      </c>
      <c r="D1618" t="s">
        <v>42</v>
      </c>
      <c r="E1618" t="s">
        <v>112</v>
      </c>
      <c r="F1618" t="s">
        <v>380</v>
      </c>
      <c r="G1618" t="s">
        <v>58</v>
      </c>
      <c r="I1618" t="s">
        <v>52</v>
      </c>
      <c r="K1618" t="s">
        <v>71</v>
      </c>
      <c r="M1618" t="s">
        <v>47</v>
      </c>
      <c r="N1618" s="1" t="e">
        <f t="shared" si="362"/>
        <v>#VALUE!</v>
      </c>
      <c r="O1618" s="1" t="e">
        <f t="shared" si="363"/>
        <v>#VALUE!</v>
      </c>
      <c r="P1618" s="1" t="e">
        <f t="shared" si="364"/>
        <v>#VALUE!</v>
      </c>
      <c r="Q1618" s="1" t="e">
        <f t="shared" si="365"/>
        <v>#VALUE!</v>
      </c>
      <c r="R1618" s="1" t="e">
        <f t="shared" si="366"/>
        <v>#VALUE!</v>
      </c>
      <c r="S1618" s="1" t="e">
        <f t="shared" si="367"/>
        <v>#VALUE!</v>
      </c>
      <c r="T1618" s="1" t="e">
        <f t="shared" si="368"/>
        <v>#VALUE!</v>
      </c>
      <c r="U1618" s="26" t="e">
        <f t="shared" si="369"/>
        <v>#VALUE!</v>
      </c>
      <c r="V1618" s="26" t="e">
        <f t="shared" si="370"/>
        <v>#VALUE!</v>
      </c>
      <c r="W1618" s="1" t="e">
        <f t="shared" si="371"/>
        <v>#VALUE!</v>
      </c>
      <c r="X1618" s="26" t="e">
        <f t="shared" si="372"/>
        <v>#VALUE!</v>
      </c>
      <c r="Y1618" s="26" t="e">
        <f t="shared" si="373"/>
        <v>#VALUE!</v>
      </c>
      <c r="Z1618" s="1" t="e">
        <f t="shared" si="374"/>
        <v>#VALUE!</v>
      </c>
      <c r="AA1618"/>
      <c r="AB1618"/>
    </row>
    <row r="1619" spans="1:28" x14ac:dyDescent="0.55000000000000004">
      <c r="A1619" s="1">
        <f t="shared" si="361"/>
        <v>1619</v>
      </c>
      <c r="B1619" t="s">
        <v>30</v>
      </c>
      <c r="C1619" t="s">
        <v>194</v>
      </c>
      <c r="D1619" t="s">
        <v>42</v>
      </c>
      <c r="E1619" t="s">
        <v>112</v>
      </c>
      <c r="F1619" t="s">
        <v>398</v>
      </c>
      <c r="G1619" t="s">
        <v>67</v>
      </c>
      <c r="I1619" t="s">
        <v>60</v>
      </c>
      <c r="K1619" t="s">
        <v>73</v>
      </c>
      <c r="M1619" t="s">
        <v>47</v>
      </c>
      <c r="N1619" s="1" t="e">
        <f t="shared" si="362"/>
        <v>#VALUE!</v>
      </c>
      <c r="O1619" s="1" t="e">
        <f t="shared" si="363"/>
        <v>#VALUE!</v>
      </c>
      <c r="P1619" s="1" t="e">
        <f t="shared" si="364"/>
        <v>#VALUE!</v>
      </c>
      <c r="Q1619" s="1" t="e">
        <f t="shared" si="365"/>
        <v>#VALUE!</v>
      </c>
      <c r="R1619" s="1" t="e">
        <f t="shared" si="366"/>
        <v>#VALUE!</v>
      </c>
      <c r="S1619" s="1" t="e">
        <f t="shared" si="367"/>
        <v>#VALUE!</v>
      </c>
      <c r="T1619" s="1" t="e">
        <f t="shared" si="368"/>
        <v>#VALUE!</v>
      </c>
      <c r="U1619" s="26" t="e">
        <f t="shared" si="369"/>
        <v>#VALUE!</v>
      </c>
      <c r="V1619" s="26" t="e">
        <f t="shared" si="370"/>
        <v>#VALUE!</v>
      </c>
      <c r="W1619" s="1" t="e">
        <f t="shared" si="371"/>
        <v>#VALUE!</v>
      </c>
      <c r="X1619" s="26" t="e">
        <f t="shared" si="372"/>
        <v>#VALUE!</v>
      </c>
      <c r="Y1619" s="26" t="e">
        <f t="shared" si="373"/>
        <v>#VALUE!</v>
      </c>
      <c r="Z1619" s="1" t="e">
        <f t="shared" si="374"/>
        <v>#VALUE!</v>
      </c>
      <c r="AA1619"/>
      <c r="AB1619"/>
    </row>
    <row r="1620" spans="1:28" x14ac:dyDescent="0.55000000000000004">
      <c r="A1620" s="1">
        <f t="shared" si="361"/>
        <v>1620</v>
      </c>
      <c r="B1620" t="s">
        <v>33</v>
      </c>
      <c r="C1620" t="s">
        <v>76</v>
      </c>
      <c r="D1620" t="s">
        <v>42</v>
      </c>
      <c r="E1620" t="s">
        <v>112</v>
      </c>
      <c r="F1620" t="s">
        <v>407</v>
      </c>
      <c r="G1620" t="s">
        <v>291</v>
      </c>
      <c r="I1620" t="s">
        <v>279</v>
      </c>
      <c r="K1620" t="s">
        <v>293</v>
      </c>
      <c r="M1620" t="s">
        <v>47</v>
      </c>
      <c r="N1620" s="1" t="e">
        <f t="shared" si="362"/>
        <v>#VALUE!</v>
      </c>
      <c r="O1620" s="1" t="e">
        <f t="shared" si="363"/>
        <v>#VALUE!</v>
      </c>
      <c r="P1620" s="1" t="e">
        <f t="shared" si="364"/>
        <v>#VALUE!</v>
      </c>
      <c r="Q1620" s="1" t="e">
        <f t="shared" si="365"/>
        <v>#VALUE!</v>
      </c>
      <c r="R1620" s="1" t="e">
        <f t="shared" si="366"/>
        <v>#VALUE!</v>
      </c>
      <c r="S1620" s="1" t="e">
        <f t="shared" si="367"/>
        <v>#VALUE!</v>
      </c>
      <c r="T1620" s="1" t="e">
        <f t="shared" si="368"/>
        <v>#VALUE!</v>
      </c>
      <c r="U1620" s="26" t="e">
        <f t="shared" si="369"/>
        <v>#VALUE!</v>
      </c>
      <c r="V1620" s="26" t="e">
        <f t="shared" si="370"/>
        <v>#VALUE!</v>
      </c>
      <c r="W1620" s="1" t="e">
        <f t="shared" si="371"/>
        <v>#VALUE!</v>
      </c>
      <c r="X1620" s="26" t="e">
        <f t="shared" si="372"/>
        <v>#VALUE!</v>
      </c>
      <c r="Y1620" s="26" t="e">
        <f t="shared" si="373"/>
        <v>#VALUE!</v>
      </c>
      <c r="Z1620" s="1" t="e">
        <f t="shared" si="374"/>
        <v>#VALUE!</v>
      </c>
      <c r="AA1620"/>
      <c r="AB1620"/>
    </row>
    <row r="1621" spans="1:28" x14ac:dyDescent="0.55000000000000004">
      <c r="A1621" s="1">
        <f t="shared" si="361"/>
        <v>1621</v>
      </c>
      <c r="B1621" t="s">
        <v>33</v>
      </c>
      <c r="C1621" t="s">
        <v>76</v>
      </c>
      <c r="D1621" t="s">
        <v>42</v>
      </c>
      <c r="E1621" t="s">
        <v>112</v>
      </c>
      <c r="F1621" t="s">
        <v>277</v>
      </c>
      <c r="G1621" t="s">
        <v>292</v>
      </c>
      <c r="I1621" t="s">
        <v>284</v>
      </c>
      <c r="K1621" t="s">
        <v>408</v>
      </c>
      <c r="M1621" t="s">
        <v>47</v>
      </c>
      <c r="N1621" s="1" t="e">
        <f t="shared" si="362"/>
        <v>#VALUE!</v>
      </c>
      <c r="O1621" s="1" t="e">
        <f t="shared" si="363"/>
        <v>#VALUE!</v>
      </c>
      <c r="P1621" s="1" t="e">
        <f t="shared" si="364"/>
        <v>#VALUE!</v>
      </c>
      <c r="Q1621" s="1" t="e">
        <f t="shared" si="365"/>
        <v>#VALUE!</v>
      </c>
      <c r="R1621" s="1" t="e">
        <f t="shared" si="366"/>
        <v>#VALUE!</v>
      </c>
      <c r="S1621" s="1" t="e">
        <f t="shared" si="367"/>
        <v>#VALUE!</v>
      </c>
      <c r="T1621" s="1" t="e">
        <f t="shared" si="368"/>
        <v>#VALUE!</v>
      </c>
      <c r="U1621" s="26" t="e">
        <f t="shared" si="369"/>
        <v>#VALUE!</v>
      </c>
      <c r="V1621" s="26" t="e">
        <f t="shared" si="370"/>
        <v>#VALUE!</v>
      </c>
      <c r="W1621" s="1" t="e">
        <f t="shared" si="371"/>
        <v>#VALUE!</v>
      </c>
      <c r="X1621" s="26" t="e">
        <f t="shared" si="372"/>
        <v>#VALUE!</v>
      </c>
      <c r="Y1621" s="26" t="e">
        <f t="shared" si="373"/>
        <v>#VALUE!</v>
      </c>
      <c r="Z1621" s="1" t="e">
        <f t="shared" si="374"/>
        <v>#VALUE!</v>
      </c>
      <c r="AA1621"/>
      <c r="AB1621"/>
    </row>
    <row r="1622" spans="1:28" x14ac:dyDescent="0.55000000000000004">
      <c r="A1622" s="1">
        <f t="shared" si="361"/>
        <v>1622</v>
      </c>
      <c r="B1622" t="s">
        <v>33</v>
      </c>
      <c r="C1622" t="s">
        <v>76</v>
      </c>
      <c r="D1622" t="s">
        <v>42</v>
      </c>
      <c r="E1622" t="s">
        <v>112</v>
      </c>
      <c r="F1622" t="s">
        <v>277</v>
      </c>
      <c r="G1622" t="s">
        <v>362</v>
      </c>
      <c r="I1622" t="s">
        <v>287</v>
      </c>
      <c r="K1622" t="s">
        <v>363</v>
      </c>
      <c r="M1622" t="s">
        <v>47</v>
      </c>
      <c r="N1622" s="1" t="e">
        <f t="shared" si="362"/>
        <v>#VALUE!</v>
      </c>
      <c r="O1622" s="1" t="e">
        <f t="shared" si="363"/>
        <v>#VALUE!</v>
      </c>
      <c r="P1622" s="1" t="e">
        <f t="shared" si="364"/>
        <v>#VALUE!</v>
      </c>
      <c r="Q1622" s="1" t="e">
        <f t="shared" si="365"/>
        <v>#VALUE!</v>
      </c>
      <c r="R1622" s="1" t="e">
        <f t="shared" si="366"/>
        <v>#VALUE!</v>
      </c>
      <c r="S1622" s="1" t="e">
        <f t="shared" si="367"/>
        <v>#VALUE!</v>
      </c>
      <c r="T1622" s="1" t="e">
        <f t="shared" si="368"/>
        <v>#VALUE!</v>
      </c>
      <c r="U1622" s="26" t="e">
        <f t="shared" si="369"/>
        <v>#VALUE!</v>
      </c>
      <c r="V1622" s="26" t="e">
        <f t="shared" si="370"/>
        <v>#VALUE!</v>
      </c>
      <c r="W1622" s="1" t="e">
        <f t="shared" si="371"/>
        <v>#VALUE!</v>
      </c>
      <c r="X1622" s="26" t="e">
        <f t="shared" si="372"/>
        <v>#VALUE!</v>
      </c>
      <c r="Y1622" s="26" t="e">
        <f t="shared" si="373"/>
        <v>#VALUE!</v>
      </c>
      <c r="Z1622" s="1" t="e">
        <f t="shared" si="374"/>
        <v>#VALUE!</v>
      </c>
      <c r="AA1622"/>
      <c r="AB1622"/>
    </row>
    <row r="1623" spans="1:28" x14ac:dyDescent="0.55000000000000004">
      <c r="A1623" s="1">
        <f t="shared" si="361"/>
        <v>1623</v>
      </c>
      <c r="B1623" t="s">
        <v>39</v>
      </c>
      <c r="C1623" t="s">
        <v>332</v>
      </c>
      <c r="D1623" t="s">
        <v>42</v>
      </c>
      <c r="E1623" t="s">
        <v>112</v>
      </c>
      <c r="F1623" t="s">
        <v>342</v>
      </c>
      <c r="G1623" t="s">
        <v>231</v>
      </c>
      <c r="I1623" t="s">
        <v>222</v>
      </c>
      <c r="K1623" t="s">
        <v>233</v>
      </c>
      <c r="M1623" t="s">
        <v>47</v>
      </c>
      <c r="N1623" s="1" t="e">
        <f t="shared" si="362"/>
        <v>#VALUE!</v>
      </c>
      <c r="O1623" s="1" t="e">
        <f t="shared" si="363"/>
        <v>#VALUE!</v>
      </c>
      <c r="P1623" s="1" t="e">
        <f t="shared" si="364"/>
        <v>#VALUE!</v>
      </c>
      <c r="Q1623" s="1" t="e">
        <f t="shared" si="365"/>
        <v>#VALUE!</v>
      </c>
      <c r="R1623" s="1" t="e">
        <f t="shared" si="366"/>
        <v>#VALUE!</v>
      </c>
      <c r="S1623" s="1" t="e">
        <f t="shared" si="367"/>
        <v>#VALUE!</v>
      </c>
      <c r="T1623" s="1" t="e">
        <f t="shared" si="368"/>
        <v>#VALUE!</v>
      </c>
      <c r="U1623" s="26" t="e">
        <f t="shared" si="369"/>
        <v>#VALUE!</v>
      </c>
      <c r="V1623" s="26" t="e">
        <f t="shared" si="370"/>
        <v>#VALUE!</v>
      </c>
      <c r="W1623" s="1" t="e">
        <f t="shared" si="371"/>
        <v>#VALUE!</v>
      </c>
      <c r="X1623" s="26" t="e">
        <f t="shared" si="372"/>
        <v>#VALUE!</v>
      </c>
      <c r="Y1623" s="26" t="e">
        <f t="shared" si="373"/>
        <v>#VALUE!</v>
      </c>
      <c r="Z1623" s="1" t="e">
        <f t="shared" si="374"/>
        <v>#VALUE!</v>
      </c>
      <c r="AA1623"/>
      <c r="AB1623"/>
    </row>
    <row r="1624" spans="1:28" x14ac:dyDescent="0.55000000000000004">
      <c r="A1624" s="1">
        <f t="shared" si="361"/>
        <v>1624</v>
      </c>
      <c r="B1624" t="s">
        <v>35</v>
      </c>
      <c r="C1624" t="s">
        <v>194</v>
      </c>
      <c r="D1624" t="s">
        <v>42</v>
      </c>
      <c r="E1624" t="s">
        <v>112</v>
      </c>
      <c r="F1624" t="s">
        <v>357</v>
      </c>
      <c r="G1624" t="s">
        <v>211</v>
      </c>
      <c r="I1624" t="s">
        <v>386</v>
      </c>
      <c r="K1624" t="s">
        <v>309</v>
      </c>
      <c r="M1624" t="s">
        <v>47</v>
      </c>
      <c r="N1624" s="1" t="e">
        <f t="shared" si="362"/>
        <v>#VALUE!</v>
      </c>
      <c r="O1624" s="1" t="e">
        <f t="shared" si="363"/>
        <v>#VALUE!</v>
      </c>
      <c r="P1624" s="1" t="e">
        <f t="shared" si="364"/>
        <v>#VALUE!</v>
      </c>
      <c r="Q1624" s="1" t="e">
        <f t="shared" si="365"/>
        <v>#VALUE!</v>
      </c>
      <c r="R1624" s="1" t="e">
        <f t="shared" si="366"/>
        <v>#VALUE!</v>
      </c>
      <c r="S1624" s="1" t="e">
        <f t="shared" si="367"/>
        <v>#VALUE!</v>
      </c>
      <c r="T1624" s="1" t="e">
        <f t="shared" si="368"/>
        <v>#VALUE!</v>
      </c>
      <c r="U1624" s="26" t="e">
        <f t="shared" si="369"/>
        <v>#VALUE!</v>
      </c>
      <c r="V1624" s="26" t="e">
        <f t="shared" si="370"/>
        <v>#VALUE!</v>
      </c>
      <c r="W1624" s="1" t="e">
        <f t="shared" si="371"/>
        <v>#VALUE!</v>
      </c>
      <c r="X1624" s="26" t="e">
        <f t="shared" si="372"/>
        <v>#VALUE!</v>
      </c>
      <c r="Y1624" s="26" t="e">
        <f t="shared" si="373"/>
        <v>#VALUE!</v>
      </c>
      <c r="Z1624" s="1" t="e">
        <f t="shared" si="374"/>
        <v>#VALUE!</v>
      </c>
      <c r="AA1624"/>
      <c r="AB1624"/>
    </row>
    <row r="1625" spans="1:28" x14ac:dyDescent="0.55000000000000004">
      <c r="A1625" s="1">
        <f t="shared" si="361"/>
        <v>1625</v>
      </c>
      <c r="B1625" t="s">
        <v>35</v>
      </c>
      <c r="C1625" t="s">
        <v>194</v>
      </c>
      <c r="D1625" t="s">
        <v>42</v>
      </c>
      <c r="E1625" t="s">
        <v>112</v>
      </c>
      <c r="F1625" t="s">
        <v>357</v>
      </c>
      <c r="G1625" t="s">
        <v>307</v>
      </c>
      <c r="I1625" t="s">
        <v>205</v>
      </c>
      <c r="K1625" t="s">
        <v>379</v>
      </c>
      <c r="M1625" t="s">
        <v>47</v>
      </c>
      <c r="N1625" s="1" t="e">
        <f t="shared" si="362"/>
        <v>#VALUE!</v>
      </c>
      <c r="O1625" s="1" t="e">
        <f t="shared" si="363"/>
        <v>#VALUE!</v>
      </c>
      <c r="P1625" s="1" t="e">
        <f t="shared" si="364"/>
        <v>#VALUE!</v>
      </c>
      <c r="Q1625" s="1" t="e">
        <f t="shared" si="365"/>
        <v>#VALUE!</v>
      </c>
      <c r="R1625" s="1" t="e">
        <f t="shared" si="366"/>
        <v>#VALUE!</v>
      </c>
      <c r="S1625" s="1" t="e">
        <f t="shared" si="367"/>
        <v>#VALUE!</v>
      </c>
      <c r="T1625" s="1" t="e">
        <f t="shared" si="368"/>
        <v>#VALUE!</v>
      </c>
      <c r="U1625" s="26" t="e">
        <f t="shared" si="369"/>
        <v>#VALUE!</v>
      </c>
      <c r="V1625" s="26" t="e">
        <f t="shared" si="370"/>
        <v>#VALUE!</v>
      </c>
      <c r="W1625" s="1" t="e">
        <f t="shared" si="371"/>
        <v>#VALUE!</v>
      </c>
      <c r="X1625" s="26" t="e">
        <f t="shared" si="372"/>
        <v>#VALUE!</v>
      </c>
      <c r="Y1625" s="26" t="e">
        <f t="shared" si="373"/>
        <v>#VALUE!</v>
      </c>
      <c r="Z1625" s="1" t="e">
        <f t="shared" si="374"/>
        <v>#VALUE!</v>
      </c>
      <c r="AA1625"/>
      <c r="AB1625"/>
    </row>
    <row r="1626" spans="1:28" x14ac:dyDescent="0.55000000000000004">
      <c r="A1626" s="1">
        <f t="shared" si="361"/>
        <v>1626</v>
      </c>
      <c r="B1626" t="s">
        <v>35</v>
      </c>
      <c r="C1626" t="s">
        <v>194</v>
      </c>
      <c r="D1626" t="s">
        <v>42</v>
      </c>
      <c r="E1626" t="s">
        <v>112</v>
      </c>
      <c r="F1626" t="s">
        <v>357</v>
      </c>
      <c r="G1626" t="s">
        <v>210</v>
      </c>
      <c r="I1626" t="s">
        <v>303</v>
      </c>
      <c r="K1626" t="s">
        <v>212</v>
      </c>
      <c r="M1626" t="s">
        <v>47</v>
      </c>
      <c r="N1626" s="1" t="e">
        <f t="shared" si="362"/>
        <v>#VALUE!</v>
      </c>
      <c r="O1626" s="1" t="e">
        <f t="shared" si="363"/>
        <v>#VALUE!</v>
      </c>
      <c r="P1626" s="1" t="e">
        <f t="shared" si="364"/>
        <v>#VALUE!</v>
      </c>
      <c r="Q1626" s="1" t="e">
        <f t="shared" si="365"/>
        <v>#VALUE!</v>
      </c>
      <c r="R1626" s="1" t="e">
        <f t="shared" si="366"/>
        <v>#VALUE!</v>
      </c>
      <c r="S1626" s="1" t="e">
        <f t="shared" si="367"/>
        <v>#VALUE!</v>
      </c>
      <c r="T1626" s="1" t="e">
        <f t="shared" si="368"/>
        <v>#VALUE!</v>
      </c>
      <c r="U1626" s="26" t="e">
        <f t="shared" si="369"/>
        <v>#VALUE!</v>
      </c>
      <c r="V1626" s="26" t="e">
        <f t="shared" si="370"/>
        <v>#VALUE!</v>
      </c>
      <c r="W1626" s="1" t="e">
        <f t="shared" si="371"/>
        <v>#VALUE!</v>
      </c>
      <c r="X1626" s="26" t="e">
        <f t="shared" si="372"/>
        <v>#VALUE!</v>
      </c>
      <c r="Y1626" s="26" t="e">
        <f t="shared" si="373"/>
        <v>#VALUE!</v>
      </c>
      <c r="Z1626" s="1" t="e">
        <f t="shared" si="374"/>
        <v>#VALUE!</v>
      </c>
      <c r="AA1626"/>
      <c r="AB1626"/>
    </row>
    <row r="1627" spans="1:28" x14ac:dyDescent="0.55000000000000004">
      <c r="A1627" s="1">
        <f t="shared" si="361"/>
        <v>1627</v>
      </c>
      <c r="B1627" t="s">
        <v>35</v>
      </c>
      <c r="C1627" t="s">
        <v>194</v>
      </c>
      <c r="D1627" t="s">
        <v>42</v>
      </c>
      <c r="E1627" t="s">
        <v>112</v>
      </c>
      <c r="F1627" t="s">
        <v>357</v>
      </c>
      <c r="G1627" t="s">
        <v>384</v>
      </c>
      <c r="I1627" t="s">
        <v>208</v>
      </c>
      <c r="K1627" t="s">
        <v>385</v>
      </c>
      <c r="M1627" t="s">
        <v>47</v>
      </c>
      <c r="N1627" s="1" t="e">
        <f t="shared" si="362"/>
        <v>#VALUE!</v>
      </c>
      <c r="O1627" s="1" t="e">
        <f t="shared" si="363"/>
        <v>#VALUE!</v>
      </c>
      <c r="P1627" s="1" t="e">
        <f t="shared" si="364"/>
        <v>#VALUE!</v>
      </c>
      <c r="Q1627" s="1" t="e">
        <f t="shared" si="365"/>
        <v>#VALUE!</v>
      </c>
      <c r="R1627" s="1" t="e">
        <f t="shared" si="366"/>
        <v>#VALUE!</v>
      </c>
      <c r="S1627" s="1" t="e">
        <f t="shared" si="367"/>
        <v>#VALUE!</v>
      </c>
      <c r="T1627" s="1" t="e">
        <f t="shared" si="368"/>
        <v>#VALUE!</v>
      </c>
      <c r="U1627" s="26" t="e">
        <f t="shared" si="369"/>
        <v>#VALUE!</v>
      </c>
      <c r="V1627" s="26" t="e">
        <f t="shared" si="370"/>
        <v>#VALUE!</v>
      </c>
      <c r="W1627" s="1" t="e">
        <f t="shared" si="371"/>
        <v>#VALUE!</v>
      </c>
      <c r="X1627" s="26" t="e">
        <f t="shared" si="372"/>
        <v>#VALUE!</v>
      </c>
      <c r="Y1627" s="26" t="e">
        <f t="shared" si="373"/>
        <v>#VALUE!</v>
      </c>
      <c r="Z1627" s="1" t="e">
        <f t="shared" si="374"/>
        <v>#VALUE!</v>
      </c>
      <c r="AA1627"/>
      <c r="AB1627"/>
    </row>
    <row r="1628" spans="1:28" x14ac:dyDescent="0.55000000000000004">
      <c r="A1628" s="1">
        <f t="shared" si="361"/>
        <v>1628</v>
      </c>
      <c r="B1628" t="s">
        <v>35</v>
      </c>
      <c r="C1628" t="s">
        <v>194</v>
      </c>
      <c r="D1628" t="s">
        <v>42</v>
      </c>
      <c r="E1628" t="s">
        <v>112</v>
      </c>
      <c r="F1628" t="s">
        <v>357</v>
      </c>
      <c r="G1628" t="s">
        <v>306</v>
      </c>
      <c r="I1628" t="s">
        <v>213</v>
      </c>
      <c r="K1628" t="s">
        <v>308</v>
      </c>
      <c r="M1628" t="s">
        <v>47</v>
      </c>
      <c r="N1628" s="1" t="e">
        <f t="shared" si="362"/>
        <v>#VALUE!</v>
      </c>
      <c r="O1628" s="1" t="e">
        <f t="shared" si="363"/>
        <v>#VALUE!</v>
      </c>
      <c r="P1628" s="1" t="e">
        <f t="shared" si="364"/>
        <v>#VALUE!</v>
      </c>
      <c r="Q1628" s="1" t="e">
        <f t="shared" si="365"/>
        <v>#VALUE!</v>
      </c>
      <c r="R1628" s="1" t="e">
        <f t="shared" si="366"/>
        <v>#VALUE!</v>
      </c>
      <c r="S1628" s="1" t="e">
        <f t="shared" si="367"/>
        <v>#VALUE!</v>
      </c>
      <c r="T1628" s="1" t="e">
        <f t="shared" si="368"/>
        <v>#VALUE!</v>
      </c>
      <c r="U1628" s="26" t="e">
        <f t="shared" si="369"/>
        <v>#VALUE!</v>
      </c>
      <c r="V1628" s="26" t="e">
        <f t="shared" si="370"/>
        <v>#VALUE!</v>
      </c>
      <c r="W1628" s="1" t="e">
        <f t="shared" si="371"/>
        <v>#VALUE!</v>
      </c>
      <c r="X1628" s="26" t="e">
        <f t="shared" si="372"/>
        <v>#VALUE!</v>
      </c>
      <c r="Y1628" s="26" t="e">
        <f t="shared" si="373"/>
        <v>#VALUE!</v>
      </c>
      <c r="Z1628" s="1" t="e">
        <f t="shared" si="374"/>
        <v>#VALUE!</v>
      </c>
      <c r="AA1628"/>
      <c r="AB1628"/>
    </row>
    <row r="1629" spans="1:28" x14ac:dyDescent="0.55000000000000004">
      <c r="A1629" s="1">
        <f t="shared" si="361"/>
        <v>1629</v>
      </c>
      <c r="B1629" t="s">
        <v>35</v>
      </c>
      <c r="C1629" t="s">
        <v>194</v>
      </c>
      <c r="D1629" t="s">
        <v>42</v>
      </c>
      <c r="E1629" t="s">
        <v>112</v>
      </c>
      <c r="F1629" t="s">
        <v>357</v>
      </c>
      <c r="G1629" t="s">
        <v>207</v>
      </c>
      <c r="I1629" t="s">
        <v>383</v>
      </c>
      <c r="K1629" t="s">
        <v>209</v>
      </c>
      <c r="M1629" t="s">
        <v>47</v>
      </c>
      <c r="N1629" s="1" t="e">
        <f t="shared" si="362"/>
        <v>#VALUE!</v>
      </c>
      <c r="O1629" s="1" t="e">
        <f t="shared" si="363"/>
        <v>#VALUE!</v>
      </c>
      <c r="P1629" s="1" t="e">
        <f t="shared" si="364"/>
        <v>#VALUE!</v>
      </c>
      <c r="Q1629" s="1" t="e">
        <f t="shared" si="365"/>
        <v>#VALUE!</v>
      </c>
      <c r="R1629" s="1" t="e">
        <f t="shared" si="366"/>
        <v>#VALUE!</v>
      </c>
      <c r="S1629" s="1" t="e">
        <f t="shared" si="367"/>
        <v>#VALUE!</v>
      </c>
      <c r="T1629" s="1" t="e">
        <f t="shared" si="368"/>
        <v>#VALUE!</v>
      </c>
      <c r="U1629" s="26" t="e">
        <f t="shared" si="369"/>
        <v>#VALUE!</v>
      </c>
      <c r="V1629" s="26" t="e">
        <f t="shared" si="370"/>
        <v>#VALUE!</v>
      </c>
      <c r="W1629" s="1" t="e">
        <f t="shared" si="371"/>
        <v>#VALUE!</v>
      </c>
      <c r="X1629" s="26" t="e">
        <f t="shared" si="372"/>
        <v>#VALUE!</v>
      </c>
      <c r="Y1629" s="26" t="e">
        <f t="shared" si="373"/>
        <v>#VALUE!</v>
      </c>
      <c r="Z1629" s="1" t="e">
        <f t="shared" si="374"/>
        <v>#VALUE!</v>
      </c>
      <c r="AA1629"/>
      <c r="AB1629"/>
    </row>
    <row r="1630" spans="1:28" x14ac:dyDescent="0.55000000000000004">
      <c r="A1630" s="1">
        <f t="shared" si="361"/>
        <v>1630</v>
      </c>
      <c r="B1630" t="s">
        <v>35</v>
      </c>
      <c r="C1630" t="s">
        <v>194</v>
      </c>
      <c r="D1630" t="s">
        <v>42</v>
      </c>
      <c r="E1630" t="s">
        <v>112</v>
      </c>
      <c r="F1630" t="s">
        <v>357</v>
      </c>
      <c r="G1630" t="s">
        <v>304</v>
      </c>
      <c r="I1630" t="s">
        <v>214</v>
      </c>
      <c r="K1630" t="s">
        <v>382</v>
      </c>
      <c r="M1630" t="s">
        <v>47</v>
      </c>
      <c r="N1630" s="1" t="e">
        <f t="shared" si="362"/>
        <v>#VALUE!</v>
      </c>
      <c r="O1630" s="1" t="e">
        <f t="shared" si="363"/>
        <v>#VALUE!</v>
      </c>
      <c r="P1630" s="1" t="e">
        <f t="shared" si="364"/>
        <v>#VALUE!</v>
      </c>
      <c r="Q1630" s="1" t="e">
        <f t="shared" si="365"/>
        <v>#VALUE!</v>
      </c>
      <c r="R1630" s="1" t="e">
        <f t="shared" si="366"/>
        <v>#VALUE!</v>
      </c>
      <c r="S1630" s="1" t="e">
        <f t="shared" si="367"/>
        <v>#VALUE!</v>
      </c>
      <c r="T1630" s="1" t="e">
        <f t="shared" si="368"/>
        <v>#VALUE!</v>
      </c>
      <c r="U1630" s="26" t="e">
        <f t="shared" si="369"/>
        <v>#VALUE!</v>
      </c>
      <c r="V1630" s="26" t="e">
        <f t="shared" si="370"/>
        <v>#VALUE!</v>
      </c>
      <c r="W1630" s="1" t="e">
        <f t="shared" si="371"/>
        <v>#VALUE!</v>
      </c>
      <c r="X1630" s="26" t="e">
        <f t="shared" si="372"/>
        <v>#VALUE!</v>
      </c>
      <c r="Y1630" s="26" t="e">
        <f t="shared" si="373"/>
        <v>#VALUE!</v>
      </c>
      <c r="Z1630" s="1" t="e">
        <f t="shared" si="374"/>
        <v>#VALUE!</v>
      </c>
      <c r="AA1630"/>
      <c r="AB1630"/>
    </row>
    <row r="1631" spans="1:28" x14ac:dyDescent="0.55000000000000004">
      <c r="A1631" s="1">
        <f t="shared" si="361"/>
        <v>1631</v>
      </c>
      <c r="B1631" t="s">
        <v>35</v>
      </c>
      <c r="C1631" t="s">
        <v>194</v>
      </c>
      <c r="D1631" t="s">
        <v>42</v>
      </c>
      <c r="E1631" t="s">
        <v>112</v>
      </c>
      <c r="F1631" t="s">
        <v>357</v>
      </c>
      <c r="G1631" t="s">
        <v>204</v>
      </c>
      <c r="I1631" t="s">
        <v>377</v>
      </c>
      <c r="K1631" t="s">
        <v>206</v>
      </c>
      <c r="M1631" t="s">
        <v>47</v>
      </c>
      <c r="N1631" s="1" t="e">
        <f t="shared" si="362"/>
        <v>#VALUE!</v>
      </c>
      <c r="O1631" s="1" t="e">
        <f t="shared" si="363"/>
        <v>#VALUE!</v>
      </c>
      <c r="P1631" s="1" t="e">
        <f t="shared" si="364"/>
        <v>#VALUE!</v>
      </c>
      <c r="Q1631" s="1" t="e">
        <f t="shared" si="365"/>
        <v>#VALUE!</v>
      </c>
      <c r="R1631" s="1" t="e">
        <f t="shared" si="366"/>
        <v>#VALUE!</v>
      </c>
      <c r="S1631" s="1" t="e">
        <f t="shared" si="367"/>
        <v>#VALUE!</v>
      </c>
      <c r="T1631" s="1" t="e">
        <f t="shared" si="368"/>
        <v>#VALUE!</v>
      </c>
      <c r="U1631" s="26" t="e">
        <f t="shared" si="369"/>
        <v>#VALUE!</v>
      </c>
      <c r="V1631" s="26" t="e">
        <f t="shared" si="370"/>
        <v>#VALUE!</v>
      </c>
      <c r="W1631" s="1" t="e">
        <f t="shared" si="371"/>
        <v>#VALUE!</v>
      </c>
      <c r="X1631" s="26" t="e">
        <f t="shared" si="372"/>
        <v>#VALUE!</v>
      </c>
      <c r="Y1631" s="26" t="e">
        <f t="shared" si="373"/>
        <v>#VALUE!</v>
      </c>
      <c r="Z1631" s="1" t="e">
        <f t="shared" si="374"/>
        <v>#VALUE!</v>
      </c>
      <c r="AA1631"/>
      <c r="AB1631"/>
    </row>
    <row r="1632" spans="1:28" x14ac:dyDescent="0.55000000000000004">
      <c r="A1632" s="1">
        <f t="shared" si="361"/>
        <v>1632</v>
      </c>
      <c r="B1632" t="s">
        <v>30</v>
      </c>
      <c r="C1632" t="s">
        <v>194</v>
      </c>
      <c r="D1632" t="s">
        <v>179</v>
      </c>
      <c r="E1632" t="s">
        <v>195</v>
      </c>
      <c r="F1632" t="s">
        <v>181</v>
      </c>
      <c r="G1632" t="s">
        <v>66</v>
      </c>
      <c r="I1632" t="s">
        <v>45</v>
      </c>
      <c r="K1632" t="s">
        <v>68</v>
      </c>
      <c r="M1632" t="s">
        <v>47</v>
      </c>
      <c r="N1632" s="1" t="e">
        <f t="shared" si="362"/>
        <v>#VALUE!</v>
      </c>
      <c r="O1632" s="1" t="e">
        <f t="shared" si="363"/>
        <v>#VALUE!</v>
      </c>
      <c r="P1632" s="1" t="e">
        <f t="shared" si="364"/>
        <v>#VALUE!</v>
      </c>
      <c r="Q1632" s="1" t="e">
        <f t="shared" si="365"/>
        <v>#VALUE!</v>
      </c>
      <c r="R1632" s="1" t="e">
        <f t="shared" si="366"/>
        <v>#VALUE!</v>
      </c>
      <c r="S1632" s="1" t="e">
        <f t="shared" si="367"/>
        <v>#VALUE!</v>
      </c>
      <c r="T1632" s="1" t="e">
        <f t="shared" si="368"/>
        <v>#VALUE!</v>
      </c>
      <c r="U1632" s="26" t="e">
        <f t="shared" si="369"/>
        <v>#VALUE!</v>
      </c>
      <c r="V1632" s="26" t="e">
        <f t="shared" si="370"/>
        <v>#VALUE!</v>
      </c>
      <c r="W1632" s="1" t="e">
        <f t="shared" si="371"/>
        <v>#VALUE!</v>
      </c>
      <c r="X1632" s="26" t="e">
        <f t="shared" si="372"/>
        <v>#VALUE!</v>
      </c>
      <c r="Y1632" s="26" t="e">
        <f t="shared" si="373"/>
        <v>#VALUE!</v>
      </c>
      <c r="Z1632" s="1" t="e">
        <f t="shared" si="374"/>
        <v>#VALUE!</v>
      </c>
      <c r="AA1632"/>
      <c r="AB1632"/>
    </row>
    <row r="1633" spans="1:28" x14ac:dyDescent="0.55000000000000004">
      <c r="A1633" s="1">
        <f t="shared" si="361"/>
        <v>1633</v>
      </c>
      <c r="B1633" t="s">
        <v>30</v>
      </c>
      <c r="C1633" t="s">
        <v>194</v>
      </c>
      <c r="D1633" t="s">
        <v>179</v>
      </c>
      <c r="E1633" t="s">
        <v>195</v>
      </c>
      <c r="F1633" t="s">
        <v>181</v>
      </c>
      <c r="G1633" t="s">
        <v>49</v>
      </c>
      <c r="I1633" t="s">
        <v>57</v>
      </c>
      <c r="K1633" t="s">
        <v>72</v>
      </c>
      <c r="M1633" t="s">
        <v>47</v>
      </c>
      <c r="N1633" s="1" t="e">
        <f t="shared" si="362"/>
        <v>#VALUE!</v>
      </c>
      <c r="O1633" s="1" t="e">
        <f t="shared" si="363"/>
        <v>#VALUE!</v>
      </c>
      <c r="P1633" s="1" t="e">
        <f t="shared" si="364"/>
        <v>#VALUE!</v>
      </c>
      <c r="Q1633" s="1" t="e">
        <f t="shared" si="365"/>
        <v>#VALUE!</v>
      </c>
      <c r="R1633" s="1" t="e">
        <f t="shared" si="366"/>
        <v>#VALUE!</v>
      </c>
      <c r="S1633" s="1" t="e">
        <f t="shared" si="367"/>
        <v>#VALUE!</v>
      </c>
      <c r="T1633" s="1" t="e">
        <f t="shared" si="368"/>
        <v>#VALUE!</v>
      </c>
      <c r="U1633" s="26" t="e">
        <f t="shared" si="369"/>
        <v>#VALUE!</v>
      </c>
      <c r="V1633" s="26" t="e">
        <f t="shared" si="370"/>
        <v>#VALUE!</v>
      </c>
      <c r="W1633" s="1" t="e">
        <f t="shared" si="371"/>
        <v>#VALUE!</v>
      </c>
      <c r="X1633" s="26" t="e">
        <f t="shared" si="372"/>
        <v>#VALUE!</v>
      </c>
      <c r="Y1633" s="26" t="e">
        <f t="shared" si="373"/>
        <v>#VALUE!</v>
      </c>
      <c r="Z1633" s="1" t="e">
        <f t="shared" si="374"/>
        <v>#VALUE!</v>
      </c>
      <c r="AA1633"/>
      <c r="AB1633"/>
    </row>
    <row r="1634" spans="1:28" x14ac:dyDescent="0.55000000000000004">
      <c r="A1634" s="1">
        <f t="shared" si="361"/>
        <v>1634</v>
      </c>
      <c r="B1634" t="s">
        <v>33</v>
      </c>
      <c r="C1634" t="s">
        <v>78</v>
      </c>
      <c r="D1634" t="s">
        <v>174</v>
      </c>
      <c r="E1634" t="s">
        <v>298</v>
      </c>
      <c r="F1634" t="s">
        <v>277</v>
      </c>
      <c r="G1634" t="s">
        <v>278</v>
      </c>
      <c r="I1634" t="s">
        <v>299</v>
      </c>
      <c r="K1634" t="s">
        <v>280</v>
      </c>
      <c r="M1634" t="s">
        <v>47</v>
      </c>
      <c r="N1634" s="1" t="e">
        <f t="shared" si="362"/>
        <v>#VALUE!</v>
      </c>
      <c r="O1634" s="1" t="e">
        <f t="shared" si="363"/>
        <v>#VALUE!</v>
      </c>
      <c r="P1634" s="1" t="e">
        <f t="shared" si="364"/>
        <v>#VALUE!</v>
      </c>
      <c r="Q1634" s="1" t="e">
        <f t="shared" si="365"/>
        <v>#VALUE!</v>
      </c>
      <c r="R1634" s="1" t="e">
        <f t="shared" si="366"/>
        <v>#VALUE!</v>
      </c>
      <c r="S1634" s="1" t="e">
        <f t="shared" si="367"/>
        <v>#VALUE!</v>
      </c>
      <c r="T1634" s="1" t="e">
        <f t="shared" si="368"/>
        <v>#VALUE!</v>
      </c>
      <c r="U1634" s="26" t="e">
        <f t="shared" si="369"/>
        <v>#VALUE!</v>
      </c>
      <c r="V1634" s="26" t="e">
        <f t="shared" si="370"/>
        <v>#VALUE!</v>
      </c>
      <c r="W1634" s="1" t="e">
        <f t="shared" si="371"/>
        <v>#VALUE!</v>
      </c>
      <c r="X1634" s="26" t="e">
        <f t="shared" si="372"/>
        <v>#VALUE!</v>
      </c>
      <c r="Y1634" s="26" t="e">
        <f t="shared" si="373"/>
        <v>#VALUE!</v>
      </c>
      <c r="Z1634" s="1" t="e">
        <f t="shared" si="374"/>
        <v>#VALUE!</v>
      </c>
      <c r="AA1634"/>
      <c r="AB1634"/>
    </row>
    <row r="1635" spans="1:28" x14ac:dyDescent="0.55000000000000004">
      <c r="A1635" s="1">
        <f t="shared" si="361"/>
        <v>1635</v>
      </c>
      <c r="B1635" t="s">
        <v>37</v>
      </c>
      <c r="C1635" t="s">
        <v>336</v>
      </c>
      <c r="D1635" t="s">
        <v>174</v>
      </c>
      <c r="E1635" t="s">
        <v>298</v>
      </c>
      <c r="F1635" t="s">
        <v>315</v>
      </c>
      <c r="G1635" t="s">
        <v>322</v>
      </c>
      <c r="I1635" t="s">
        <v>321</v>
      </c>
      <c r="K1635" t="s">
        <v>331</v>
      </c>
      <c r="M1635" t="s">
        <v>47</v>
      </c>
      <c r="N1635" s="1" t="e">
        <f t="shared" si="362"/>
        <v>#VALUE!</v>
      </c>
      <c r="O1635" s="1" t="e">
        <f t="shared" si="363"/>
        <v>#VALUE!</v>
      </c>
      <c r="P1635" s="1" t="e">
        <f t="shared" si="364"/>
        <v>#VALUE!</v>
      </c>
      <c r="Q1635" s="1" t="e">
        <f t="shared" si="365"/>
        <v>#VALUE!</v>
      </c>
      <c r="R1635" s="1" t="e">
        <f t="shared" si="366"/>
        <v>#VALUE!</v>
      </c>
      <c r="S1635" s="1" t="e">
        <f t="shared" si="367"/>
        <v>#VALUE!</v>
      </c>
      <c r="T1635" s="1" t="e">
        <f t="shared" si="368"/>
        <v>#VALUE!</v>
      </c>
      <c r="U1635" s="26" t="e">
        <f t="shared" si="369"/>
        <v>#VALUE!</v>
      </c>
      <c r="V1635" s="26" t="e">
        <f t="shared" si="370"/>
        <v>#VALUE!</v>
      </c>
      <c r="W1635" s="1" t="e">
        <f t="shared" si="371"/>
        <v>#VALUE!</v>
      </c>
      <c r="X1635" s="26" t="e">
        <f t="shared" si="372"/>
        <v>#VALUE!</v>
      </c>
      <c r="Y1635" s="26" t="e">
        <f t="shared" si="373"/>
        <v>#VALUE!</v>
      </c>
      <c r="Z1635" s="1" t="e">
        <f t="shared" si="374"/>
        <v>#VALUE!</v>
      </c>
      <c r="AA1635"/>
      <c r="AB1635"/>
    </row>
    <row r="1636" spans="1:28" x14ac:dyDescent="0.55000000000000004">
      <c r="A1636" s="1">
        <f t="shared" si="361"/>
        <v>1636</v>
      </c>
      <c r="B1636" t="s">
        <v>37</v>
      </c>
      <c r="C1636" t="s">
        <v>336</v>
      </c>
      <c r="D1636" t="s">
        <v>174</v>
      </c>
      <c r="E1636" t="s">
        <v>298</v>
      </c>
      <c r="F1636" t="s">
        <v>315</v>
      </c>
      <c r="G1636" t="s">
        <v>326</v>
      </c>
      <c r="I1636" t="s">
        <v>319</v>
      </c>
      <c r="K1636" t="s">
        <v>327</v>
      </c>
      <c r="M1636" t="s">
        <v>47</v>
      </c>
      <c r="N1636" s="1" t="e">
        <f t="shared" si="362"/>
        <v>#VALUE!</v>
      </c>
      <c r="O1636" s="1" t="e">
        <f t="shared" si="363"/>
        <v>#VALUE!</v>
      </c>
      <c r="P1636" s="1" t="e">
        <f t="shared" si="364"/>
        <v>#VALUE!</v>
      </c>
      <c r="Q1636" s="1" t="e">
        <f t="shared" si="365"/>
        <v>#VALUE!</v>
      </c>
      <c r="R1636" s="1" t="e">
        <f t="shared" si="366"/>
        <v>#VALUE!</v>
      </c>
      <c r="S1636" s="1" t="e">
        <f t="shared" si="367"/>
        <v>#VALUE!</v>
      </c>
      <c r="T1636" s="1" t="e">
        <f t="shared" si="368"/>
        <v>#VALUE!</v>
      </c>
      <c r="U1636" s="26" t="e">
        <f t="shared" si="369"/>
        <v>#VALUE!</v>
      </c>
      <c r="V1636" s="26" t="e">
        <f t="shared" si="370"/>
        <v>#VALUE!</v>
      </c>
      <c r="W1636" s="1" t="e">
        <f t="shared" si="371"/>
        <v>#VALUE!</v>
      </c>
      <c r="X1636" s="26" t="e">
        <f t="shared" si="372"/>
        <v>#VALUE!</v>
      </c>
      <c r="Y1636" s="26" t="e">
        <f t="shared" si="373"/>
        <v>#VALUE!</v>
      </c>
      <c r="Z1636" s="1" t="e">
        <f t="shared" si="374"/>
        <v>#VALUE!</v>
      </c>
      <c r="AA1636"/>
      <c r="AB1636"/>
    </row>
    <row r="1637" spans="1:28" x14ac:dyDescent="0.55000000000000004">
      <c r="A1637" s="1">
        <f t="shared" si="361"/>
        <v>1637</v>
      </c>
      <c r="B1637" t="s">
        <v>37</v>
      </c>
      <c r="C1637" t="s">
        <v>336</v>
      </c>
      <c r="D1637" t="s">
        <v>174</v>
      </c>
      <c r="E1637" t="s">
        <v>298</v>
      </c>
      <c r="F1637" t="s">
        <v>315</v>
      </c>
      <c r="G1637" t="s">
        <v>318</v>
      </c>
      <c r="I1637" t="s">
        <v>324</v>
      </c>
      <c r="K1637" t="s">
        <v>320</v>
      </c>
      <c r="M1637" t="s">
        <v>47</v>
      </c>
      <c r="N1637" s="1" t="e">
        <f t="shared" si="362"/>
        <v>#VALUE!</v>
      </c>
      <c r="O1637" s="1" t="e">
        <f t="shared" si="363"/>
        <v>#VALUE!</v>
      </c>
      <c r="P1637" s="1" t="e">
        <f t="shared" si="364"/>
        <v>#VALUE!</v>
      </c>
      <c r="Q1637" s="1" t="e">
        <f t="shared" si="365"/>
        <v>#VALUE!</v>
      </c>
      <c r="R1637" s="1" t="e">
        <f t="shared" si="366"/>
        <v>#VALUE!</v>
      </c>
      <c r="S1637" s="1" t="e">
        <f t="shared" si="367"/>
        <v>#VALUE!</v>
      </c>
      <c r="T1637" s="1" t="e">
        <f t="shared" si="368"/>
        <v>#VALUE!</v>
      </c>
      <c r="U1637" s="26" t="e">
        <f t="shared" si="369"/>
        <v>#VALUE!</v>
      </c>
      <c r="V1637" s="26" t="e">
        <f t="shared" si="370"/>
        <v>#VALUE!</v>
      </c>
      <c r="W1637" s="1" t="e">
        <f t="shared" si="371"/>
        <v>#VALUE!</v>
      </c>
      <c r="X1637" s="26" t="e">
        <f t="shared" si="372"/>
        <v>#VALUE!</v>
      </c>
      <c r="Y1637" s="26" t="e">
        <f t="shared" si="373"/>
        <v>#VALUE!</v>
      </c>
      <c r="Z1637" s="1" t="e">
        <f t="shared" si="374"/>
        <v>#VALUE!</v>
      </c>
      <c r="AA1637"/>
      <c r="AB1637"/>
    </row>
    <row r="1638" spans="1:28" x14ac:dyDescent="0.55000000000000004">
      <c r="A1638" s="1">
        <f t="shared" si="361"/>
        <v>1638</v>
      </c>
      <c r="B1638" t="s">
        <v>37</v>
      </c>
      <c r="C1638" t="s">
        <v>336</v>
      </c>
      <c r="D1638" t="s">
        <v>174</v>
      </c>
      <c r="E1638" t="s">
        <v>298</v>
      </c>
      <c r="F1638" t="s">
        <v>315</v>
      </c>
      <c r="G1638" t="s">
        <v>312</v>
      </c>
      <c r="I1638" t="s">
        <v>328</v>
      </c>
      <c r="K1638" t="s">
        <v>314</v>
      </c>
      <c r="M1638" t="s">
        <v>47</v>
      </c>
      <c r="N1638" s="1" t="e">
        <f t="shared" si="362"/>
        <v>#VALUE!</v>
      </c>
      <c r="O1638" s="1" t="e">
        <f t="shared" si="363"/>
        <v>#VALUE!</v>
      </c>
      <c r="P1638" s="1" t="e">
        <f t="shared" si="364"/>
        <v>#VALUE!</v>
      </c>
      <c r="Q1638" s="1" t="e">
        <f t="shared" si="365"/>
        <v>#VALUE!</v>
      </c>
      <c r="R1638" s="1" t="e">
        <f t="shared" si="366"/>
        <v>#VALUE!</v>
      </c>
      <c r="S1638" s="1" t="e">
        <f t="shared" si="367"/>
        <v>#VALUE!</v>
      </c>
      <c r="T1638" s="1" t="e">
        <f t="shared" si="368"/>
        <v>#VALUE!</v>
      </c>
      <c r="U1638" s="26" t="e">
        <f t="shared" si="369"/>
        <v>#VALUE!</v>
      </c>
      <c r="V1638" s="26" t="e">
        <f t="shared" si="370"/>
        <v>#VALUE!</v>
      </c>
      <c r="W1638" s="1" t="e">
        <f t="shared" si="371"/>
        <v>#VALUE!</v>
      </c>
      <c r="X1638" s="26" t="e">
        <f t="shared" si="372"/>
        <v>#VALUE!</v>
      </c>
      <c r="Y1638" s="26" t="e">
        <f t="shared" si="373"/>
        <v>#VALUE!</v>
      </c>
      <c r="Z1638" s="1" t="e">
        <f t="shared" si="374"/>
        <v>#VALUE!</v>
      </c>
      <c r="AA1638"/>
      <c r="AB1638"/>
    </row>
    <row r="1639" spans="1:28" x14ac:dyDescent="0.55000000000000004">
      <c r="A1639" s="1">
        <f t="shared" si="361"/>
        <v>1639</v>
      </c>
      <c r="B1639" t="s">
        <v>31</v>
      </c>
      <c r="C1639" t="s">
        <v>104</v>
      </c>
      <c r="D1639" t="s">
        <v>133</v>
      </c>
      <c r="E1639" t="s">
        <v>161</v>
      </c>
      <c r="G1639" t="s">
        <v>151</v>
      </c>
      <c r="I1639" t="s">
        <v>142</v>
      </c>
      <c r="K1639" t="s">
        <v>156</v>
      </c>
      <c r="M1639" t="s">
        <v>47</v>
      </c>
      <c r="N1639" s="1" t="e">
        <f t="shared" si="362"/>
        <v>#VALUE!</v>
      </c>
      <c r="O1639" s="1" t="e">
        <f t="shared" si="363"/>
        <v>#VALUE!</v>
      </c>
      <c r="P1639" s="1" t="e">
        <f t="shared" si="364"/>
        <v>#VALUE!</v>
      </c>
      <c r="Q1639" s="1" t="e">
        <f t="shared" si="365"/>
        <v>#VALUE!</v>
      </c>
      <c r="R1639" s="1" t="e">
        <f t="shared" si="366"/>
        <v>#VALUE!</v>
      </c>
      <c r="S1639" s="1" t="e">
        <f t="shared" si="367"/>
        <v>#VALUE!</v>
      </c>
      <c r="T1639" s="1" t="e">
        <f t="shared" si="368"/>
        <v>#VALUE!</v>
      </c>
      <c r="U1639" s="26" t="e">
        <f t="shared" si="369"/>
        <v>#VALUE!</v>
      </c>
      <c r="V1639" s="26" t="e">
        <f t="shared" si="370"/>
        <v>#VALUE!</v>
      </c>
      <c r="W1639" s="1" t="e">
        <f t="shared" si="371"/>
        <v>#VALUE!</v>
      </c>
      <c r="X1639" s="26" t="e">
        <f t="shared" si="372"/>
        <v>#VALUE!</v>
      </c>
      <c r="Y1639" s="26" t="e">
        <f t="shared" si="373"/>
        <v>#VALUE!</v>
      </c>
      <c r="Z1639" s="1" t="e">
        <f t="shared" si="374"/>
        <v>#VALUE!</v>
      </c>
      <c r="AA1639"/>
      <c r="AB1639"/>
    </row>
    <row r="1640" spans="1:28" x14ac:dyDescent="0.55000000000000004">
      <c r="A1640" s="1">
        <f t="shared" si="361"/>
        <v>1640</v>
      </c>
      <c r="B1640" t="s">
        <v>31</v>
      </c>
      <c r="C1640" t="s">
        <v>104</v>
      </c>
      <c r="D1640" t="s">
        <v>133</v>
      </c>
      <c r="E1640" t="s">
        <v>161</v>
      </c>
      <c r="G1640" t="s">
        <v>141</v>
      </c>
      <c r="I1640" t="s">
        <v>139</v>
      </c>
      <c r="K1640" t="s">
        <v>143</v>
      </c>
      <c r="M1640" t="s">
        <v>47</v>
      </c>
      <c r="N1640" s="1" t="e">
        <f t="shared" si="362"/>
        <v>#VALUE!</v>
      </c>
      <c r="O1640" s="1" t="e">
        <f t="shared" si="363"/>
        <v>#VALUE!</v>
      </c>
      <c r="P1640" s="1" t="e">
        <f t="shared" si="364"/>
        <v>#VALUE!</v>
      </c>
      <c r="Q1640" s="1" t="e">
        <f t="shared" si="365"/>
        <v>#VALUE!</v>
      </c>
      <c r="R1640" s="1" t="e">
        <f t="shared" si="366"/>
        <v>#VALUE!</v>
      </c>
      <c r="S1640" s="1" t="e">
        <f t="shared" si="367"/>
        <v>#VALUE!</v>
      </c>
      <c r="T1640" s="1" t="e">
        <f t="shared" si="368"/>
        <v>#VALUE!</v>
      </c>
      <c r="U1640" s="26" t="e">
        <f t="shared" si="369"/>
        <v>#VALUE!</v>
      </c>
      <c r="V1640" s="26" t="e">
        <f t="shared" si="370"/>
        <v>#VALUE!</v>
      </c>
      <c r="W1640" s="1" t="e">
        <f t="shared" si="371"/>
        <v>#VALUE!</v>
      </c>
      <c r="X1640" s="26" t="e">
        <f t="shared" si="372"/>
        <v>#VALUE!</v>
      </c>
      <c r="Y1640" s="26" t="e">
        <f t="shared" si="373"/>
        <v>#VALUE!</v>
      </c>
      <c r="Z1640" s="1" t="e">
        <f t="shared" si="374"/>
        <v>#VALUE!</v>
      </c>
      <c r="AA1640"/>
      <c r="AB1640"/>
    </row>
    <row r="1641" spans="1:28" x14ac:dyDescent="0.55000000000000004">
      <c r="A1641" s="1">
        <f t="shared" si="361"/>
        <v>1641</v>
      </c>
      <c r="B1641" t="s">
        <v>31</v>
      </c>
      <c r="C1641" t="s">
        <v>104</v>
      </c>
      <c r="D1641" t="s">
        <v>133</v>
      </c>
      <c r="E1641" t="s">
        <v>161</v>
      </c>
      <c r="G1641" t="s">
        <v>144</v>
      </c>
      <c r="I1641" t="s">
        <v>150</v>
      </c>
      <c r="K1641" t="s">
        <v>146</v>
      </c>
      <c r="M1641" t="s">
        <v>47</v>
      </c>
      <c r="N1641" s="1" t="e">
        <f t="shared" si="362"/>
        <v>#VALUE!</v>
      </c>
      <c r="O1641" s="1" t="e">
        <f t="shared" si="363"/>
        <v>#VALUE!</v>
      </c>
      <c r="P1641" s="1" t="e">
        <f t="shared" si="364"/>
        <v>#VALUE!</v>
      </c>
      <c r="Q1641" s="1" t="e">
        <f t="shared" si="365"/>
        <v>#VALUE!</v>
      </c>
      <c r="R1641" s="1" t="e">
        <f t="shared" si="366"/>
        <v>#VALUE!</v>
      </c>
      <c r="S1641" s="1" t="e">
        <f t="shared" si="367"/>
        <v>#VALUE!</v>
      </c>
      <c r="T1641" s="1" t="e">
        <f t="shared" si="368"/>
        <v>#VALUE!</v>
      </c>
      <c r="U1641" s="26" t="e">
        <f t="shared" si="369"/>
        <v>#VALUE!</v>
      </c>
      <c r="V1641" s="26" t="e">
        <f t="shared" si="370"/>
        <v>#VALUE!</v>
      </c>
      <c r="W1641" s="1" t="e">
        <f t="shared" si="371"/>
        <v>#VALUE!</v>
      </c>
      <c r="X1641" s="26" t="e">
        <f t="shared" si="372"/>
        <v>#VALUE!</v>
      </c>
      <c r="Y1641" s="26" t="e">
        <f t="shared" si="373"/>
        <v>#VALUE!</v>
      </c>
      <c r="Z1641" s="1" t="e">
        <f t="shared" si="374"/>
        <v>#VALUE!</v>
      </c>
      <c r="AA1641"/>
      <c r="AB1641"/>
    </row>
    <row r="1642" spans="1:28" x14ac:dyDescent="0.55000000000000004">
      <c r="A1642" s="1">
        <f t="shared" si="361"/>
        <v>1642</v>
      </c>
      <c r="B1642" t="s">
        <v>31</v>
      </c>
      <c r="C1642" t="s">
        <v>104</v>
      </c>
      <c r="D1642" t="s">
        <v>133</v>
      </c>
      <c r="E1642" t="s">
        <v>161</v>
      </c>
      <c r="G1642" t="s">
        <v>145</v>
      </c>
      <c r="I1642" t="s">
        <v>138</v>
      </c>
      <c r="K1642" t="s">
        <v>155</v>
      </c>
      <c r="M1642" t="s">
        <v>47</v>
      </c>
      <c r="N1642" s="1" t="e">
        <f t="shared" si="362"/>
        <v>#VALUE!</v>
      </c>
      <c r="O1642" s="1" t="e">
        <f t="shared" si="363"/>
        <v>#VALUE!</v>
      </c>
      <c r="P1642" s="1" t="e">
        <f t="shared" si="364"/>
        <v>#VALUE!</v>
      </c>
      <c r="Q1642" s="1" t="e">
        <f t="shared" si="365"/>
        <v>#VALUE!</v>
      </c>
      <c r="R1642" s="1" t="e">
        <f t="shared" si="366"/>
        <v>#VALUE!</v>
      </c>
      <c r="S1642" s="1" t="e">
        <f t="shared" si="367"/>
        <v>#VALUE!</v>
      </c>
      <c r="T1642" s="1" t="e">
        <f t="shared" si="368"/>
        <v>#VALUE!</v>
      </c>
      <c r="U1642" s="26" t="e">
        <f t="shared" si="369"/>
        <v>#VALUE!</v>
      </c>
      <c r="V1642" s="26" t="e">
        <f t="shared" si="370"/>
        <v>#VALUE!</v>
      </c>
      <c r="W1642" s="1" t="e">
        <f t="shared" si="371"/>
        <v>#VALUE!</v>
      </c>
      <c r="X1642" s="26" t="e">
        <f t="shared" si="372"/>
        <v>#VALUE!</v>
      </c>
      <c r="Y1642" s="26" t="e">
        <f t="shared" si="373"/>
        <v>#VALUE!</v>
      </c>
      <c r="Z1642" s="1" t="e">
        <f t="shared" si="374"/>
        <v>#VALUE!</v>
      </c>
      <c r="AA1642"/>
      <c r="AB1642"/>
    </row>
    <row r="1643" spans="1:28" x14ac:dyDescent="0.55000000000000004">
      <c r="A1643" s="1">
        <f t="shared" si="361"/>
        <v>1643</v>
      </c>
      <c r="B1643" t="s">
        <v>31</v>
      </c>
      <c r="C1643" t="s">
        <v>104</v>
      </c>
      <c r="D1643" t="s">
        <v>133</v>
      </c>
      <c r="E1643" t="s">
        <v>161</v>
      </c>
      <c r="G1643" t="s">
        <v>147</v>
      </c>
      <c r="I1643" t="s">
        <v>135</v>
      </c>
      <c r="K1643" t="s">
        <v>149</v>
      </c>
      <c r="M1643" t="s">
        <v>47</v>
      </c>
      <c r="N1643" s="1" t="e">
        <f t="shared" si="362"/>
        <v>#VALUE!</v>
      </c>
      <c r="O1643" s="1" t="e">
        <f t="shared" si="363"/>
        <v>#VALUE!</v>
      </c>
      <c r="P1643" s="1" t="e">
        <f t="shared" si="364"/>
        <v>#VALUE!</v>
      </c>
      <c r="Q1643" s="1" t="e">
        <f t="shared" si="365"/>
        <v>#VALUE!</v>
      </c>
      <c r="R1643" s="1" t="e">
        <f t="shared" si="366"/>
        <v>#VALUE!</v>
      </c>
      <c r="S1643" s="1" t="e">
        <f t="shared" si="367"/>
        <v>#VALUE!</v>
      </c>
      <c r="T1643" s="1" t="e">
        <f t="shared" si="368"/>
        <v>#VALUE!</v>
      </c>
      <c r="U1643" s="26" t="e">
        <f t="shared" si="369"/>
        <v>#VALUE!</v>
      </c>
      <c r="V1643" s="26" t="e">
        <f t="shared" si="370"/>
        <v>#VALUE!</v>
      </c>
      <c r="W1643" s="1" t="e">
        <f t="shared" si="371"/>
        <v>#VALUE!</v>
      </c>
      <c r="X1643" s="26" t="e">
        <f t="shared" si="372"/>
        <v>#VALUE!</v>
      </c>
      <c r="Y1643" s="26" t="e">
        <f t="shared" si="373"/>
        <v>#VALUE!</v>
      </c>
      <c r="Z1643" s="1" t="e">
        <f t="shared" si="374"/>
        <v>#VALUE!</v>
      </c>
      <c r="AA1643"/>
      <c r="AB1643"/>
    </row>
    <row r="1644" spans="1:28" x14ac:dyDescent="0.55000000000000004">
      <c r="A1644" s="1">
        <f t="shared" si="361"/>
        <v>1644</v>
      </c>
      <c r="B1644" t="s">
        <v>31</v>
      </c>
      <c r="C1644" t="s">
        <v>104</v>
      </c>
      <c r="D1644" t="s">
        <v>133</v>
      </c>
      <c r="E1644" t="s">
        <v>161</v>
      </c>
      <c r="G1644" t="s">
        <v>148</v>
      </c>
      <c r="I1644" t="s">
        <v>136</v>
      </c>
      <c r="K1644" t="s">
        <v>157</v>
      </c>
      <c r="M1644" t="s">
        <v>47</v>
      </c>
      <c r="N1644" s="1" t="e">
        <f t="shared" si="362"/>
        <v>#VALUE!</v>
      </c>
      <c r="O1644" s="1" t="e">
        <f t="shared" si="363"/>
        <v>#VALUE!</v>
      </c>
      <c r="P1644" s="1" t="e">
        <f t="shared" si="364"/>
        <v>#VALUE!</v>
      </c>
      <c r="Q1644" s="1" t="e">
        <f t="shared" si="365"/>
        <v>#VALUE!</v>
      </c>
      <c r="R1644" s="1" t="e">
        <f t="shared" si="366"/>
        <v>#VALUE!</v>
      </c>
      <c r="S1644" s="1" t="e">
        <f t="shared" si="367"/>
        <v>#VALUE!</v>
      </c>
      <c r="T1644" s="1" t="e">
        <f t="shared" si="368"/>
        <v>#VALUE!</v>
      </c>
      <c r="U1644" s="26" t="e">
        <f t="shared" si="369"/>
        <v>#VALUE!</v>
      </c>
      <c r="V1644" s="26" t="e">
        <f t="shared" si="370"/>
        <v>#VALUE!</v>
      </c>
      <c r="W1644" s="1" t="e">
        <f t="shared" si="371"/>
        <v>#VALUE!</v>
      </c>
      <c r="X1644" s="26" t="e">
        <f t="shared" si="372"/>
        <v>#VALUE!</v>
      </c>
      <c r="Y1644" s="26" t="e">
        <f t="shared" si="373"/>
        <v>#VALUE!</v>
      </c>
      <c r="Z1644" s="1" t="e">
        <f t="shared" si="374"/>
        <v>#VALUE!</v>
      </c>
      <c r="AA1644"/>
      <c r="AB1644"/>
    </row>
    <row r="1645" spans="1:28" x14ac:dyDescent="0.55000000000000004">
      <c r="A1645" s="1">
        <f t="shared" si="361"/>
        <v>1645</v>
      </c>
      <c r="B1645" t="s">
        <v>33</v>
      </c>
      <c r="C1645" t="s">
        <v>78</v>
      </c>
      <c r="D1645" t="s">
        <v>133</v>
      </c>
      <c r="E1645" t="s">
        <v>161</v>
      </c>
      <c r="F1645" t="s">
        <v>364</v>
      </c>
      <c r="G1645" t="s">
        <v>279</v>
      </c>
      <c r="I1645" t="s">
        <v>282</v>
      </c>
      <c r="K1645" t="s">
        <v>294</v>
      </c>
      <c r="M1645" t="s">
        <v>47</v>
      </c>
      <c r="N1645" s="1" t="e">
        <f t="shared" si="362"/>
        <v>#VALUE!</v>
      </c>
      <c r="O1645" s="1" t="e">
        <f t="shared" si="363"/>
        <v>#VALUE!</v>
      </c>
      <c r="P1645" s="1" t="e">
        <f t="shared" si="364"/>
        <v>#VALUE!</v>
      </c>
      <c r="Q1645" s="1" t="e">
        <f t="shared" si="365"/>
        <v>#VALUE!</v>
      </c>
      <c r="R1645" s="1" t="e">
        <f t="shared" si="366"/>
        <v>#VALUE!</v>
      </c>
      <c r="S1645" s="1" t="e">
        <f t="shared" si="367"/>
        <v>#VALUE!</v>
      </c>
      <c r="T1645" s="1" t="e">
        <f t="shared" si="368"/>
        <v>#VALUE!</v>
      </c>
      <c r="U1645" s="26" t="e">
        <f t="shared" si="369"/>
        <v>#VALUE!</v>
      </c>
      <c r="V1645" s="26" t="e">
        <f t="shared" si="370"/>
        <v>#VALUE!</v>
      </c>
      <c r="W1645" s="1" t="e">
        <f t="shared" si="371"/>
        <v>#VALUE!</v>
      </c>
      <c r="X1645" s="26" t="e">
        <f t="shared" si="372"/>
        <v>#VALUE!</v>
      </c>
      <c r="Y1645" s="26" t="e">
        <f t="shared" si="373"/>
        <v>#VALUE!</v>
      </c>
      <c r="Z1645" s="1" t="e">
        <f t="shared" si="374"/>
        <v>#VALUE!</v>
      </c>
      <c r="AA1645"/>
      <c r="AB1645"/>
    </row>
    <row r="1646" spans="1:28" x14ac:dyDescent="0.55000000000000004">
      <c r="A1646" s="1">
        <f t="shared" si="361"/>
        <v>1646</v>
      </c>
      <c r="B1646" t="s">
        <v>33</v>
      </c>
      <c r="C1646" t="s">
        <v>78</v>
      </c>
      <c r="D1646" t="s">
        <v>133</v>
      </c>
      <c r="E1646" t="s">
        <v>161</v>
      </c>
      <c r="F1646" t="s">
        <v>277</v>
      </c>
      <c r="G1646" t="s">
        <v>285</v>
      </c>
      <c r="I1646" t="s">
        <v>362</v>
      </c>
      <c r="K1646" t="s">
        <v>359</v>
      </c>
      <c r="M1646" t="s">
        <v>47</v>
      </c>
      <c r="N1646" s="1" t="e">
        <f t="shared" si="362"/>
        <v>#VALUE!</v>
      </c>
      <c r="O1646" s="1" t="e">
        <f t="shared" si="363"/>
        <v>#VALUE!</v>
      </c>
      <c r="P1646" s="1" t="e">
        <f t="shared" si="364"/>
        <v>#VALUE!</v>
      </c>
      <c r="Q1646" s="1" t="e">
        <f t="shared" si="365"/>
        <v>#VALUE!</v>
      </c>
      <c r="R1646" s="1" t="e">
        <f t="shared" si="366"/>
        <v>#VALUE!</v>
      </c>
      <c r="S1646" s="1" t="e">
        <f t="shared" si="367"/>
        <v>#VALUE!</v>
      </c>
      <c r="T1646" s="1" t="e">
        <f t="shared" si="368"/>
        <v>#VALUE!</v>
      </c>
      <c r="U1646" s="26" t="e">
        <f t="shared" si="369"/>
        <v>#VALUE!</v>
      </c>
      <c r="V1646" s="26" t="e">
        <f t="shared" si="370"/>
        <v>#VALUE!</v>
      </c>
      <c r="W1646" s="1" t="e">
        <f t="shared" si="371"/>
        <v>#VALUE!</v>
      </c>
      <c r="X1646" s="26" t="e">
        <f t="shared" si="372"/>
        <v>#VALUE!</v>
      </c>
      <c r="Y1646" s="26" t="e">
        <f t="shared" si="373"/>
        <v>#VALUE!</v>
      </c>
      <c r="Z1646" s="1" t="e">
        <f t="shared" si="374"/>
        <v>#VALUE!</v>
      </c>
      <c r="AA1646"/>
      <c r="AB1646"/>
    </row>
    <row r="1647" spans="1:28" x14ac:dyDescent="0.55000000000000004">
      <c r="A1647" s="1">
        <f t="shared" si="361"/>
        <v>1647</v>
      </c>
      <c r="B1647" t="s">
        <v>33</v>
      </c>
      <c r="C1647" t="s">
        <v>78</v>
      </c>
      <c r="D1647" t="s">
        <v>133</v>
      </c>
      <c r="E1647" t="s">
        <v>161</v>
      </c>
      <c r="F1647" t="s">
        <v>277</v>
      </c>
      <c r="G1647" t="s">
        <v>365</v>
      </c>
      <c r="I1647" t="s">
        <v>292</v>
      </c>
      <c r="K1647" t="s">
        <v>369</v>
      </c>
      <c r="M1647" t="s">
        <v>47</v>
      </c>
      <c r="N1647" s="1" t="e">
        <f t="shared" si="362"/>
        <v>#VALUE!</v>
      </c>
      <c r="O1647" s="1" t="e">
        <f t="shared" si="363"/>
        <v>#VALUE!</v>
      </c>
      <c r="P1647" s="1" t="e">
        <f t="shared" si="364"/>
        <v>#VALUE!</v>
      </c>
      <c r="Q1647" s="1" t="e">
        <f t="shared" si="365"/>
        <v>#VALUE!</v>
      </c>
      <c r="R1647" s="1" t="e">
        <f t="shared" si="366"/>
        <v>#VALUE!</v>
      </c>
      <c r="S1647" s="1" t="e">
        <f t="shared" si="367"/>
        <v>#VALUE!</v>
      </c>
      <c r="T1647" s="1" t="e">
        <f t="shared" si="368"/>
        <v>#VALUE!</v>
      </c>
      <c r="U1647" s="26" t="e">
        <f t="shared" si="369"/>
        <v>#VALUE!</v>
      </c>
      <c r="V1647" s="26" t="e">
        <f t="shared" si="370"/>
        <v>#VALUE!</v>
      </c>
      <c r="W1647" s="1" t="e">
        <f t="shared" si="371"/>
        <v>#VALUE!</v>
      </c>
      <c r="X1647" s="26" t="e">
        <f t="shared" si="372"/>
        <v>#VALUE!</v>
      </c>
      <c r="Y1647" s="26" t="e">
        <f t="shared" si="373"/>
        <v>#VALUE!</v>
      </c>
      <c r="Z1647" s="1" t="e">
        <f t="shared" si="374"/>
        <v>#VALUE!</v>
      </c>
      <c r="AA1647"/>
      <c r="AB1647"/>
    </row>
    <row r="1648" spans="1:28" x14ac:dyDescent="0.55000000000000004">
      <c r="A1648" s="1">
        <f t="shared" si="361"/>
        <v>1648</v>
      </c>
      <c r="B1648" t="s">
        <v>33</v>
      </c>
      <c r="C1648" t="s">
        <v>78</v>
      </c>
      <c r="D1648" t="s">
        <v>133</v>
      </c>
      <c r="E1648" t="s">
        <v>161</v>
      </c>
      <c r="F1648" t="s">
        <v>290</v>
      </c>
      <c r="G1648" t="s">
        <v>284</v>
      </c>
      <c r="I1648" t="s">
        <v>296</v>
      </c>
      <c r="K1648" t="s">
        <v>286</v>
      </c>
      <c r="M1648" t="s">
        <v>47</v>
      </c>
      <c r="N1648" s="1" t="e">
        <f t="shared" si="362"/>
        <v>#VALUE!</v>
      </c>
      <c r="O1648" s="1" t="e">
        <f t="shared" si="363"/>
        <v>#VALUE!</v>
      </c>
      <c r="P1648" s="1" t="e">
        <f t="shared" si="364"/>
        <v>#VALUE!</v>
      </c>
      <c r="Q1648" s="1" t="e">
        <f t="shared" si="365"/>
        <v>#VALUE!</v>
      </c>
      <c r="R1648" s="1" t="e">
        <f t="shared" si="366"/>
        <v>#VALUE!</v>
      </c>
      <c r="S1648" s="1" t="e">
        <f t="shared" si="367"/>
        <v>#VALUE!</v>
      </c>
      <c r="T1648" s="1" t="e">
        <f t="shared" si="368"/>
        <v>#VALUE!</v>
      </c>
      <c r="U1648" s="26" t="e">
        <f t="shared" si="369"/>
        <v>#VALUE!</v>
      </c>
      <c r="V1648" s="26" t="e">
        <f t="shared" si="370"/>
        <v>#VALUE!</v>
      </c>
      <c r="W1648" s="1" t="e">
        <f t="shared" si="371"/>
        <v>#VALUE!</v>
      </c>
      <c r="X1648" s="26" t="e">
        <f t="shared" si="372"/>
        <v>#VALUE!</v>
      </c>
      <c r="Y1648" s="26" t="e">
        <f t="shared" si="373"/>
        <v>#VALUE!</v>
      </c>
      <c r="Z1648" s="1" t="e">
        <f t="shared" si="374"/>
        <v>#VALUE!</v>
      </c>
      <c r="AA1648"/>
      <c r="AB1648"/>
    </row>
    <row r="1649" spans="1:28" x14ac:dyDescent="0.55000000000000004">
      <c r="A1649" s="1">
        <f t="shared" si="361"/>
        <v>1649</v>
      </c>
      <c r="B1649" t="s">
        <v>37</v>
      </c>
      <c r="C1649" t="s">
        <v>336</v>
      </c>
      <c r="D1649" t="s">
        <v>133</v>
      </c>
      <c r="E1649" t="s">
        <v>161</v>
      </c>
      <c r="F1649" t="s">
        <v>315</v>
      </c>
      <c r="G1649" t="s">
        <v>316</v>
      </c>
      <c r="I1649" t="s">
        <v>313</v>
      </c>
      <c r="K1649" t="s">
        <v>341</v>
      </c>
      <c r="M1649" t="s">
        <v>47</v>
      </c>
      <c r="N1649" s="1" t="e">
        <f t="shared" si="362"/>
        <v>#VALUE!</v>
      </c>
      <c r="O1649" s="1" t="e">
        <f t="shared" si="363"/>
        <v>#VALUE!</v>
      </c>
      <c r="P1649" s="1" t="e">
        <f t="shared" si="364"/>
        <v>#VALUE!</v>
      </c>
      <c r="Q1649" s="1" t="e">
        <f t="shared" si="365"/>
        <v>#VALUE!</v>
      </c>
      <c r="R1649" s="1" t="e">
        <f t="shared" si="366"/>
        <v>#VALUE!</v>
      </c>
      <c r="S1649" s="1" t="e">
        <f t="shared" si="367"/>
        <v>#VALUE!</v>
      </c>
      <c r="T1649" s="1" t="e">
        <f t="shared" si="368"/>
        <v>#VALUE!</v>
      </c>
      <c r="U1649" s="26" t="e">
        <f t="shared" si="369"/>
        <v>#VALUE!</v>
      </c>
      <c r="V1649" s="26" t="e">
        <f t="shared" si="370"/>
        <v>#VALUE!</v>
      </c>
      <c r="W1649" s="1" t="e">
        <f t="shared" si="371"/>
        <v>#VALUE!</v>
      </c>
      <c r="X1649" s="26" t="e">
        <f t="shared" si="372"/>
        <v>#VALUE!</v>
      </c>
      <c r="Y1649" s="26" t="e">
        <f t="shared" si="373"/>
        <v>#VALUE!</v>
      </c>
      <c r="Z1649" s="1" t="e">
        <f t="shared" si="374"/>
        <v>#VALUE!</v>
      </c>
      <c r="AA1649"/>
      <c r="AB1649"/>
    </row>
    <row r="1650" spans="1:28" x14ac:dyDescent="0.55000000000000004">
      <c r="A1650" s="1">
        <f t="shared" si="361"/>
        <v>1650</v>
      </c>
      <c r="B1650" t="s">
        <v>39</v>
      </c>
      <c r="C1650" t="s">
        <v>333</v>
      </c>
      <c r="D1650" t="s">
        <v>133</v>
      </c>
      <c r="E1650" t="s">
        <v>161</v>
      </c>
      <c r="F1650" t="s">
        <v>342</v>
      </c>
      <c r="G1650" t="s">
        <v>228</v>
      </c>
      <c r="I1650" t="s">
        <v>232</v>
      </c>
      <c r="K1650" t="s">
        <v>230</v>
      </c>
      <c r="M1650" t="s">
        <v>47</v>
      </c>
      <c r="N1650" s="1" t="e">
        <f t="shared" si="362"/>
        <v>#VALUE!</v>
      </c>
      <c r="O1650" s="1" t="e">
        <f t="shared" si="363"/>
        <v>#VALUE!</v>
      </c>
      <c r="P1650" s="1" t="e">
        <f t="shared" si="364"/>
        <v>#VALUE!</v>
      </c>
      <c r="Q1650" s="1" t="e">
        <f t="shared" si="365"/>
        <v>#VALUE!</v>
      </c>
      <c r="R1650" s="1" t="e">
        <f t="shared" si="366"/>
        <v>#VALUE!</v>
      </c>
      <c r="S1650" s="1" t="e">
        <f t="shared" si="367"/>
        <v>#VALUE!</v>
      </c>
      <c r="T1650" s="1" t="e">
        <f t="shared" si="368"/>
        <v>#VALUE!</v>
      </c>
      <c r="U1650" s="26" t="e">
        <f t="shared" si="369"/>
        <v>#VALUE!</v>
      </c>
      <c r="V1650" s="26" t="e">
        <f t="shared" si="370"/>
        <v>#VALUE!</v>
      </c>
      <c r="W1650" s="1" t="e">
        <f t="shared" si="371"/>
        <v>#VALUE!</v>
      </c>
      <c r="X1650" s="26" t="e">
        <f t="shared" si="372"/>
        <v>#VALUE!</v>
      </c>
      <c r="Y1650" s="26" t="e">
        <f t="shared" si="373"/>
        <v>#VALUE!</v>
      </c>
      <c r="Z1650" s="1" t="e">
        <f t="shared" si="374"/>
        <v>#VALUE!</v>
      </c>
      <c r="AA1650"/>
      <c r="AB1650"/>
    </row>
    <row r="1651" spans="1:28" x14ac:dyDescent="0.55000000000000004">
      <c r="A1651" s="1">
        <f t="shared" si="361"/>
        <v>1651</v>
      </c>
      <c r="B1651" t="s">
        <v>39</v>
      </c>
      <c r="C1651" t="s">
        <v>333</v>
      </c>
      <c r="D1651" t="s">
        <v>133</v>
      </c>
      <c r="E1651" t="s">
        <v>161</v>
      </c>
      <c r="F1651" t="s">
        <v>343</v>
      </c>
      <c r="G1651" t="s">
        <v>222</v>
      </c>
      <c r="I1651" t="s">
        <v>234</v>
      </c>
      <c r="K1651" t="s">
        <v>224</v>
      </c>
      <c r="M1651" t="s">
        <v>47</v>
      </c>
      <c r="N1651" s="1" t="e">
        <f t="shared" si="362"/>
        <v>#VALUE!</v>
      </c>
      <c r="O1651" s="1" t="e">
        <f t="shared" si="363"/>
        <v>#VALUE!</v>
      </c>
      <c r="P1651" s="1" t="e">
        <f t="shared" si="364"/>
        <v>#VALUE!</v>
      </c>
      <c r="Q1651" s="1" t="e">
        <f t="shared" si="365"/>
        <v>#VALUE!</v>
      </c>
      <c r="R1651" s="1" t="e">
        <f t="shared" si="366"/>
        <v>#VALUE!</v>
      </c>
      <c r="S1651" s="1" t="e">
        <f t="shared" si="367"/>
        <v>#VALUE!</v>
      </c>
      <c r="T1651" s="1" t="e">
        <f t="shared" si="368"/>
        <v>#VALUE!</v>
      </c>
      <c r="U1651" s="26" t="e">
        <f t="shared" si="369"/>
        <v>#VALUE!</v>
      </c>
      <c r="V1651" s="26" t="e">
        <f t="shared" si="370"/>
        <v>#VALUE!</v>
      </c>
      <c r="W1651" s="1" t="e">
        <f t="shared" si="371"/>
        <v>#VALUE!</v>
      </c>
      <c r="X1651" s="26" t="e">
        <f t="shared" si="372"/>
        <v>#VALUE!</v>
      </c>
      <c r="Y1651" s="26" t="e">
        <f t="shared" si="373"/>
        <v>#VALUE!</v>
      </c>
      <c r="Z1651" s="1" t="e">
        <f t="shared" si="374"/>
        <v>#VALUE!</v>
      </c>
      <c r="AA1651"/>
      <c r="AB1651"/>
    </row>
    <row r="1652" spans="1:28" x14ac:dyDescent="0.55000000000000004">
      <c r="A1652" s="1">
        <f t="shared" si="361"/>
        <v>1652</v>
      </c>
      <c r="B1652" t="s">
        <v>30</v>
      </c>
      <c r="C1652" t="s">
        <v>41</v>
      </c>
      <c r="D1652" t="s">
        <v>42</v>
      </c>
      <c r="E1652" t="s">
        <v>43</v>
      </c>
      <c r="G1652" t="s">
        <v>44</v>
      </c>
      <c r="I1652" t="s">
        <v>45</v>
      </c>
      <c r="K1652" t="s">
        <v>46</v>
      </c>
      <c r="M1652" t="s">
        <v>47</v>
      </c>
      <c r="N1652" s="1" t="e">
        <f t="shared" si="362"/>
        <v>#VALUE!</v>
      </c>
      <c r="O1652" s="1" t="e">
        <f t="shared" si="363"/>
        <v>#VALUE!</v>
      </c>
      <c r="P1652" s="1" t="e">
        <f t="shared" si="364"/>
        <v>#VALUE!</v>
      </c>
      <c r="Q1652" s="1" t="e">
        <f t="shared" si="365"/>
        <v>#VALUE!</v>
      </c>
      <c r="R1652" s="1" t="e">
        <f t="shared" si="366"/>
        <v>#VALUE!</v>
      </c>
      <c r="S1652" s="1" t="e">
        <f t="shared" si="367"/>
        <v>#VALUE!</v>
      </c>
      <c r="T1652" s="1" t="e">
        <f t="shared" si="368"/>
        <v>#VALUE!</v>
      </c>
      <c r="U1652" s="26" t="e">
        <f t="shared" si="369"/>
        <v>#VALUE!</v>
      </c>
      <c r="V1652" s="26" t="e">
        <f t="shared" si="370"/>
        <v>#VALUE!</v>
      </c>
      <c r="W1652" s="1" t="e">
        <f t="shared" si="371"/>
        <v>#VALUE!</v>
      </c>
      <c r="X1652" s="26" t="e">
        <f t="shared" si="372"/>
        <v>#VALUE!</v>
      </c>
      <c r="Y1652" s="26" t="e">
        <f t="shared" si="373"/>
        <v>#VALUE!</v>
      </c>
      <c r="Z1652" s="1" t="e">
        <f t="shared" si="374"/>
        <v>#VALUE!</v>
      </c>
      <c r="AA1652"/>
      <c r="AB1652"/>
    </row>
    <row r="1653" spans="1:28" x14ac:dyDescent="0.55000000000000004">
      <c r="A1653" s="1">
        <f t="shared" si="361"/>
        <v>1653</v>
      </c>
      <c r="B1653" t="s">
        <v>30</v>
      </c>
      <c r="C1653" t="s">
        <v>41</v>
      </c>
      <c r="D1653" t="s">
        <v>42</v>
      </c>
      <c r="E1653" t="s">
        <v>43</v>
      </c>
      <c r="G1653" t="s">
        <v>48</v>
      </c>
      <c r="I1653" t="s">
        <v>49</v>
      </c>
      <c r="K1653" t="s">
        <v>50</v>
      </c>
      <c r="M1653" t="s">
        <v>47</v>
      </c>
      <c r="N1653" s="1" t="e">
        <f t="shared" si="362"/>
        <v>#VALUE!</v>
      </c>
      <c r="O1653" s="1" t="e">
        <f t="shared" si="363"/>
        <v>#VALUE!</v>
      </c>
      <c r="P1653" s="1" t="e">
        <f t="shared" si="364"/>
        <v>#VALUE!</v>
      </c>
      <c r="Q1653" s="1" t="e">
        <f t="shared" si="365"/>
        <v>#VALUE!</v>
      </c>
      <c r="R1653" s="1" t="e">
        <f t="shared" si="366"/>
        <v>#VALUE!</v>
      </c>
      <c r="S1653" s="1" t="e">
        <f t="shared" si="367"/>
        <v>#VALUE!</v>
      </c>
      <c r="T1653" s="1" t="e">
        <f t="shared" si="368"/>
        <v>#VALUE!</v>
      </c>
      <c r="U1653" s="26" t="e">
        <f t="shared" si="369"/>
        <v>#VALUE!</v>
      </c>
      <c r="V1653" s="26" t="e">
        <f t="shared" si="370"/>
        <v>#VALUE!</v>
      </c>
      <c r="W1653" s="1" t="e">
        <f t="shared" si="371"/>
        <v>#VALUE!</v>
      </c>
      <c r="X1653" s="26" t="e">
        <f t="shared" si="372"/>
        <v>#VALUE!</v>
      </c>
      <c r="Y1653" s="26" t="e">
        <f t="shared" si="373"/>
        <v>#VALUE!</v>
      </c>
      <c r="Z1653" s="1" t="e">
        <f t="shared" si="374"/>
        <v>#VALUE!</v>
      </c>
      <c r="AA1653"/>
      <c r="AB1653"/>
    </row>
    <row r="1654" spans="1:28" x14ac:dyDescent="0.55000000000000004">
      <c r="A1654" s="1">
        <f t="shared" si="361"/>
        <v>1654</v>
      </c>
      <c r="B1654" t="s">
        <v>30</v>
      </c>
      <c r="C1654" t="s">
        <v>41</v>
      </c>
      <c r="D1654" t="s">
        <v>42</v>
      </c>
      <c r="E1654" t="s">
        <v>43</v>
      </c>
      <c r="G1654" t="s">
        <v>51</v>
      </c>
      <c r="I1654" t="s">
        <v>52</v>
      </c>
      <c r="K1654" t="s">
        <v>53</v>
      </c>
      <c r="M1654" t="s">
        <v>47</v>
      </c>
      <c r="N1654" s="1" t="e">
        <f t="shared" si="362"/>
        <v>#VALUE!</v>
      </c>
      <c r="O1654" s="1" t="e">
        <f t="shared" si="363"/>
        <v>#VALUE!</v>
      </c>
      <c r="P1654" s="1" t="e">
        <f t="shared" si="364"/>
        <v>#VALUE!</v>
      </c>
      <c r="Q1654" s="1" t="e">
        <f t="shared" si="365"/>
        <v>#VALUE!</v>
      </c>
      <c r="R1654" s="1" t="e">
        <f t="shared" si="366"/>
        <v>#VALUE!</v>
      </c>
      <c r="S1654" s="1" t="e">
        <f t="shared" si="367"/>
        <v>#VALUE!</v>
      </c>
      <c r="T1654" s="1" t="e">
        <f t="shared" si="368"/>
        <v>#VALUE!</v>
      </c>
      <c r="U1654" s="26" t="e">
        <f t="shared" si="369"/>
        <v>#VALUE!</v>
      </c>
      <c r="V1654" s="26" t="e">
        <f t="shared" si="370"/>
        <v>#VALUE!</v>
      </c>
      <c r="W1654" s="1" t="e">
        <f t="shared" si="371"/>
        <v>#VALUE!</v>
      </c>
      <c r="X1654" s="26" t="e">
        <f t="shared" si="372"/>
        <v>#VALUE!</v>
      </c>
      <c r="Y1654" s="26" t="e">
        <f t="shared" si="373"/>
        <v>#VALUE!</v>
      </c>
      <c r="Z1654" s="1" t="e">
        <f t="shared" si="374"/>
        <v>#VALUE!</v>
      </c>
      <c r="AA1654"/>
      <c r="AB1654"/>
    </row>
    <row r="1655" spans="1:28" x14ac:dyDescent="0.55000000000000004">
      <c r="A1655" s="1">
        <f t="shared" si="361"/>
        <v>1655</v>
      </c>
      <c r="B1655" t="s">
        <v>30</v>
      </c>
      <c r="C1655" t="s">
        <v>41</v>
      </c>
      <c r="D1655" t="s">
        <v>42</v>
      </c>
      <c r="E1655" t="s">
        <v>43</v>
      </c>
      <c r="G1655" t="s">
        <v>54</v>
      </c>
      <c r="I1655" t="s">
        <v>55</v>
      </c>
      <c r="K1655" t="s">
        <v>56</v>
      </c>
      <c r="M1655" t="s">
        <v>47</v>
      </c>
      <c r="N1655" s="1" t="e">
        <f t="shared" si="362"/>
        <v>#VALUE!</v>
      </c>
      <c r="O1655" s="1" t="e">
        <f t="shared" si="363"/>
        <v>#VALUE!</v>
      </c>
      <c r="P1655" s="1" t="e">
        <f t="shared" si="364"/>
        <v>#VALUE!</v>
      </c>
      <c r="Q1655" s="1" t="e">
        <f t="shared" si="365"/>
        <v>#VALUE!</v>
      </c>
      <c r="R1655" s="1" t="e">
        <f t="shared" si="366"/>
        <v>#VALUE!</v>
      </c>
      <c r="S1655" s="1" t="e">
        <f t="shared" si="367"/>
        <v>#VALUE!</v>
      </c>
      <c r="T1655" s="1" t="e">
        <f t="shared" si="368"/>
        <v>#VALUE!</v>
      </c>
      <c r="U1655" s="26" t="e">
        <f t="shared" si="369"/>
        <v>#VALUE!</v>
      </c>
      <c r="V1655" s="26" t="e">
        <f t="shared" si="370"/>
        <v>#VALUE!</v>
      </c>
      <c r="W1655" s="1" t="e">
        <f t="shared" si="371"/>
        <v>#VALUE!</v>
      </c>
      <c r="X1655" s="26" t="e">
        <f t="shared" si="372"/>
        <v>#VALUE!</v>
      </c>
      <c r="Y1655" s="26" t="e">
        <f t="shared" si="373"/>
        <v>#VALUE!</v>
      </c>
      <c r="Z1655" s="1" t="e">
        <f t="shared" si="374"/>
        <v>#VALUE!</v>
      </c>
      <c r="AA1655"/>
      <c r="AB1655"/>
    </row>
    <row r="1656" spans="1:28" x14ac:dyDescent="0.55000000000000004">
      <c r="A1656" s="1">
        <f t="shared" si="361"/>
        <v>1656</v>
      </c>
      <c r="B1656" t="s">
        <v>30</v>
      </c>
      <c r="C1656" t="s">
        <v>41</v>
      </c>
      <c r="D1656" t="s">
        <v>42</v>
      </c>
      <c r="E1656" t="s">
        <v>43</v>
      </c>
      <c r="G1656" t="s">
        <v>57</v>
      </c>
      <c r="I1656" t="s">
        <v>58</v>
      </c>
      <c r="K1656" t="s">
        <v>59</v>
      </c>
      <c r="M1656" t="s">
        <v>47</v>
      </c>
      <c r="N1656" s="1" t="e">
        <f t="shared" si="362"/>
        <v>#VALUE!</v>
      </c>
      <c r="O1656" s="1" t="e">
        <f t="shared" si="363"/>
        <v>#VALUE!</v>
      </c>
      <c r="P1656" s="1" t="e">
        <f t="shared" si="364"/>
        <v>#VALUE!</v>
      </c>
      <c r="Q1656" s="1" t="e">
        <f t="shared" si="365"/>
        <v>#VALUE!</v>
      </c>
      <c r="R1656" s="1" t="e">
        <f t="shared" si="366"/>
        <v>#VALUE!</v>
      </c>
      <c r="S1656" s="1" t="e">
        <f t="shared" si="367"/>
        <v>#VALUE!</v>
      </c>
      <c r="T1656" s="1" t="e">
        <f t="shared" si="368"/>
        <v>#VALUE!</v>
      </c>
      <c r="U1656" s="26" t="e">
        <f t="shared" si="369"/>
        <v>#VALUE!</v>
      </c>
      <c r="V1656" s="26" t="e">
        <f t="shared" si="370"/>
        <v>#VALUE!</v>
      </c>
      <c r="W1656" s="1" t="e">
        <f t="shared" si="371"/>
        <v>#VALUE!</v>
      </c>
      <c r="X1656" s="26" t="e">
        <f t="shared" si="372"/>
        <v>#VALUE!</v>
      </c>
      <c r="Y1656" s="26" t="e">
        <f t="shared" si="373"/>
        <v>#VALUE!</v>
      </c>
      <c r="Z1656" s="1" t="e">
        <f t="shared" si="374"/>
        <v>#VALUE!</v>
      </c>
      <c r="AA1656"/>
      <c r="AB1656"/>
    </row>
    <row r="1657" spans="1:28" x14ac:dyDescent="0.55000000000000004">
      <c r="A1657" s="1">
        <f t="shared" si="361"/>
        <v>1657</v>
      </c>
      <c r="B1657" t="s">
        <v>30</v>
      </c>
      <c r="C1657" t="s">
        <v>41</v>
      </c>
      <c r="D1657" t="s">
        <v>42</v>
      </c>
      <c r="E1657" t="s">
        <v>43</v>
      </c>
      <c r="G1657" t="s">
        <v>60</v>
      </c>
      <c r="I1657" t="s">
        <v>61</v>
      </c>
      <c r="K1657" t="s">
        <v>62</v>
      </c>
      <c r="M1657" t="s">
        <v>47</v>
      </c>
      <c r="N1657" s="1" t="e">
        <f t="shared" si="362"/>
        <v>#VALUE!</v>
      </c>
      <c r="O1657" s="1" t="e">
        <f t="shared" si="363"/>
        <v>#VALUE!</v>
      </c>
      <c r="P1657" s="1" t="e">
        <f t="shared" si="364"/>
        <v>#VALUE!</v>
      </c>
      <c r="Q1657" s="1" t="e">
        <f t="shared" si="365"/>
        <v>#VALUE!</v>
      </c>
      <c r="R1657" s="1" t="e">
        <f t="shared" si="366"/>
        <v>#VALUE!</v>
      </c>
      <c r="S1657" s="1" t="e">
        <f t="shared" si="367"/>
        <v>#VALUE!</v>
      </c>
      <c r="T1657" s="1" t="e">
        <f t="shared" si="368"/>
        <v>#VALUE!</v>
      </c>
      <c r="U1657" s="26" t="e">
        <f t="shared" si="369"/>
        <v>#VALUE!</v>
      </c>
      <c r="V1657" s="26" t="e">
        <f t="shared" si="370"/>
        <v>#VALUE!</v>
      </c>
      <c r="W1657" s="1" t="e">
        <f t="shared" si="371"/>
        <v>#VALUE!</v>
      </c>
      <c r="X1657" s="26" t="e">
        <f t="shared" si="372"/>
        <v>#VALUE!</v>
      </c>
      <c r="Y1657" s="26" t="e">
        <f t="shared" si="373"/>
        <v>#VALUE!</v>
      </c>
      <c r="Z1657" s="1" t="e">
        <f t="shared" si="374"/>
        <v>#VALUE!</v>
      </c>
      <c r="AA1657"/>
      <c r="AB1657"/>
    </row>
    <row r="1658" spans="1:28" x14ac:dyDescent="0.55000000000000004">
      <c r="A1658" s="1">
        <f t="shared" si="361"/>
        <v>1658</v>
      </c>
      <c r="B1658" t="s">
        <v>30</v>
      </c>
      <c r="C1658" t="s">
        <v>41</v>
      </c>
      <c r="D1658" t="s">
        <v>42</v>
      </c>
      <c r="E1658" t="s">
        <v>43</v>
      </c>
      <c r="G1658" t="s">
        <v>63</v>
      </c>
      <c r="I1658" t="s">
        <v>64</v>
      </c>
      <c r="K1658" t="s">
        <v>65</v>
      </c>
      <c r="M1658" t="s">
        <v>47</v>
      </c>
      <c r="N1658" s="1" t="e">
        <f t="shared" si="362"/>
        <v>#VALUE!</v>
      </c>
      <c r="O1658" s="1" t="e">
        <f t="shared" si="363"/>
        <v>#VALUE!</v>
      </c>
      <c r="P1658" s="1" t="e">
        <f t="shared" si="364"/>
        <v>#VALUE!</v>
      </c>
      <c r="Q1658" s="1" t="e">
        <f t="shared" si="365"/>
        <v>#VALUE!</v>
      </c>
      <c r="R1658" s="1" t="e">
        <f t="shared" si="366"/>
        <v>#VALUE!</v>
      </c>
      <c r="S1658" s="1" t="e">
        <f t="shared" si="367"/>
        <v>#VALUE!</v>
      </c>
      <c r="T1658" s="1" t="e">
        <f t="shared" si="368"/>
        <v>#VALUE!</v>
      </c>
      <c r="U1658" s="26" t="e">
        <f t="shared" si="369"/>
        <v>#VALUE!</v>
      </c>
      <c r="V1658" s="26" t="e">
        <f t="shared" si="370"/>
        <v>#VALUE!</v>
      </c>
      <c r="W1658" s="1" t="e">
        <f t="shared" si="371"/>
        <v>#VALUE!</v>
      </c>
      <c r="X1658" s="26" t="e">
        <f t="shared" si="372"/>
        <v>#VALUE!</v>
      </c>
      <c r="Y1658" s="26" t="e">
        <f t="shared" si="373"/>
        <v>#VALUE!</v>
      </c>
      <c r="Z1658" s="1" t="e">
        <f t="shared" si="374"/>
        <v>#VALUE!</v>
      </c>
      <c r="AA1658"/>
      <c r="AB1658"/>
    </row>
    <row r="1659" spans="1:28" x14ac:dyDescent="0.55000000000000004">
      <c r="A1659" s="1">
        <f t="shared" si="361"/>
        <v>1659</v>
      </c>
      <c r="B1659" t="s">
        <v>30</v>
      </c>
      <c r="C1659" t="s">
        <v>41</v>
      </c>
      <c r="D1659" t="s">
        <v>42</v>
      </c>
      <c r="E1659" t="s">
        <v>43</v>
      </c>
      <c r="G1659" t="s">
        <v>66</v>
      </c>
      <c r="I1659" t="s">
        <v>67</v>
      </c>
      <c r="K1659" t="s">
        <v>68</v>
      </c>
      <c r="M1659" t="s">
        <v>47</v>
      </c>
      <c r="N1659" s="1" t="e">
        <f t="shared" si="362"/>
        <v>#VALUE!</v>
      </c>
      <c r="O1659" s="1" t="e">
        <f t="shared" si="363"/>
        <v>#VALUE!</v>
      </c>
      <c r="P1659" s="1" t="e">
        <f t="shared" si="364"/>
        <v>#VALUE!</v>
      </c>
      <c r="Q1659" s="1" t="e">
        <f t="shared" si="365"/>
        <v>#VALUE!</v>
      </c>
      <c r="R1659" s="1" t="e">
        <f t="shared" si="366"/>
        <v>#VALUE!</v>
      </c>
      <c r="S1659" s="1" t="e">
        <f t="shared" si="367"/>
        <v>#VALUE!</v>
      </c>
      <c r="T1659" s="1" t="e">
        <f t="shared" si="368"/>
        <v>#VALUE!</v>
      </c>
      <c r="U1659" s="26" t="e">
        <f t="shared" si="369"/>
        <v>#VALUE!</v>
      </c>
      <c r="V1659" s="26" t="e">
        <f t="shared" si="370"/>
        <v>#VALUE!</v>
      </c>
      <c r="W1659" s="1" t="e">
        <f t="shared" si="371"/>
        <v>#VALUE!</v>
      </c>
      <c r="X1659" s="26" t="e">
        <f t="shared" si="372"/>
        <v>#VALUE!</v>
      </c>
      <c r="Y1659" s="26" t="e">
        <f t="shared" si="373"/>
        <v>#VALUE!</v>
      </c>
      <c r="Z1659" s="1" t="e">
        <f t="shared" si="374"/>
        <v>#VALUE!</v>
      </c>
      <c r="AA1659"/>
      <c r="AB1659"/>
    </row>
    <row r="1660" spans="1:28" x14ac:dyDescent="0.55000000000000004">
      <c r="A1660" s="1">
        <f t="shared" si="361"/>
        <v>1660</v>
      </c>
      <c r="B1660" t="s">
        <v>34</v>
      </c>
      <c r="C1660" t="s">
        <v>114</v>
      </c>
      <c r="D1660" t="s">
        <v>42</v>
      </c>
      <c r="E1660" t="s">
        <v>43</v>
      </c>
      <c r="G1660" t="s">
        <v>102</v>
      </c>
      <c r="I1660" t="s">
        <v>90</v>
      </c>
      <c r="K1660" t="s">
        <v>106</v>
      </c>
      <c r="M1660" t="s">
        <v>47</v>
      </c>
      <c r="N1660" s="1" t="e">
        <f t="shared" si="362"/>
        <v>#VALUE!</v>
      </c>
      <c r="O1660" s="1" t="e">
        <f t="shared" si="363"/>
        <v>#VALUE!</v>
      </c>
      <c r="P1660" s="1" t="e">
        <f t="shared" si="364"/>
        <v>#VALUE!</v>
      </c>
      <c r="Q1660" s="1" t="e">
        <f t="shared" si="365"/>
        <v>#VALUE!</v>
      </c>
      <c r="R1660" s="1" t="e">
        <f t="shared" si="366"/>
        <v>#VALUE!</v>
      </c>
      <c r="S1660" s="1" t="e">
        <f t="shared" si="367"/>
        <v>#VALUE!</v>
      </c>
      <c r="T1660" s="1" t="e">
        <f t="shared" si="368"/>
        <v>#VALUE!</v>
      </c>
      <c r="U1660" s="26" t="e">
        <f t="shared" si="369"/>
        <v>#VALUE!</v>
      </c>
      <c r="V1660" s="26" t="e">
        <f t="shared" si="370"/>
        <v>#VALUE!</v>
      </c>
      <c r="W1660" s="1" t="e">
        <f t="shared" si="371"/>
        <v>#VALUE!</v>
      </c>
      <c r="X1660" s="26" t="e">
        <f t="shared" si="372"/>
        <v>#VALUE!</v>
      </c>
      <c r="Y1660" s="26" t="e">
        <f t="shared" si="373"/>
        <v>#VALUE!</v>
      </c>
      <c r="Z1660" s="1" t="e">
        <f t="shared" si="374"/>
        <v>#VALUE!</v>
      </c>
      <c r="AA1660"/>
      <c r="AB1660"/>
    </row>
    <row r="1661" spans="1:28" x14ac:dyDescent="0.55000000000000004">
      <c r="A1661" s="1">
        <f t="shared" si="361"/>
        <v>1661</v>
      </c>
      <c r="B1661" t="s">
        <v>34</v>
      </c>
      <c r="C1661" t="s">
        <v>114</v>
      </c>
      <c r="D1661" t="s">
        <v>42</v>
      </c>
      <c r="E1661" t="s">
        <v>43</v>
      </c>
      <c r="G1661" t="s">
        <v>96</v>
      </c>
      <c r="I1661" t="s">
        <v>98</v>
      </c>
      <c r="K1661" t="s">
        <v>110</v>
      </c>
      <c r="M1661" t="s">
        <v>47</v>
      </c>
      <c r="N1661" s="1" t="e">
        <f t="shared" si="362"/>
        <v>#VALUE!</v>
      </c>
      <c r="O1661" s="1" t="e">
        <f t="shared" si="363"/>
        <v>#VALUE!</v>
      </c>
      <c r="P1661" s="1" t="e">
        <f t="shared" si="364"/>
        <v>#VALUE!</v>
      </c>
      <c r="Q1661" s="1" t="e">
        <f t="shared" si="365"/>
        <v>#VALUE!</v>
      </c>
      <c r="R1661" s="1" t="e">
        <f t="shared" si="366"/>
        <v>#VALUE!</v>
      </c>
      <c r="S1661" s="1" t="e">
        <f t="shared" si="367"/>
        <v>#VALUE!</v>
      </c>
      <c r="T1661" s="1" t="e">
        <f t="shared" si="368"/>
        <v>#VALUE!</v>
      </c>
      <c r="U1661" s="26" t="e">
        <f t="shared" si="369"/>
        <v>#VALUE!</v>
      </c>
      <c r="V1661" s="26" t="e">
        <f t="shared" si="370"/>
        <v>#VALUE!</v>
      </c>
      <c r="W1661" s="1" t="e">
        <f t="shared" si="371"/>
        <v>#VALUE!</v>
      </c>
      <c r="X1661" s="26" t="e">
        <f t="shared" si="372"/>
        <v>#VALUE!</v>
      </c>
      <c r="Y1661" s="26" t="e">
        <f t="shared" si="373"/>
        <v>#VALUE!</v>
      </c>
      <c r="Z1661" s="1" t="e">
        <f t="shared" si="374"/>
        <v>#VALUE!</v>
      </c>
      <c r="AA1661"/>
      <c r="AB1661"/>
    </row>
    <row r="1662" spans="1:28" x14ac:dyDescent="0.55000000000000004">
      <c r="A1662" s="1">
        <f t="shared" si="361"/>
        <v>1662</v>
      </c>
      <c r="B1662" t="s">
        <v>34</v>
      </c>
      <c r="C1662" t="s">
        <v>114</v>
      </c>
      <c r="D1662" t="s">
        <v>42</v>
      </c>
      <c r="E1662" t="s">
        <v>43</v>
      </c>
      <c r="G1662" t="s">
        <v>95</v>
      </c>
      <c r="I1662" t="s">
        <v>92</v>
      </c>
      <c r="K1662" t="s">
        <v>97</v>
      </c>
      <c r="M1662" t="s">
        <v>47</v>
      </c>
      <c r="N1662" s="1" t="e">
        <f t="shared" si="362"/>
        <v>#VALUE!</v>
      </c>
      <c r="O1662" s="1" t="e">
        <f t="shared" si="363"/>
        <v>#VALUE!</v>
      </c>
      <c r="P1662" s="1" t="e">
        <f t="shared" si="364"/>
        <v>#VALUE!</v>
      </c>
      <c r="Q1662" s="1" t="e">
        <f t="shared" si="365"/>
        <v>#VALUE!</v>
      </c>
      <c r="R1662" s="1" t="e">
        <f t="shared" si="366"/>
        <v>#VALUE!</v>
      </c>
      <c r="S1662" s="1" t="e">
        <f t="shared" si="367"/>
        <v>#VALUE!</v>
      </c>
      <c r="T1662" s="1" t="e">
        <f t="shared" si="368"/>
        <v>#VALUE!</v>
      </c>
      <c r="U1662" s="26" t="e">
        <f t="shared" si="369"/>
        <v>#VALUE!</v>
      </c>
      <c r="V1662" s="26" t="e">
        <f t="shared" si="370"/>
        <v>#VALUE!</v>
      </c>
      <c r="W1662" s="1" t="e">
        <f t="shared" si="371"/>
        <v>#VALUE!</v>
      </c>
      <c r="X1662" s="26" t="e">
        <f t="shared" si="372"/>
        <v>#VALUE!</v>
      </c>
      <c r="Y1662" s="26" t="e">
        <f t="shared" si="373"/>
        <v>#VALUE!</v>
      </c>
      <c r="Z1662" s="1" t="e">
        <f t="shared" si="374"/>
        <v>#VALUE!</v>
      </c>
      <c r="AA1662"/>
      <c r="AB1662"/>
    </row>
    <row r="1663" spans="1:28" x14ac:dyDescent="0.55000000000000004">
      <c r="A1663" s="1">
        <f t="shared" si="361"/>
        <v>1663</v>
      </c>
      <c r="B1663" t="s">
        <v>34</v>
      </c>
      <c r="C1663" t="s">
        <v>114</v>
      </c>
      <c r="D1663" t="s">
        <v>42</v>
      </c>
      <c r="E1663" t="s">
        <v>43</v>
      </c>
      <c r="G1663" t="s">
        <v>86</v>
      </c>
      <c r="I1663" t="s">
        <v>93</v>
      </c>
      <c r="K1663" t="s">
        <v>88</v>
      </c>
      <c r="M1663" t="s">
        <v>47</v>
      </c>
      <c r="N1663" s="1" t="e">
        <f t="shared" si="362"/>
        <v>#VALUE!</v>
      </c>
      <c r="O1663" s="1" t="e">
        <f t="shared" si="363"/>
        <v>#VALUE!</v>
      </c>
      <c r="P1663" s="1" t="e">
        <f t="shared" si="364"/>
        <v>#VALUE!</v>
      </c>
      <c r="Q1663" s="1" t="e">
        <f t="shared" si="365"/>
        <v>#VALUE!</v>
      </c>
      <c r="R1663" s="1" t="e">
        <f t="shared" si="366"/>
        <v>#VALUE!</v>
      </c>
      <c r="S1663" s="1" t="e">
        <f t="shared" si="367"/>
        <v>#VALUE!</v>
      </c>
      <c r="T1663" s="1" t="e">
        <f t="shared" si="368"/>
        <v>#VALUE!</v>
      </c>
      <c r="U1663" s="26" t="e">
        <f t="shared" si="369"/>
        <v>#VALUE!</v>
      </c>
      <c r="V1663" s="26" t="e">
        <f t="shared" si="370"/>
        <v>#VALUE!</v>
      </c>
      <c r="W1663" s="1" t="e">
        <f t="shared" si="371"/>
        <v>#VALUE!</v>
      </c>
      <c r="X1663" s="26" t="e">
        <f t="shared" si="372"/>
        <v>#VALUE!</v>
      </c>
      <c r="Y1663" s="26" t="e">
        <f t="shared" si="373"/>
        <v>#VALUE!</v>
      </c>
      <c r="Z1663" s="1" t="e">
        <f t="shared" si="374"/>
        <v>#VALUE!</v>
      </c>
      <c r="AA1663"/>
      <c r="AB1663"/>
    </row>
    <row r="1664" spans="1:28" x14ac:dyDescent="0.55000000000000004">
      <c r="A1664" s="1">
        <f t="shared" si="361"/>
        <v>1664</v>
      </c>
      <c r="B1664" t="s">
        <v>34</v>
      </c>
      <c r="C1664" t="s">
        <v>114</v>
      </c>
      <c r="D1664" t="s">
        <v>42</v>
      </c>
      <c r="E1664" t="s">
        <v>43</v>
      </c>
      <c r="G1664" t="s">
        <v>99</v>
      </c>
      <c r="I1664" t="s">
        <v>89</v>
      </c>
      <c r="K1664" t="s">
        <v>107</v>
      </c>
      <c r="M1664" t="s">
        <v>47</v>
      </c>
      <c r="N1664" s="1" t="e">
        <f t="shared" si="362"/>
        <v>#VALUE!</v>
      </c>
      <c r="O1664" s="1" t="e">
        <f t="shared" si="363"/>
        <v>#VALUE!</v>
      </c>
      <c r="P1664" s="1" t="e">
        <f t="shared" si="364"/>
        <v>#VALUE!</v>
      </c>
      <c r="Q1664" s="1" t="e">
        <f t="shared" si="365"/>
        <v>#VALUE!</v>
      </c>
      <c r="R1664" s="1" t="e">
        <f t="shared" si="366"/>
        <v>#VALUE!</v>
      </c>
      <c r="S1664" s="1" t="e">
        <f t="shared" si="367"/>
        <v>#VALUE!</v>
      </c>
      <c r="T1664" s="1" t="e">
        <f t="shared" si="368"/>
        <v>#VALUE!</v>
      </c>
      <c r="U1664" s="26" t="e">
        <f t="shared" si="369"/>
        <v>#VALUE!</v>
      </c>
      <c r="V1664" s="26" t="e">
        <f t="shared" si="370"/>
        <v>#VALUE!</v>
      </c>
      <c r="W1664" s="1" t="e">
        <f t="shared" si="371"/>
        <v>#VALUE!</v>
      </c>
      <c r="X1664" s="26" t="e">
        <f t="shared" si="372"/>
        <v>#VALUE!</v>
      </c>
      <c r="Y1664" s="26" t="e">
        <f t="shared" si="373"/>
        <v>#VALUE!</v>
      </c>
      <c r="Z1664" s="1" t="e">
        <f t="shared" si="374"/>
        <v>#VALUE!</v>
      </c>
      <c r="AA1664"/>
      <c r="AB1664"/>
    </row>
    <row r="1665" spans="1:28" x14ac:dyDescent="0.55000000000000004">
      <c r="A1665" s="1">
        <f t="shared" si="361"/>
        <v>1665</v>
      </c>
      <c r="B1665" t="s">
        <v>34</v>
      </c>
      <c r="C1665" t="s">
        <v>114</v>
      </c>
      <c r="D1665" t="s">
        <v>42</v>
      </c>
      <c r="E1665" t="s">
        <v>43</v>
      </c>
      <c r="G1665" t="s">
        <v>87</v>
      </c>
      <c r="I1665" t="s">
        <v>101</v>
      </c>
      <c r="K1665" t="s">
        <v>109</v>
      </c>
      <c r="M1665" t="s">
        <v>47</v>
      </c>
      <c r="N1665" s="1" t="e">
        <f t="shared" si="362"/>
        <v>#VALUE!</v>
      </c>
      <c r="O1665" s="1" t="e">
        <f t="shared" si="363"/>
        <v>#VALUE!</v>
      </c>
      <c r="P1665" s="1" t="e">
        <f t="shared" si="364"/>
        <v>#VALUE!</v>
      </c>
      <c r="Q1665" s="1" t="e">
        <f t="shared" si="365"/>
        <v>#VALUE!</v>
      </c>
      <c r="R1665" s="1" t="e">
        <f t="shared" si="366"/>
        <v>#VALUE!</v>
      </c>
      <c r="S1665" s="1" t="e">
        <f t="shared" si="367"/>
        <v>#VALUE!</v>
      </c>
      <c r="T1665" s="1" t="e">
        <f t="shared" si="368"/>
        <v>#VALUE!</v>
      </c>
      <c r="U1665" s="26" t="e">
        <f t="shared" si="369"/>
        <v>#VALUE!</v>
      </c>
      <c r="V1665" s="26" t="e">
        <f t="shared" si="370"/>
        <v>#VALUE!</v>
      </c>
      <c r="W1665" s="1" t="e">
        <f t="shared" si="371"/>
        <v>#VALUE!</v>
      </c>
      <c r="X1665" s="26" t="e">
        <f t="shared" si="372"/>
        <v>#VALUE!</v>
      </c>
      <c r="Y1665" s="26" t="e">
        <f t="shared" si="373"/>
        <v>#VALUE!</v>
      </c>
      <c r="Z1665" s="1" t="e">
        <f t="shared" si="374"/>
        <v>#VALUE!</v>
      </c>
      <c r="AA1665"/>
      <c r="AB1665"/>
    </row>
    <row r="1666" spans="1:28" x14ac:dyDescent="0.55000000000000004">
      <c r="A1666" s="1">
        <f t="shared" si="361"/>
        <v>1666</v>
      </c>
      <c r="B1666" t="s">
        <v>33</v>
      </c>
      <c r="C1666" t="s">
        <v>78</v>
      </c>
      <c r="D1666" t="s">
        <v>42</v>
      </c>
      <c r="E1666" t="s">
        <v>43</v>
      </c>
      <c r="F1666" t="s">
        <v>407</v>
      </c>
      <c r="G1666" t="s">
        <v>287</v>
      </c>
      <c r="I1666" t="s">
        <v>360</v>
      </c>
      <c r="K1666" t="s">
        <v>289</v>
      </c>
      <c r="M1666" t="s">
        <v>47</v>
      </c>
      <c r="N1666" s="1" t="e">
        <f t="shared" si="362"/>
        <v>#VALUE!</v>
      </c>
      <c r="O1666" s="1" t="e">
        <f t="shared" si="363"/>
        <v>#VALUE!</v>
      </c>
      <c r="P1666" s="1" t="e">
        <f t="shared" si="364"/>
        <v>#VALUE!</v>
      </c>
      <c r="Q1666" s="1" t="e">
        <f t="shared" si="365"/>
        <v>#VALUE!</v>
      </c>
      <c r="R1666" s="1" t="e">
        <f t="shared" si="366"/>
        <v>#VALUE!</v>
      </c>
      <c r="S1666" s="1" t="e">
        <f t="shared" si="367"/>
        <v>#VALUE!</v>
      </c>
      <c r="T1666" s="1" t="e">
        <f t="shared" si="368"/>
        <v>#VALUE!</v>
      </c>
      <c r="U1666" s="26" t="e">
        <f t="shared" si="369"/>
        <v>#VALUE!</v>
      </c>
      <c r="V1666" s="26" t="e">
        <f t="shared" si="370"/>
        <v>#VALUE!</v>
      </c>
      <c r="W1666" s="1" t="e">
        <f t="shared" si="371"/>
        <v>#VALUE!</v>
      </c>
      <c r="X1666" s="26" t="e">
        <f t="shared" si="372"/>
        <v>#VALUE!</v>
      </c>
      <c r="Y1666" s="26" t="e">
        <f t="shared" si="373"/>
        <v>#VALUE!</v>
      </c>
      <c r="Z1666" s="1" t="e">
        <f t="shared" si="374"/>
        <v>#VALUE!</v>
      </c>
      <c r="AA1666"/>
      <c r="AB1666"/>
    </row>
    <row r="1667" spans="1:28" x14ac:dyDescent="0.55000000000000004">
      <c r="A1667" s="1">
        <f t="shared" ref="A1667:A1730" si="375">A1666+1</f>
        <v>1667</v>
      </c>
      <c r="B1667" t="s">
        <v>33</v>
      </c>
      <c r="C1667" t="s">
        <v>78</v>
      </c>
      <c r="D1667" t="s">
        <v>42</v>
      </c>
      <c r="E1667" t="s">
        <v>43</v>
      </c>
      <c r="F1667" t="s">
        <v>364</v>
      </c>
      <c r="G1667" t="s">
        <v>281</v>
      </c>
      <c r="I1667" t="s">
        <v>291</v>
      </c>
      <c r="K1667" t="s">
        <v>283</v>
      </c>
      <c r="M1667" t="s">
        <v>47</v>
      </c>
      <c r="N1667" s="1" t="e">
        <f t="shared" ref="N1667:N1730" si="376">VALUE(LEFT(H1667,1))</f>
        <v>#VALUE!</v>
      </c>
      <c r="O1667" s="1" t="e">
        <f t="shared" ref="O1667:O1730" si="377">VALUE(RIGHT(H1667,1))</f>
        <v>#VALUE!</v>
      </c>
      <c r="P1667" s="1" t="e">
        <f t="shared" ref="P1667:P1730" si="378">SUM(N1667,O1667)</f>
        <v>#VALUE!</v>
      </c>
      <c r="Q1667" s="1" t="e">
        <f t="shared" ref="Q1667:Q1730" si="379">IF(N1667&lt;&gt;O1667, 1, 0)</f>
        <v>#VALUE!</v>
      </c>
      <c r="R1667" s="1" t="e">
        <f t="shared" ref="R1667:R1730" si="380">IF(P1667&lt;=4,1,0)</f>
        <v>#VALUE!</v>
      </c>
      <c r="S1667" s="1" t="e">
        <f t="shared" ref="S1667:S1730" si="381">IF(AND(Q1667=1,R1667=1),1,0)</f>
        <v>#VALUE!</v>
      </c>
      <c r="T1667" s="1" t="e">
        <f t="shared" ref="T1667:T1730" si="382">IF(N1667&lt;=2,1,0)</f>
        <v>#VALUE!</v>
      </c>
      <c r="U1667" s="26" t="e">
        <f t="shared" ref="U1667:U1730" si="383">IF(AND(N1667&gt;=1,N1667&lt;=3),1,0)</f>
        <v>#VALUE!</v>
      </c>
      <c r="V1667" s="26" t="e">
        <f t="shared" ref="V1667:V1730" si="384">IF(AND(N1667&gt;=2,N1667&lt;=5),1,0)</f>
        <v>#VALUE!</v>
      </c>
      <c r="W1667" s="1" t="e">
        <f t="shared" ref="W1667:W1730" si="385">IF(O1667&lt;=2,1,0)</f>
        <v>#VALUE!</v>
      </c>
      <c r="X1667" s="26" t="e">
        <f t="shared" ref="X1667:X1730" si="386">IF(AND(O1667&gt;=1,O1667&lt;=3),1,0)</f>
        <v>#VALUE!</v>
      </c>
      <c r="Y1667" s="26" t="e">
        <f t="shared" ref="Y1667:Y1730" si="387">IF(AND(O1667&gt;=2,O1667&lt;=5),1,0)</f>
        <v>#VALUE!</v>
      </c>
      <c r="Z1667" s="1" t="e">
        <f t="shared" ref="Z1667:Z1730" si="388">IF(P1667&gt;=2,1,0)</f>
        <v>#VALUE!</v>
      </c>
      <c r="AA1667"/>
      <c r="AB1667"/>
    </row>
    <row r="1668" spans="1:28" x14ac:dyDescent="0.55000000000000004">
      <c r="A1668" s="1">
        <f t="shared" si="375"/>
        <v>1668</v>
      </c>
      <c r="B1668" t="s">
        <v>33</v>
      </c>
      <c r="C1668" t="s">
        <v>78</v>
      </c>
      <c r="D1668" t="s">
        <v>42</v>
      </c>
      <c r="E1668" t="s">
        <v>43</v>
      </c>
      <c r="F1668" t="s">
        <v>290</v>
      </c>
      <c r="G1668" t="s">
        <v>288</v>
      </c>
      <c r="I1668" t="s">
        <v>367</v>
      </c>
      <c r="K1668" t="s">
        <v>361</v>
      </c>
      <c r="M1668" t="s">
        <v>47</v>
      </c>
      <c r="N1668" s="1" t="e">
        <f t="shared" si="376"/>
        <v>#VALUE!</v>
      </c>
      <c r="O1668" s="1" t="e">
        <f t="shared" si="377"/>
        <v>#VALUE!</v>
      </c>
      <c r="P1668" s="1" t="e">
        <f t="shared" si="378"/>
        <v>#VALUE!</v>
      </c>
      <c r="Q1668" s="1" t="e">
        <f t="shared" si="379"/>
        <v>#VALUE!</v>
      </c>
      <c r="R1668" s="1" t="e">
        <f t="shared" si="380"/>
        <v>#VALUE!</v>
      </c>
      <c r="S1668" s="1" t="e">
        <f t="shared" si="381"/>
        <v>#VALUE!</v>
      </c>
      <c r="T1668" s="1" t="e">
        <f t="shared" si="382"/>
        <v>#VALUE!</v>
      </c>
      <c r="U1668" s="26" t="e">
        <f t="shared" si="383"/>
        <v>#VALUE!</v>
      </c>
      <c r="V1668" s="26" t="e">
        <f t="shared" si="384"/>
        <v>#VALUE!</v>
      </c>
      <c r="W1668" s="1" t="e">
        <f t="shared" si="385"/>
        <v>#VALUE!</v>
      </c>
      <c r="X1668" s="26" t="e">
        <f t="shared" si="386"/>
        <v>#VALUE!</v>
      </c>
      <c r="Y1668" s="26" t="e">
        <f t="shared" si="387"/>
        <v>#VALUE!</v>
      </c>
      <c r="Z1668" s="1" t="e">
        <f t="shared" si="388"/>
        <v>#VALUE!</v>
      </c>
      <c r="AA1668"/>
      <c r="AB1668"/>
    </row>
    <row r="1669" spans="1:28" x14ac:dyDescent="0.55000000000000004">
      <c r="A1669" s="1">
        <f t="shared" si="375"/>
        <v>1669</v>
      </c>
      <c r="B1669" t="s">
        <v>39</v>
      </c>
      <c r="C1669" t="s">
        <v>333</v>
      </c>
      <c r="D1669" t="s">
        <v>42</v>
      </c>
      <c r="E1669" t="s">
        <v>43</v>
      </c>
      <c r="F1669" t="s">
        <v>342</v>
      </c>
      <c r="G1669" t="s">
        <v>226</v>
      </c>
      <c r="I1669" t="s">
        <v>231</v>
      </c>
      <c r="K1669" t="s">
        <v>241</v>
      </c>
      <c r="M1669" t="s">
        <v>47</v>
      </c>
      <c r="N1669" s="1" t="e">
        <f t="shared" si="376"/>
        <v>#VALUE!</v>
      </c>
      <c r="O1669" s="1" t="e">
        <f t="shared" si="377"/>
        <v>#VALUE!</v>
      </c>
      <c r="P1669" s="1" t="e">
        <f t="shared" si="378"/>
        <v>#VALUE!</v>
      </c>
      <c r="Q1669" s="1" t="e">
        <f t="shared" si="379"/>
        <v>#VALUE!</v>
      </c>
      <c r="R1669" s="1" t="e">
        <f t="shared" si="380"/>
        <v>#VALUE!</v>
      </c>
      <c r="S1669" s="1" t="e">
        <f t="shared" si="381"/>
        <v>#VALUE!</v>
      </c>
      <c r="T1669" s="1" t="e">
        <f t="shared" si="382"/>
        <v>#VALUE!</v>
      </c>
      <c r="U1669" s="26" t="e">
        <f t="shared" si="383"/>
        <v>#VALUE!</v>
      </c>
      <c r="V1669" s="26" t="e">
        <f t="shared" si="384"/>
        <v>#VALUE!</v>
      </c>
      <c r="W1669" s="1" t="e">
        <f t="shared" si="385"/>
        <v>#VALUE!</v>
      </c>
      <c r="X1669" s="26" t="e">
        <f t="shared" si="386"/>
        <v>#VALUE!</v>
      </c>
      <c r="Y1669" s="26" t="e">
        <f t="shared" si="387"/>
        <v>#VALUE!</v>
      </c>
      <c r="Z1669" s="1" t="e">
        <f t="shared" si="388"/>
        <v>#VALUE!</v>
      </c>
      <c r="AA1669"/>
      <c r="AB1669"/>
    </row>
    <row r="1670" spans="1:28" x14ac:dyDescent="0.55000000000000004">
      <c r="A1670" s="1">
        <f t="shared" si="375"/>
        <v>1670</v>
      </c>
      <c r="B1670" t="s">
        <v>39</v>
      </c>
      <c r="C1670" t="s">
        <v>333</v>
      </c>
      <c r="D1670" t="s">
        <v>42</v>
      </c>
      <c r="E1670" t="s">
        <v>43</v>
      </c>
      <c r="F1670" t="s">
        <v>342</v>
      </c>
      <c r="G1670" t="s">
        <v>225</v>
      </c>
      <c r="I1670" t="s">
        <v>219</v>
      </c>
      <c r="K1670" t="s">
        <v>227</v>
      </c>
      <c r="M1670" t="s">
        <v>47</v>
      </c>
      <c r="N1670" s="1" t="e">
        <f t="shared" si="376"/>
        <v>#VALUE!</v>
      </c>
      <c r="O1670" s="1" t="e">
        <f t="shared" si="377"/>
        <v>#VALUE!</v>
      </c>
      <c r="P1670" s="1" t="e">
        <f t="shared" si="378"/>
        <v>#VALUE!</v>
      </c>
      <c r="Q1670" s="1" t="e">
        <f t="shared" si="379"/>
        <v>#VALUE!</v>
      </c>
      <c r="R1670" s="1" t="e">
        <f t="shared" si="380"/>
        <v>#VALUE!</v>
      </c>
      <c r="S1670" s="1" t="e">
        <f t="shared" si="381"/>
        <v>#VALUE!</v>
      </c>
      <c r="T1670" s="1" t="e">
        <f t="shared" si="382"/>
        <v>#VALUE!</v>
      </c>
      <c r="U1670" s="26" t="e">
        <f t="shared" si="383"/>
        <v>#VALUE!</v>
      </c>
      <c r="V1670" s="26" t="e">
        <f t="shared" si="384"/>
        <v>#VALUE!</v>
      </c>
      <c r="W1670" s="1" t="e">
        <f t="shared" si="385"/>
        <v>#VALUE!</v>
      </c>
      <c r="X1670" s="26" t="e">
        <f t="shared" si="386"/>
        <v>#VALUE!</v>
      </c>
      <c r="Y1670" s="26" t="e">
        <f t="shared" si="387"/>
        <v>#VALUE!</v>
      </c>
      <c r="Z1670" s="1" t="e">
        <f t="shared" si="388"/>
        <v>#VALUE!</v>
      </c>
      <c r="AA1670"/>
      <c r="AB1670"/>
    </row>
    <row r="1671" spans="1:28" x14ac:dyDescent="0.55000000000000004">
      <c r="A1671" s="1">
        <f t="shared" si="375"/>
        <v>1671</v>
      </c>
      <c r="B1671" t="s">
        <v>39</v>
      </c>
      <c r="C1671" t="s">
        <v>333</v>
      </c>
      <c r="D1671" t="s">
        <v>42</v>
      </c>
      <c r="E1671" t="s">
        <v>43</v>
      </c>
      <c r="F1671" t="s">
        <v>343</v>
      </c>
      <c r="G1671" t="s">
        <v>229</v>
      </c>
      <c r="I1671" t="s">
        <v>235</v>
      </c>
      <c r="K1671" t="s">
        <v>246</v>
      </c>
      <c r="M1671" t="s">
        <v>47</v>
      </c>
      <c r="N1671" s="1" t="e">
        <f t="shared" si="376"/>
        <v>#VALUE!</v>
      </c>
      <c r="O1671" s="1" t="e">
        <f t="shared" si="377"/>
        <v>#VALUE!</v>
      </c>
      <c r="P1671" s="1" t="e">
        <f t="shared" si="378"/>
        <v>#VALUE!</v>
      </c>
      <c r="Q1671" s="1" t="e">
        <f t="shared" si="379"/>
        <v>#VALUE!</v>
      </c>
      <c r="R1671" s="1" t="e">
        <f t="shared" si="380"/>
        <v>#VALUE!</v>
      </c>
      <c r="S1671" s="1" t="e">
        <f t="shared" si="381"/>
        <v>#VALUE!</v>
      </c>
      <c r="T1671" s="1" t="e">
        <f t="shared" si="382"/>
        <v>#VALUE!</v>
      </c>
      <c r="U1671" s="26" t="e">
        <f t="shared" si="383"/>
        <v>#VALUE!</v>
      </c>
      <c r="V1671" s="26" t="e">
        <f t="shared" si="384"/>
        <v>#VALUE!</v>
      </c>
      <c r="W1671" s="1" t="e">
        <f t="shared" si="385"/>
        <v>#VALUE!</v>
      </c>
      <c r="X1671" s="26" t="e">
        <f t="shared" si="386"/>
        <v>#VALUE!</v>
      </c>
      <c r="Y1671" s="26" t="e">
        <f t="shared" si="387"/>
        <v>#VALUE!</v>
      </c>
      <c r="Z1671" s="1" t="e">
        <f t="shared" si="388"/>
        <v>#VALUE!</v>
      </c>
      <c r="AA1671"/>
      <c r="AB1671"/>
    </row>
    <row r="1672" spans="1:28" x14ac:dyDescent="0.55000000000000004">
      <c r="A1672" s="1">
        <f t="shared" si="375"/>
        <v>1672</v>
      </c>
      <c r="B1672" t="s">
        <v>39</v>
      </c>
      <c r="C1672" t="s">
        <v>333</v>
      </c>
      <c r="D1672" t="s">
        <v>42</v>
      </c>
      <c r="E1672" t="s">
        <v>43</v>
      </c>
      <c r="F1672" t="s">
        <v>343</v>
      </c>
      <c r="G1672" t="s">
        <v>220</v>
      </c>
      <c r="I1672" t="s">
        <v>223</v>
      </c>
      <c r="K1672" t="s">
        <v>240</v>
      </c>
      <c r="M1672" t="s">
        <v>47</v>
      </c>
      <c r="N1672" s="1" t="e">
        <f t="shared" si="376"/>
        <v>#VALUE!</v>
      </c>
      <c r="O1672" s="1" t="e">
        <f t="shared" si="377"/>
        <v>#VALUE!</v>
      </c>
      <c r="P1672" s="1" t="e">
        <f t="shared" si="378"/>
        <v>#VALUE!</v>
      </c>
      <c r="Q1672" s="1" t="e">
        <f t="shared" si="379"/>
        <v>#VALUE!</v>
      </c>
      <c r="R1672" s="1" t="e">
        <f t="shared" si="380"/>
        <v>#VALUE!</v>
      </c>
      <c r="S1672" s="1" t="e">
        <f t="shared" si="381"/>
        <v>#VALUE!</v>
      </c>
      <c r="T1672" s="1" t="e">
        <f t="shared" si="382"/>
        <v>#VALUE!</v>
      </c>
      <c r="U1672" s="26" t="e">
        <f t="shared" si="383"/>
        <v>#VALUE!</v>
      </c>
      <c r="V1672" s="26" t="e">
        <f t="shared" si="384"/>
        <v>#VALUE!</v>
      </c>
      <c r="W1672" s="1" t="e">
        <f t="shared" si="385"/>
        <v>#VALUE!</v>
      </c>
      <c r="X1672" s="26" t="e">
        <f t="shared" si="386"/>
        <v>#VALUE!</v>
      </c>
      <c r="Y1672" s="26" t="e">
        <f t="shared" si="387"/>
        <v>#VALUE!</v>
      </c>
      <c r="Z1672" s="1" t="e">
        <f t="shared" si="388"/>
        <v>#VALUE!</v>
      </c>
      <c r="AA1672"/>
      <c r="AB1672"/>
    </row>
    <row r="1673" spans="1:28" x14ac:dyDescent="0.55000000000000004">
      <c r="A1673" s="1">
        <f t="shared" si="375"/>
        <v>1673</v>
      </c>
      <c r="B1673" t="s">
        <v>35</v>
      </c>
      <c r="C1673" t="s">
        <v>41</v>
      </c>
      <c r="D1673" t="s">
        <v>42</v>
      </c>
      <c r="E1673" t="s">
        <v>43</v>
      </c>
      <c r="F1673" t="s">
        <v>357</v>
      </c>
      <c r="G1673" t="s">
        <v>303</v>
      </c>
      <c r="I1673" t="s">
        <v>207</v>
      </c>
      <c r="K1673" t="s">
        <v>305</v>
      </c>
      <c r="M1673" t="s">
        <v>47</v>
      </c>
      <c r="N1673" s="1" t="e">
        <f t="shared" si="376"/>
        <v>#VALUE!</v>
      </c>
      <c r="O1673" s="1" t="e">
        <f t="shared" si="377"/>
        <v>#VALUE!</v>
      </c>
      <c r="P1673" s="1" t="e">
        <f t="shared" si="378"/>
        <v>#VALUE!</v>
      </c>
      <c r="Q1673" s="1" t="e">
        <f t="shared" si="379"/>
        <v>#VALUE!</v>
      </c>
      <c r="R1673" s="1" t="e">
        <f t="shared" si="380"/>
        <v>#VALUE!</v>
      </c>
      <c r="S1673" s="1" t="e">
        <f t="shared" si="381"/>
        <v>#VALUE!</v>
      </c>
      <c r="T1673" s="1" t="e">
        <f t="shared" si="382"/>
        <v>#VALUE!</v>
      </c>
      <c r="U1673" s="26" t="e">
        <f t="shared" si="383"/>
        <v>#VALUE!</v>
      </c>
      <c r="V1673" s="26" t="e">
        <f t="shared" si="384"/>
        <v>#VALUE!</v>
      </c>
      <c r="W1673" s="1" t="e">
        <f t="shared" si="385"/>
        <v>#VALUE!</v>
      </c>
      <c r="X1673" s="26" t="e">
        <f t="shared" si="386"/>
        <v>#VALUE!</v>
      </c>
      <c r="Y1673" s="26" t="e">
        <f t="shared" si="387"/>
        <v>#VALUE!</v>
      </c>
      <c r="Z1673" s="1" t="e">
        <f t="shared" si="388"/>
        <v>#VALUE!</v>
      </c>
      <c r="AA1673"/>
      <c r="AB1673"/>
    </row>
    <row r="1674" spans="1:28" x14ac:dyDescent="0.55000000000000004">
      <c r="A1674" s="1">
        <f t="shared" si="375"/>
        <v>1674</v>
      </c>
      <c r="B1674" t="s">
        <v>35</v>
      </c>
      <c r="C1674" t="s">
        <v>41</v>
      </c>
      <c r="D1674" t="s">
        <v>42</v>
      </c>
      <c r="E1674" t="s">
        <v>43</v>
      </c>
      <c r="F1674" t="s">
        <v>357</v>
      </c>
      <c r="G1674" t="s">
        <v>377</v>
      </c>
      <c r="I1674" t="s">
        <v>306</v>
      </c>
      <c r="K1674" t="s">
        <v>378</v>
      </c>
      <c r="M1674" t="s">
        <v>47</v>
      </c>
      <c r="N1674" s="1" t="e">
        <f t="shared" si="376"/>
        <v>#VALUE!</v>
      </c>
      <c r="O1674" s="1" t="e">
        <f t="shared" si="377"/>
        <v>#VALUE!</v>
      </c>
      <c r="P1674" s="1" t="e">
        <f t="shared" si="378"/>
        <v>#VALUE!</v>
      </c>
      <c r="Q1674" s="1" t="e">
        <f t="shared" si="379"/>
        <v>#VALUE!</v>
      </c>
      <c r="R1674" s="1" t="e">
        <f t="shared" si="380"/>
        <v>#VALUE!</v>
      </c>
      <c r="S1674" s="1" t="e">
        <f t="shared" si="381"/>
        <v>#VALUE!</v>
      </c>
      <c r="T1674" s="1" t="e">
        <f t="shared" si="382"/>
        <v>#VALUE!</v>
      </c>
      <c r="U1674" s="26" t="e">
        <f t="shared" si="383"/>
        <v>#VALUE!</v>
      </c>
      <c r="V1674" s="26" t="e">
        <f t="shared" si="384"/>
        <v>#VALUE!</v>
      </c>
      <c r="W1674" s="1" t="e">
        <f t="shared" si="385"/>
        <v>#VALUE!</v>
      </c>
      <c r="X1674" s="26" t="e">
        <f t="shared" si="386"/>
        <v>#VALUE!</v>
      </c>
      <c r="Y1674" s="26" t="e">
        <f t="shared" si="387"/>
        <v>#VALUE!</v>
      </c>
      <c r="Z1674" s="1" t="e">
        <f t="shared" si="388"/>
        <v>#VALUE!</v>
      </c>
      <c r="AA1674"/>
      <c r="AB1674"/>
    </row>
    <row r="1675" spans="1:28" x14ac:dyDescent="0.55000000000000004">
      <c r="A1675" s="1">
        <f t="shared" si="375"/>
        <v>1675</v>
      </c>
      <c r="B1675" t="s">
        <v>35</v>
      </c>
      <c r="C1675" t="s">
        <v>41</v>
      </c>
      <c r="D1675" t="s">
        <v>42</v>
      </c>
      <c r="E1675" t="s">
        <v>43</v>
      </c>
      <c r="F1675" t="s">
        <v>357</v>
      </c>
      <c r="G1675" t="s">
        <v>386</v>
      </c>
      <c r="I1675" t="s">
        <v>304</v>
      </c>
      <c r="K1675" t="s">
        <v>418</v>
      </c>
      <c r="M1675" t="s">
        <v>47</v>
      </c>
      <c r="N1675" s="1" t="e">
        <f t="shared" si="376"/>
        <v>#VALUE!</v>
      </c>
      <c r="O1675" s="1" t="e">
        <f t="shared" si="377"/>
        <v>#VALUE!</v>
      </c>
      <c r="P1675" s="1" t="e">
        <f t="shared" si="378"/>
        <v>#VALUE!</v>
      </c>
      <c r="Q1675" s="1" t="e">
        <f t="shared" si="379"/>
        <v>#VALUE!</v>
      </c>
      <c r="R1675" s="1" t="e">
        <f t="shared" si="380"/>
        <v>#VALUE!</v>
      </c>
      <c r="S1675" s="1" t="e">
        <f t="shared" si="381"/>
        <v>#VALUE!</v>
      </c>
      <c r="T1675" s="1" t="e">
        <f t="shared" si="382"/>
        <v>#VALUE!</v>
      </c>
      <c r="U1675" s="26" t="e">
        <f t="shared" si="383"/>
        <v>#VALUE!</v>
      </c>
      <c r="V1675" s="26" t="e">
        <f t="shared" si="384"/>
        <v>#VALUE!</v>
      </c>
      <c r="W1675" s="1" t="e">
        <f t="shared" si="385"/>
        <v>#VALUE!</v>
      </c>
      <c r="X1675" s="26" t="e">
        <f t="shared" si="386"/>
        <v>#VALUE!</v>
      </c>
      <c r="Y1675" s="26" t="e">
        <f t="shared" si="387"/>
        <v>#VALUE!</v>
      </c>
      <c r="Z1675" s="1" t="e">
        <f t="shared" si="388"/>
        <v>#VALUE!</v>
      </c>
      <c r="AA1675"/>
      <c r="AB1675"/>
    </row>
    <row r="1676" spans="1:28" x14ac:dyDescent="0.55000000000000004">
      <c r="A1676" s="1">
        <f t="shared" si="375"/>
        <v>1676</v>
      </c>
      <c r="B1676" t="s">
        <v>35</v>
      </c>
      <c r="C1676" t="s">
        <v>41</v>
      </c>
      <c r="D1676" t="s">
        <v>42</v>
      </c>
      <c r="E1676" t="s">
        <v>43</v>
      </c>
      <c r="F1676" t="s">
        <v>357</v>
      </c>
      <c r="G1676" t="s">
        <v>213</v>
      </c>
      <c r="I1676" t="s">
        <v>210</v>
      </c>
      <c r="K1676" t="s">
        <v>215</v>
      </c>
      <c r="M1676" t="s">
        <v>47</v>
      </c>
      <c r="N1676" s="1" t="e">
        <f t="shared" si="376"/>
        <v>#VALUE!</v>
      </c>
      <c r="O1676" s="1" t="e">
        <f t="shared" si="377"/>
        <v>#VALUE!</v>
      </c>
      <c r="P1676" s="1" t="e">
        <f t="shared" si="378"/>
        <v>#VALUE!</v>
      </c>
      <c r="Q1676" s="1" t="e">
        <f t="shared" si="379"/>
        <v>#VALUE!</v>
      </c>
      <c r="R1676" s="1" t="e">
        <f t="shared" si="380"/>
        <v>#VALUE!</v>
      </c>
      <c r="S1676" s="1" t="e">
        <f t="shared" si="381"/>
        <v>#VALUE!</v>
      </c>
      <c r="T1676" s="1" t="e">
        <f t="shared" si="382"/>
        <v>#VALUE!</v>
      </c>
      <c r="U1676" s="26" t="e">
        <f t="shared" si="383"/>
        <v>#VALUE!</v>
      </c>
      <c r="V1676" s="26" t="e">
        <f t="shared" si="384"/>
        <v>#VALUE!</v>
      </c>
      <c r="W1676" s="1" t="e">
        <f t="shared" si="385"/>
        <v>#VALUE!</v>
      </c>
      <c r="X1676" s="26" t="e">
        <f t="shared" si="386"/>
        <v>#VALUE!</v>
      </c>
      <c r="Y1676" s="26" t="e">
        <f t="shared" si="387"/>
        <v>#VALUE!</v>
      </c>
      <c r="Z1676" s="1" t="e">
        <f t="shared" si="388"/>
        <v>#VALUE!</v>
      </c>
      <c r="AA1676"/>
      <c r="AB1676"/>
    </row>
    <row r="1677" spans="1:28" x14ac:dyDescent="0.55000000000000004">
      <c r="A1677" s="1">
        <f t="shared" si="375"/>
        <v>1677</v>
      </c>
      <c r="B1677" t="s">
        <v>35</v>
      </c>
      <c r="C1677" t="s">
        <v>41</v>
      </c>
      <c r="D1677" t="s">
        <v>42</v>
      </c>
      <c r="E1677" t="s">
        <v>43</v>
      </c>
      <c r="F1677" t="s">
        <v>357</v>
      </c>
      <c r="G1677" t="s">
        <v>383</v>
      </c>
      <c r="I1677" t="s">
        <v>307</v>
      </c>
      <c r="K1677" t="s">
        <v>387</v>
      </c>
      <c r="M1677" t="s">
        <v>47</v>
      </c>
      <c r="N1677" s="1" t="e">
        <f t="shared" si="376"/>
        <v>#VALUE!</v>
      </c>
      <c r="O1677" s="1" t="e">
        <f t="shared" si="377"/>
        <v>#VALUE!</v>
      </c>
      <c r="P1677" s="1" t="e">
        <f t="shared" si="378"/>
        <v>#VALUE!</v>
      </c>
      <c r="Q1677" s="1" t="e">
        <f t="shared" si="379"/>
        <v>#VALUE!</v>
      </c>
      <c r="R1677" s="1" t="e">
        <f t="shared" si="380"/>
        <v>#VALUE!</v>
      </c>
      <c r="S1677" s="1" t="e">
        <f t="shared" si="381"/>
        <v>#VALUE!</v>
      </c>
      <c r="T1677" s="1" t="e">
        <f t="shared" si="382"/>
        <v>#VALUE!</v>
      </c>
      <c r="U1677" s="26" t="e">
        <f t="shared" si="383"/>
        <v>#VALUE!</v>
      </c>
      <c r="V1677" s="26" t="e">
        <f t="shared" si="384"/>
        <v>#VALUE!</v>
      </c>
      <c r="W1677" s="1" t="e">
        <f t="shared" si="385"/>
        <v>#VALUE!</v>
      </c>
      <c r="X1677" s="26" t="e">
        <f t="shared" si="386"/>
        <v>#VALUE!</v>
      </c>
      <c r="Y1677" s="26" t="e">
        <f t="shared" si="387"/>
        <v>#VALUE!</v>
      </c>
      <c r="Z1677" s="1" t="e">
        <f t="shared" si="388"/>
        <v>#VALUE!</v>
      </c>
      <c r="AA1677"/>
      <c r="AB1677"/>
    </row>
    <row r="1678" spans="1:28" x14ac:dyDescent="0.55000000000000004">
      <c r="A1678" s="1">
        <f t="shared" si="375"/>
        <v>1678</v>
      </c>
      <c r="B1678" t="s">
        <v>35</v>
      </c>
      <c r="C1678" t="s">
        <v>41</v>
      </c>
      <c r="D1678" t="s">
        <v>42</v>
      </c>
      <c r="E1678" t="s">
        <v>43</v>
      </c>
      <c r="F1678" t="s">
        <v>357</v>
      </c>
      <c r="G1678" t="s">
        <v>205</v>
      </c>
      <c r="I1678" t="s">
        <v>204</v>
      </c>
      <c r="K1678" t="s">
        <v>417</v>
      </c>
      <c r="M1678" t="s">
        <v>47</v>
      </c>
      <c r="N1678" s="1" t="e">
        <f t="shared" si="376"/>
        <v>#VALUE!</v>
      </c>
      <c r="O1678" s="1" t="e">
        <f t="shared" si="377"/>
        <v>#VALUE!</v>
      </c>
      <c r="P1678" s="1" t="e">
        <f t="shared" si="378"/>
        <v>#VALUE!</v>
      </c>
      <c r="Q1678" s="1" t="e">
        <f t="shared" si="379"/>
        <v>#VALUE!</v>
      </c>
      <c r="R1678" s="1" t="e">
        <f t="shared" si="380"/>
        <v>#VALUE!</v>
      </c>
      <c r="S1678" s="1" t="e">
        <f t="shared" si="381"/>
        <v>#VALUE!</v>
      </c>
      <c r="T1678" s="1" t="e">
        <f t="shared" si="382"/>
        <v>#VALUE!</v>
      </c>
      <c r="U1678" s="26" t="e">
        <f t="shared" si="383"/>
        <v>#VALUE!</v>
      </c>
      <c r="V1678" s="26" t="e">
        <f t="shared" si="384"/>
        <v>#VALUE!</v>
      </c>
      <c r="W1678" s="1" t="e">
        <f t="shared" si="385"/>
        <v>#VALUE!</v>
      </c>
      <c r="X1678" s="26" t="e">
        <f t="shared" si="386"/>
        <v>#VALUE!</v>
      </c>
      <c r="Y1678" s="26" t="e">
        <f t="shared" si="387"/>
        <v>#VALUE!</v>
      </c>
      <c r="Z1678" s="1" t="e">
        <f t="shared" si="388"/>
        <v>#VALUE!</v>
      </c>
      <c r="AA1678"/>
      <c r="AB1678"/>
    </row>
    <row r="1679" spans="1:28" x14ac:dyDescent="0.55000000000000004">
      <c r="A1679" s="1">
        <f t="shared" si="375"/>
        <v>1679</v>
      </c>
      <c r="B1679" t="s">
        <v>35</v>
      </c>
      <c r="C1679" t="s">
        <v>41</v>
      </c>
      <c r="D1679" t="s">
        <v>42</v>
      </c>
      <c r="E1679" t="s">
        <v>43</v>
      </c>
      <c r="F1679" t="s">
        <v>357</v>
      </c>
      <c r="G1679" t="s">
        <v>214</v>
      </c>
      <c r="I1679" t="s">
        <v>384</v>
      </c>
      <c r="K1679" t="s">
        <v>301</v>
      </c>
      <c r="M1679" t="s">
        <v>47</v>
      </c>
      <c r="N1679" s="1" t="e">
        <f t="shared" si="376"/>
        <v>#VALUE!</v>
      </c>
      <c r="O1679" s="1" t="e">
        <f t="shared" si="377"/>
        <v>#VALUE!</v>
      </c>
      <c r="P1679" s="1" t="e">
        <f t="shared" si="378"/>
        <v>#VALUE!</v>
      </c>
      <c r="Q1679" s="1" t="e">
        <f t="shared" si="379"/>
        <v>#VALUE!</v>
      </c>
      <c r="R1679" s="1" t="e">
        <f t="shared" si="380"/>
        <v>#VALUE!</v>
      </c>
      <c r="S1679" s="1" t="e">
        <f t="shared" si="381"/>
        <v>#VALUE!</v>
      </c>
      <c r="T1679" s="1" t="e">
        <f t="shared" si="382"/>
        <v>#VALUE!</v>
      </c>
      <c r="U1679" s="26" t="e">
        <f t="shared" si="383"/>
        <v>#VALUE!</v>
      </c>
      <c r="V1679" s="26" t="e">
        <f t="shared" si="384"/>
        <v>#VALUE!</v>
      </c>
      <c r="W1679" s="1" t="e">
        <f t="shared" si="385"/>
        <v>#VALUE!</v>
      </c>
      <c r="X1679" s="26" t="e">
        <f t="shared" si="386"/>
        <v>#VALUE!</v>
      </c>
      <c r="Y1679" s="26" t="e">
        <f t="shared" si="387"/>
        <v>#VALUE!</v>
      </c>
      <c r="Z1679" s="1" t="e">
        <f t="shared" si="388"/>
        <v>#VALUE!</v>
      </c>
      <c r="AA1679"/>
      <c r="AB1679"/>
    </row>
    <row r="1680" spans="1:28" x14ac:dyDescent="0.55000000000000004">
      <c r="A1680" s="1">
        <f t="shared" si="375"/>
        <v>1680</v>
      </c>
      <c r="B1680" t="s">
        <v>35</v>
      </c>
      <c r="C1680" t="s">
        <v>41</v>
      </c>
      <c r="D1680" t="s">
        <v>42</v>
      </c>
      <c r="E1680" t="s">
        <v>43</v>
      </c>
      <c r="F1680" t="s">
        <v>357</v>
      </c>
      <c r="G1680" t="s">
        <v>208</v>
      </c>
      <c r="I1680" t="s">
        <v>211</v>
      </c>
      <c r="K1680" t="s">
        <v>381</v>
      </c>
      <c r="M1680" t="s">
        <v>47</v>
      </c>
      <c r="N1680" s="1" t="e">
        <f t="shared" si="376"/>
        <v>#VALUE!</v>
      </c>
      <c r="O1680" s="1" t="e">
        <f t="shared" si="377"/>
        <v>#VALUE!</v>
      </c>
      <c r="P1680" s="1" t="e">
        <f t="shared" si="378"/>
        <v>#VALUE!</v>
      </c>
      <c r="Q1680" s="1" t="e">
        <f t="shared" si="379"/>
        <v>#VALUE!</v>
      </c>
      <c r="R1680" s="1" t="e">
        <f t="shared" si="380"/>
        <v>#VALUE!</v>
      </c>
      <c r="S1680" s="1" t="e">
        <f t="shared" si="381"/>
        <v>#VALUE!</v>
      </c>
      <c r="T1680" s="1" t="e">
        <f t="shared" si="382"/>
        <v>#VALUE!</v>
      </c>
      <c r="U1680" s="26" t="e">
        <f t="shared" si="383"/>
        <v>#VALUE!</v>
      </c>
      <c r="V1680" s="26" t="e">
        <f t="shared" si="384"/>
        <v>#VALUE!</v>
      </c>
      <c r="W1680" s="1" t="e">
        <f t="shared" si="385"/>
        <v>#VALUE!</v>
      </c>
      <c r="X1680" s="26" t="e">
        <f t="shared" si="386"/>
        <v>#VALUE!</v>
      </c>
      <c r="Y1680" s="26" t="e">
        <f t="shared" si="387"/>
        <v>#VALUE!</v>
      </c>
      <c r="Z1680" s="1" t="e">
        <f t="shared" si="388"/>
        <v>#VALUE!</v>
      </c>
      <c r="AA1680"/>
      <c r="AB1680"/>
    </row>
    <row r="1681" spans="1:28" x14ac:dyDescent="0.55000000000000004">
      <c r="A1681" s="1">
        <f t="shared" si="375"/>
        <v>1681</v>
      </c>
      <c r="B1681" t="s">
        <v>37</v>
      </c>
      <c r="C1681" t="s">
        <v>337</v>
      </c>
      <c r="D1681" t="s">
        <v>174</v>
      </c>
      <c r="E1681" t="s">
        <v>338</v>
      </c>
      <c r="F1681" t="s">
        <v>315</v>
      </c>
      <c r="G1681" t="s">
        <v>322</v>
      </c>
      <c r="I1681" t="s">
        <v>328</v>
      </c>
      <c r="K1681" t="s">
        <v>331</v>
      </c>
      <c r="M1681" t="s">
        <v>47</v>
      </c>
      <c r="N1681" s="1" t="e">
        <f t="shared" si="376"/>
        <v>#VALUE!</v>
      </c>
      <c r="O1681" s="1" t="e">
        <f t="shared" si="377"/>
        <v>#VALUE!</v>
      </c>
      <c r="P1681" s="1" t="e">
        <f t="shared" si="378"/>
        <v>#VALUE!</v>
      </c>
      <c r="Q1681" s="1" t="e">
        <f t="shared" si="379"/>
        <v>#VALUE!</v>
      </c>
      <c r="R1681" s="1" t="e">
        <f t="shared" si="380"/>
        <v>#VALUE!</v>
      </c>
      <c r="S1681" s="1" t="e">
        <f t="shared" si="381"/>
        <v>#VALUE!</v>
      </c>
      <c r="T1681" s="1" t="e">
        <f t="shared" si="382"/>
        <v>#VALUE!</v>
      </c>
      <c r="U1681" s="26" t="e">
        <f t="shared" si="383"/>
        <v>#VALUE!</v>
      </c>
      <c r="V1681" s="26" t="e">
        <f t="shared" si="384"/>
        <v>#VALUE!</v>
      </c>
      <c r="W1681" s="1" t="e">
        <f t="shared" si="385"/>
        <v>#VALUE!</v>
      </c>
      <c r="X1681" s="26" t="e">
        <f t="shared" si="386"/>
        <v>#VALUE!</v>
      </c>
      <c r="Y1681" s="26" t="e">
        <f t="shared" si="387"/>
        <v>#VALUE!</v>
      </c>
      <c r="Z1681" s="1" t="e">
        <f t="shared" si="388"/>
        <v>#VALUE!</v>
      </c>
      <c r="AA1681"/>
      <c r="AB1681"/>
    </row>
    <row r="1682" spans="1:28" x14ac:dyDescent="0.55000000000000004">
      <c r="A1682" s="1">
        <f t="shared" si="375"/>
        <v>1682</v>
      </c>
      <c r="B1682" t="s">
        <v>37</v>
      </c>
      <c r="C1682" t="s">
        <v>337</v>
      </c>
      <c r="D1682" t="s">
        <v>174</v>
      </c>
      <c r="E1682" t="s">
        <v>338</v>
      </c>
      <c r="F1682" t="s">
        <v>315</v>
      </c>
      <c r="G1682" t="s">
        <v>324</v>
      </c>
      <c r="I1682" t="s">
        <v>313</v>
      </c>
      <c r="K1682" t="s">
        <v>325</v>
      </c>
      <c r="M1682" t="s">
        <v>47</v>
      </c>
      <c r="N1682" s="1" t="e">
        <f t="shared" si="376"/>
        <v>#VALUE!</v>
      </c>
      <c r="O1682" s="1" t="e">
        <f t="shared" si="377"/>
        <v>#VALUE!</v>
      </c>
      <c r="P1682" s="1" t="e">
        <f t="shared" si="378"/>
        <v>#VALUE!</v>
      </c>
      <c r="Q1682" s="1" t="e">
        <f t="shared" si="379"/>
        <v>#VALUE!</v>
      </c>
      <c r="R1682" s="1" t="e">
        <f t="shared" si="380"/>
        <v>#VALUE!</v>
      </c>
      <c r="S1682" s="1" t="e">
        <f t="shared" si="381"/>
        <v>#VALUE!</v>
      </c>
      <c r="T1682" s="1" t="e">
        <f t="shared" si="382"/>
        <v>#VALUE!</v>
      </c>
      <c r="U1682" s="26" t="e">
        <f t="shared" si="383"/>
        <v>#VALUE!</v>
      </c>
      <c r="V1682" s="26" t="e">
        <f t="shared" si="384"/>
        <v>#VALUE!</v>
      </c>
      <c r="W1682" s="1" t="e">
        <f t="shared" si="385"/>
        <v>#VALUE!</v>
      </c>
      <c r="X1682" s="26" t="e">
        <f t="shared" si="386"/>
        <v>#VALUE!</v>
      </c>
      <c r="Y1682" s="26" t="e">
        <f t="shared" si="387"/>
        <v>#VALUE!</v>
      </c>
      <c r="Z1682" s="1" t="e">
        <f t="shared" si="388"/>
        <v>#VALUE!</v>
      </c>
      <c r="AA1682"/>
      <c r="AB1682"/>
    </row>
    <row r="1683" spans="1:28" x14ac:dyDescent="0.55000000000000004">
      <c r="A1683" s="1">
        <f t="shared" si="375"/>
        <v>1683</v>
      </c>
      <c r="B1683" t="s">
        <v>37</v>
      </c>
      <c r="C1683" t="s">
        <v>337</v>
      </c>
      <c r="D1683" t="s">
        <v>174</v>
      </c>
      <c r="E1683" t="s">
        <v>338</v>
      </c>
      <c r="F1683" t="s">
        <v>315</v>
      </c>
      <c r="G1683" t="s">
        <v>321</v>
      </c>
      <c r="I1683" t="s">
        <v>318</v>
      </c>
      <c r="K1683" t="s">
        <v>323</v>
      </c>
      <c r="M1683" t="s">
        <v>47</v>
      </c>
      <c r="N1683" s="1" t="e">
        <f t="shared" si="376"/>
        <v>#VALUE!</v>
      </c>
      <c r="O1683" s="1" t="e">
        <f t="shared" si="377"/>
        <v>#VALUE!</v>
      </c>
      <c r="P1683" s="1" t="e">
        <f t="shared" si="378"/>
        <v>#VALUE!</v>
      </c>
      <c r="Q1683" s="1" t="e">
        <f t="shared" si="379"/>
        <v>#VALUE!</v>
      </c>
      <c r="R1683" s="1" t="e">
        <f t="shared" si="380"/>
        <v>#VALUE!</v>
      </c>
      <c r="S1683" s="1" t="e">
        <f t="shared" si="381"/>
        <v>#VALUE!</v>
      </c>
      <c r="T1683" s="1" t="e">
        <f t="shared" si="382"/>
        <v>#VALUE!</v>
      </c>
      <c r="U1683" s="26" t="e">
        <f t="shared" si="383"/>
        <v>#VALUE!</v>
      </c>
      <c r="V1683" s="26" t="e">
        <f t="shared" si="384"/>
        <v>#VALUE!</v>
      </c>
      <c r="W1683" s="1" t="e">
        <f t="shared" si="385"/>
        <v>#VALUE!</v>
      </c>
      <c r="X1683" s="26" t="e">
        <f t="shared" si="386"/>
        <v>#VALUE!</v>
      </c>
      <c r="Y1683" s="26" t="e">
        <f t="shared" si="387"/>
        <v>#VALUE!</v>
      </c>
      <c r="Z1683" s="1" t="e">
        <f t="shared" si="388"/>
        <v>#VALUE!</v>
      </c>
      <c r="AA1683"/>
      <c r="AB1683"/>
    </row>
    <row r="1684" spans="1:28" x14ac:dyDescent="0.55000000000000004">
      <c r="A1684" s="1">
        <f t="shared" si="375"/>
        <v>1684</v>
      </c>
      <c r="B1684" t="s">
        <v>37</v>
      </c>
      <c r="C1684" t="s">
        <v>337</v>
      </c>
      <c r="D1684" t="s">
        <v>174</v>
      </c>
      <c r="E1684" t="s">
        <v>338</v>
      </c>
      <c r="F1684" t="s">
        <v>315</v>
      </c>
      <c r="G1684" t="s">
        <v>326</v>
      </c>
      <c r="I1684" t="s">
        <v>312</v>
      </c>
      <c r="K1684" t="s">
        <v>327</v>
      </c>
      <c r="M1684" t="s">
        <v>47</v>
      </c>
      <c r="N1684" s="1" t="e">
        <f t="shared" si="376"/>
        <v>#VALUE!</v>
      </c>
      <c r="O1684" s="1" t="e">
        <f t="shared" si="377"/>
        <v>#VALUE!</v>
      </c>
      <c r="P1684" s="1" t="e">
        <f t="shared" si="378"/>
        <v>#VALUE!</v>
      </c>
      <c r="Q1684" s="1" t="e">
        <f t="shared" si="379"/>
        <v>#VALUE!</v>
      </c>
      <c r="R1684" s="1" t="e">
        <f t="shared" si="380"/>
        <v>#VALUE!</v>
      </c>
      <c r="S1684" s="1" t="e">
        <f t="shared" si="381"/>
        <v>#VALUE!</v>
      </c>
      <c r="T1684" s="1" t="e">
        <f t="shared" si="382"/>
        <v>#VALUE!</v>
      </c>
      <c r="U1684" s="26" t="e">
        <f t="shared" si="383"/>
        <v>#VALUE!</v>
      </c>
      <c r="V1684" s="26" t="e">
        <f t="shared" si="384"/>
        <v>#VALUE!</v>
      </c>
      <c r="W1684" s="1" t="e">
        <f t="shared" si="385"/>
        <v>#VALUE!</v>
      </c>
      <c r="X1684" s="26" t="e">
        <f t="shared" si="386"/>
        <v>#VALUE!</v>
      </c>
      <c r="Y1684" s="26" t="e">
        <f t="shared" si="387"/>
        <v>#VALUE!</v>
      </c>
      <c r="Z1684" s="1" t="e">
        <f t="shared" si="388"/>
        <v>#VALUE!</v>
      </c>
      <c r="AA1684"/>
      <c r="AB1684"/>
    </row>
    <row r="1685" spans="1:28" x14ac:dyDescent="0.55000000000000004">
      <c r="A1685" s="1">
        <f t="shared" si="375"/>
        <v>1685</v>
      </c>
      <c r="B1685" t="s">
        <v>37</v>
      </c>
      <c r="C1685" t="s">
        <v>337</v>
      </c>
      <c r="D1685" t="s">
        <v>174</v>
      </c>
      <c r="E1685" t="s">
        <v>338</v>
      </c>
      <c r="F1685" t="s">
        <v>311</v>
      </c>
      <c r="G1685" t="s">
        <v>319</v>
      </c>
      <c r="I1685" t="s">
        <v>316</v>
      </c>
      <c r="K1685" t="s">
        <v>330</v>
      </c>
      <c r="M1685" t="s">
        <v>47</v>
      </c>
      <c r="N1685" s="1" t="e">
        <f t="shared" si="376"/>
        <v>#VALUE!</v>
      </c>
      <c r="O1685" s="1" t="e">
        <f t="shared" si="377"/>
        <v>#VALUE!</v>
      </c>
      <c r="P1685" s="1" t="e">
        <f t="shared" si="378"/>
        <v>#VALUE!</v>
      </c>
      <c r="Q1685" s="1" t="e">
        <f t="shared" si="379"/>
        <v>#VALUE!</v>
      </c>
      <c r="R1685" s="1" t="e">
        <f t="shared" si="380"/>
        <v>#VALUE!</v>
      </c>
      <c r="S1685" s="1" t="e">
        <f t="shared" si="381"/>
        <v>#VALUE!</v>
      </c>
      <c r="T1685" s="1" t="e">
        <f t="shared" si="382"/>
        <v>#VALUE!</v>
      </c>
      <c r="U1685" s="26" t="e">
        <f t="shared" si="383"/>
        <v>#VALUE!</v>
      </c>
      <c r="V1685" s="26" t="e">
        <f t="shared" si="384"/>
        <v>#VALUE!</v>
      </c>
      <c r="W1685" s="1" t="e">
        <f t="shared" si="385"/>
        <v>#VALUE!</v>
      </c>
      <c r="X1685" s="26" t="e">
        <f t="shared" si="386"/>
        <v>#VALUE!</v>
      </c>
      <c r="Y1685" s="26" t="e">
        <f t="shared" si="387"/>
        <v>#VALUE!</v>
      </c>
      <c r="Z1685" s="1" t="e">
        <f t="shared" si="388"/>
        <v>#VALUE!</v>
      </c>
      <c r="AA1685"/>
      <c r="AB1685"/>
    </row>
    <row r="1686" spans="1:28" x14ac:dyDescent="0.55000000000000004">
      <c r="A1686" s="1">
        <f t="shared" si="375"/>
        <v>1686</v>
      </c>
      <c r="B1686" t="s">
        <v>31</v>
      </c>
      <c r="C1686" t="s">
        <v>111</v>
      </c>
      <c r="D1686" t="s">
        <v>133</v>
      </c>
      <c r="E1686" t="s">
        <v>162</v>
      </c>
      <c r="G1686" t="s">
        <v>141</v>
      </c>
      <c r="I1686" t="s">
        <v>144</v>
      </c>
      <c r="K1686" t="s">
        <v>143</v>
      </c>
      <c r="M1686" t="s">
        <v>47</v>
      </c>
      <c r="N1686" s="1" t="e">
        <f t="shared" si="376"/>
        <v>#VALUE!</v>
      </c>
      <c r="O1686" s="1" t="e">
        <f t="shared" si="377"/>
        <v>#VALUE!</v>
      </c>
      <c r="P1686" s="1" t="e">
        <f t="shared" si="378"/>
        <v>#VALUE!</v>
      </c>
      <c r="Q1686" s="1" t="e">
        <f t="shared" si="379"/>
        <v>#VALUE!</v>
      </c>
      <c r="R1686" s="1" t="e">
        <f t="shared" si="380"/>
        <v>#VALUE!</v>
      </c>
      <c r="S1686" s="1" t="e">
        <f t="shared" si="381"/>
        <v>#VALUE!</v>
      </c>
      <c r="T1686" s="1" t="e">
        <f t="shared" si="382"/>
        <v>#VALUE!</v>
      </c>
      <c r="U1686" s="26" t="e">
        <f t="shared" si="383"/>
        <v>#VALUE!</v>
      </c>
      <c r="V1686" s="26" t="e">
        <f t="shared" si="384"/>
        <v>#VALUE!</v>
      </c>
      <c r="W1686" s="1" t="e">
        <f t="shared" si="385"/>
        <v>#VALUE!</v>
      </c>
      <c r="X1686" s="26" t="e">
        <f t="shared" si="386"/>
        <v>#VALUE!</v>
      </c>
      <c r="Y1686" s="26" t="e">
        <f t="shared" si="387"/>
        <v>#VALUE!</v>
      </c>
      <c r="Z1686" s="1" t="e">
        <f t="shared" si="388"/>
        <v>#VALUE!</v>
      </c>
      <c r="AA1686"/>
      <c r="AB1686"/>
    </row>
    <row r="1687" spans="1:28" x14ac:dyDescent="0.55000000000000004">
      <c r="A1687" s="1">
        <f t="shared" si="375"/>
        <v>1687</v>
      </c>
      <c r="B1687" t="s">
        <v>31</v>
      </c>
      <c r="C1687" t="s">
        <v>111</v>
      </c>
      <c r="D1687" t="s">
        <v>133</v>
      </c>
      <c r="E1687" t="s">
        <v>162</v>
      </c>
      <c r="G1687" t="s">
        <v>148</v>
      </c>
      <c r="I1687" t="s">
        <v>151</v>
      </c>
      <c r="K1687" t="s">
        <v>157</v>
      </c>
      <c r="M1687" t="s">
        <v>47</v>
      </c>
      <c r="N1687" s="1" t="e">
        <f t="shared" si="376"/>
        <v>#VALUE!</v>
      </c>
      <c r="O1687" s="1" t="e">
        <f t="shared" si="377"/>
        <v>#VALUE!</v>
      </c>
      <c r="P1687" s="1" t="e">
        <f t="shared" si="378"/>
        <v>#VALUE!</v>
      </c>
      <c r="Q1687" s="1" t="e">
        <f t="shared" si="379"/>
        <v>#VALUE!</v>
      </c>
      <c r="R1687" s="1" t="e">
        <f t="shared" si="380"/>
        <v>#VALUE!</v>
      </c>
      <c r="S1687" s="1" t="e">
        <f t="shared" si="381"/>
        <v>#VALUE!</v>
      </c>
      <c r="T1687" s="1" t="e">
        <f t="shared" si="382"/>
        <v>#VALUE!</v>
      </c>
      <c r="U1687" s="26" t="e">
        <f t="shared" si="383"/>
        <v>#VALUE!</v>
      </c>
      <c r="V1687" s="26" t="e">
        <f t="shared" si="384"/>
        <v>#VALUE!</v>
      </c>
      <c r="W1687" s="1" t="e">
        <f t="shared" si="385"/>
        <v>#VALUE!</v>
      </c>
      <c r="X1687" s="26" t="e">
        <f t="shared" si="386"/>
        <v>#VALUE!</v>
      </c>
      <c r="Y1687" s="26" t="e">
        <f t="shared" si="387"/>
        <v>#VALUE!</v>
      </c>
      <c r="Z1687" s="1" t="e">
        <f t="shared" si="388"/>
        <v>#VALUE!</v>
      </c>
      <c r="AA1687"/>
      <c r="AB1687"/>
    </row>
    <row r="1688" spans="1:28" x14ac:dyDescent="0.55000000000000004">
      <c r="A1688" s="1">
        <f t="shared" si="375"/>
        <v>1688</v>
      </c>
      <c r="B1688" t="s">
        <v>31</v>
      </c>
      <c r="C1688" t="s">
        <v>111</v>
      </c>
      <c r="D1688" t="s">
        <v>133</v>
      </c>
      <c r="E1688" t="s">
        <v>162</v>
      </c>
      <c r="G1688" t="s">
        <v>135</v>
      </c>
      <c r="I1688" t="s">
        <v>139</v>
      </c>
      <c r="K1688" t="s">
        <v>137</v>
      </c>
      <c r="M1688" t="s">
        <v>47</v>
      </c>
      <c r="N1688" s="1" t="e">
        <f t="shared" si="376"/>
        <v>#VALUE!</v>
      </c>
      <c r="O1688" s="1" t="e">
        <f t="shared" si="377"/>
        <v>#VALUE!</v>
      </c>
      <c r="P1688" s="1" t="e">
        <f t="shared" si="378"/>
        <v>#VALUE!</v>
      </c>
      <c r="Q1688" s="1" t="e">
        <f t="shared" si="379"/>
        <v>#VALUE!</v>
      </c>
      <c r="R1688" s="1" t="e">
        <f t="shared" si="380"/>
        <v>#VALUE!</v>
      </c>
      <c r="S1688" s="1" t="e">
        <f t="shared" si="381"/>
        <v>#VALUE!</v>
      </c>
      <c r="T1688" s="1" t="e">
        <f t="shared" si="382"/>
        <v>#VALUE!</v>
      </c>
      <c r="U1688" s="26" t="e">
        <f t="shared" si="383"/>
        <v>#VALUE!</v>
      </c>
      <c r="V1688" s="26" t="e">
        <f t="shared" si="384"/>
        <v>#VALUE!</v>
      </c>
      <c r="W1688" s="1" t="e">
        <f t="shared" si="385"/>
        <v>#VALUE!</v>
      </c>
      <c r="X1688" s="26" t="e">
        <f t="shared" si="386"/>
        <v>#VALUE!</v>
      </c>
      <c r="Y1688" s="26" t="e">
        <f t="shared" si="387"/>
        <v>#VALUE!</v>
      </c>
      <c r="Z1688" s="1" t="e">
        <f t="shared" si="388"/>
        <v>#VALUE!</v>
      </c>
      <c r="AA1688"/>
      <c r="AB1688"/>
    </row>
    <row r="1689" spans="1:28" x14ac:dyDescent="0.55000000000000004">
      <c r="A1689" s="1">
        <f t="shared" si="375"/>
        <v>1689</v>
      </c>
      <c r="B1689" t="s">
        <v>31</v>
      </c>
      <c r="C1689" t="s">
        <v>111</v>
      </c>
      <c r="D1689" t="s">
        <v>133</v>
      </c>
      <c r="E1689" t="s">
        <v>162</v>
      </c>
      <c r="G1689" t="s">
        <v>136</v>
      </c>
      <c r="I1689" t="s">
        <v>147</v>
      </c>
      <c r="K1689" t="s">
        <v>158</v>
      </c>
      <c r="M1689" t="s">
        <v>47</v>
      </c>
      <c r="N1689" s="1" t="e">
        <f t="shared" si="376"/>
        <v>#VALUE!</v>
      </c>
      <c r="O1689" s="1" t="e">
        <f t="shared" si="377"/>
        <v>#VALUE!</v>
      </c>
      <c r="P1689" s="1" t="e">
        <f t="shared" si="378"/>
        <v>#VALUE!</v>
      </c>
      <c r="Q1689" s="1" t="e">
        <f t="shared" si="379"/>
        <v>#VALUE!</v>
      </c>
      <c r="R1689" s="1" t="e">
        <f t="shared" si="380"/>
        <v>#VALUE!</v>
      </c>
      <c r="S1689" s="1" t="e">
        <f t="shared" si="381"/>
        <v>#VALUE!</v>
      </c>
      <c r="T1689" s="1" t="e">
        <f t="shared" si="382"/>
        <v>#VALUE!</v>
      </c>
      <c r="U1689" s="26" t="e">
        <f t="shared" si="383"/>
        <v>#VALUE!</v>
      </c>
      <c r="V1689" s="26" t="e">
        <f t="shared" si="384"/>
        <v>#VALUE!</v>
      </c>
      <c r="W1689" s="1" t="e">
        <f t="shared" si="385"/>
        <v>#VALUE!</v>
      </c>
      <c r="X1689" s="26" t="e">
        <f t="shared" si="386"/>
        <v>#VALUE!</v>
      </c>
      <c r="Y1689" s="26" t="e">
        <f t="shared" si="387"/>
        <v>#VALUE!</v>
      </c>
      <c r="Z1689" s="1" t="e">
        <f t="shared" si="388"/>
        <v>#VALUE!</v>
      </c>
      <c r="AA1689"/>
      <c r="AB1689"/>
    </row>
    <row r="1690" spans="1:28" x14ac:dyDescent="0.55000000000000004">
      <c r="A1690" s="1">
        <f t="shared" si="375"/>
        <v>1690</v>
      </c>
      <c r="B1690" t="s">
        <v>31</v>
      </c>
      <c r="C1690" t="s">
        <v>111</v>
      </c>
      <c r="D1690" t="s">
        <v>133</v>
      </c>
      <c r="E1690" t="s">
        <v>162</v>
      </c>
      <c r="G1690" t="s">
        <v>142</v>
      </c>
      <c r="I1690" t="s">
        <v>145</v>
      </c>
      <c r="K1690" t="s">
        <v>160</v>
      </c>
      <c r="M1690" t="s">
        <v>47</v>
      </c>
      <c r="N1690" s="1" t="e">
        <f t="shared" si="376"/>
        <v>#VALUE!</v>
      </c>
      <c r="O1690" s="1" t="e">
        <f t="shared" si="377"/>
        <v>#VALUE!</v>
      </c>
      <c r="P1690" s="1" t="e">
        <f t="shared" si="378"/>
        <v>#VALUE!</v>
      </c>
      <c r="Q1690" s="1" t="e">
        <f t="shared" si="379"/>
        <v>#VALUE!</v>
      </c>
      <c r="R1690" s="1" t="e">
        <f t="shared" si="380"/>
        <v>#VALUE!</v>
      </c>
      <c r="S1690" s="1" t="e">
        <f t="shared" si="381"/>
        <v>#VALUE!</v>
      </c>
      <c r="T1690" s="1" t="e">
        <f t="shared" si="382"/>
        <v>#VALUE!</v>
      </c>
      <c r="U1690" s="26" t="e">
        <f t="shared" si="383"/>
        <v>#VALUE!</v>
      </c>
      <c r="V1690" s="26" t="e">
        <f t="shared" si="384"/>
        <v>#VALUE!</v>
      </c>
      <c r="W1690" s="1" t="e">
        <f t="shared" si="385"/>
        <v>#VALUE!</v>
      </c>
      <c r="X1690" s="26" t="e">
        <f t="shared" si="386"/>
        <v>#VALUE!</v>
      </c>
      <c r="Y1690" s="26" t="e">
        <f t="shared" si="387"/>
        <v>#VALUE!</v>
      </c>
      <c r="Z1690" s="1" t="e">
        <f t="shared" si="388"/>
        <v>#VALUE!</v>
      </c>
      <c r="AA1690"/>
      <c r="AB1690"/>
    </row>
    <row r="1691" spans="1:28" x14ac:dyDescent="0.55000000000000004">
      <c r="A1691" s="1">
        <f t="shared" si="375"/>
        <v>1691</v>
      </c>
      <c r="B1691" t="s">
        <v>31</v>
      </c>
      <c r="C1691" t="s">
        <v>111</v>
      </c>
      <c r="D1691" t="s">
        <v>133</v>
      </c>
      <c r="E1691" t="s">
        <v>162</v>
      </c>
      <c r="G1691" t="s">
        <v>138</v>
      </c>
      <c r="I1691" t="s">
        <v>150</v>
      </c>
      <c r="K1691" t="s">
        <v>140</v>
      </c>
      <c r="M1691" t="s">
        <v>47</v>
      </c>
      <c r="N1691" s="1" t="e">
        <f t="shared" si="376"/>
        <v>#VALUE!</v>
      </c>
      <c r="O1691" s="1" t="e">
        <f t="shared" si="377"/>
        <v>#VALUE!</v>
      </c>
      <c r="P1691" s="1" t="e">
        <f t="shared" si="378"/>
        <v>#VALUE!</v>
      </c>
      <c r="Q1691" s="1" t="e">
        <f t="shared" si="379"/>
        <v>#VALUE!</v>
      </c>
      <c r="R1691" s="1" t="e">
        <f t="shared" si="380"/>
        <v>#VALUE!</v>
      </c>
      <c r="S1691" s="1" t="e">
        <f t="shared" si="381"/>
        <v>#VALUE!</v>
      </c>
      <c r="T1691" s="1" t="e">
        <f t="shared" si="382"/>
        <v>#VALUE!</v>
      </c>
      <c r="U1691" s="26" t="e">
        <f t="shared" si="383"/>
        <v>#VALUE!</v>
      </c>
      <c r="V1691" s="26" t="e">
        <f t="shared" si="384"/>
        <v>#VALUE!</v>
      </c>
      <c r="W1691" s="1" t="e">
        <f t="shared" si="385"/>
        <v>#VALUE!</v>
      </c>
      <c r="X1691" s="26" t="e">
        <f t="shared" si="386"/>
        <v>#VALUE!</v>
      </c>
      <c r="Y1691" s="26" t="e">
        <f t="shared" si="387"/>
        <v>#VALUE!</v>
      </c>
      <c r="Z1691" s="1" t="e">
        <f t="shared" si="388"/>
        <v>#VALUE!</v>
      </c>
      <c r="AA1691"/>
      <c r="AB1691"/>
    </row>
    <row r="1692" spans="1:28" x14ac:dyDescent="0.55000000000000004">
      <c r="A1692" s="1">
        <f t="shared" si="375"/>
        <v>1692</v>
      </c>
      <c r="B1692" t="s">
        <v>33</v>
      </c>
      <c r="C1692" t="s">
        <v>80</v>
      </c>
      <c r="D1692" t="s">
        <v>133</v>
      </c>
      <c r="E1692" t="s">
        <v>162</v>
      </c>
      <c r="F1692" t="s">
        <v>373</v>
      </c>
      <c r="G1692" t="s">
        <v>278</v>
      </c>
      <c r="I1692" t="s">
        <v>281</v>
      </c>
      <c r="K1692" t="s">
        <v>280</v>
      </c>
      <c r="M1692" t="s">
        <v>47</v>
      </c>
      <c r="N1692" s="1" t="e">
        <f t="shared" si="376"/>
        <v>#VALUE!</v>
      </c>
      <c r="O1692" s="1" t="e">
        <f t="shared" si="377"/>
        <v>#VALUE!</v>
      </c>
      <c r="P1692" s="1" t="e">
        <f t="shared" si="378"/>
        <v>#VALUE!</v>
      </c>
      <c r="Q1692" s="1" t="e">
        <f t="shared" si="379"/>
        <v>#VALUE!</v>
      </c>
      <c r="R1692" s="1" t="e">
        <f t="shared" si="380"/>
        <v>#VALUE!</v>
      </c>
      <c r="S1692" s="1" t="e">
        <f t="shared" si="381"/>
        <v>#VALUE!</v>
      </c>
      <c r="T1692" s="1" t="e">
        <f t="shared" si="382"/>
        <v>#VALUE!</v>
      </c>
      <c r="U1692" s="26" t="e">
        <f t="shared" si="383"/>
        <v>#VALUE!</v>
      </c>
      <c r="V1692" s="26" t="e">
        <f t="shared" si="384"/>
        <v>#VALUE!</v>
      </c>
      <c r="W1692" s="1" t="e">
        <f t="shared" si="385"/>
        <v>#VALUE!</v>
      </c>
      <c r="X1692" s="26" t="e">
        <f t="shared" si="386"/>
        <v>#VALUE!</v>
      </c>
      <c r="Y1692" s="26" t="e">
        <f t="shared" si="387"/>
        <v>#VALUE!</v>
      </c>
      <c r="Z1692" s="1" t="e">
        <f t="shared" si="388"/>
        <v>#VALUE!</v>
      </c>
      <c r="AA1692"/>
      <c r="AB1692"/>
    </row>
    <row r="1693" spans="1:28" x14ac:dyDescent="0.55000000000000004">
      <c r="A1693" s="1">
        <f t="shared" si="375"/>
        <v>1693</v>
      </c>
      <c r="B1693" t="s">
        <v>33</v>
      </c>
      <c r="C1693" t="s">
        <v>80</v>
      </c>
      <c r="D1693" t="s">
        <v>133</v>
      </c>
      <c r="E1693" t="s">
        <v>162</v>
      </c>
      <c r="F1693" t="s">
        <v>373</v>
      </c>
      <c r="G1693" t="s">
        <v>292</v>
      </c>
      <c r="I1693" t="s">
        <v>285</v>
      </c>
      <c r="K1693" t="s">
        <v>374</v>
      </c>
      <c r="M1693" t="s">
        <v>47</v>
      </c>
      <c r="N1693" s="1" t="e">
        <f t="shared" si="376"/>
        <v>#VALUE!</v>
      </c>
      <c r="O1693" s="1" t="e">
        <f t="shared" si="377"/>
        <v>#VALUE!</v>
      </c>
      <c r="P1693" s="1" t="e">
        <f t="shared" si="378"/>
        <v>#VALUE!</v>
      </c>
      <c r="Q1693" s="1" t="e">
        <f t="shared" si="379"/>
        <v>#VALUE!</v>
      </c>
      <c r="R1693" s="1" t="e">
        <f t="shared" si="380"/>
        <v>#VALUE!</v>
      </c>
      <c r="S1693" s="1" t="e">
        <f t="shared" si="381"/>
        <v>#VALUE!</v>
      </c>
      <c r="T1693" s="1" t="e">
        <f t="shared" si="382"/>
        <v>#VALUE!</v>
      </c>
      <c r="U1693" s="26" t="e">
        <f t="shared" si="383"/>
        <v>#VALUE!</v>
      </c>
      <c r="V1693" s="26" t="e">
        <f t="shared" si="384"/>
        <v>#VALUE!</v>
      </c>
      <c r="W1693" s="1" t="e">
        <f t="shared" si="385"/>
        <v>#VALUE!</v>
      </c>
      <c r="X1693" s="26" t="e">
        <f t="shared" si="386"/>
        <v>#VALUE!</v>
      </c>
      <c r="Y1693" s="26" t="e">
        <f t="shared" si="387"/>
        <v>#VALUE!</v>
      </c>
      <c r="Z1693" s="1" t="e">
        <f t="shared" si="388"/>
        <v>#VALUE!</v>
      </c>
      <c r="AA1693"/>
      <c r="AB1693"/>
    </row>
    <row r="1694" spans="1:28" x14ac:dyDescent="0.55000000000000004">
      <c r="A1694" s="1">
        <f t="shared" si="375"/>
        <v>1694</v>
      </c>
      <c r="B1694" t="s">
        <v>33</v>
      </c>
      <c r="C1694" t="s">
        <v>80</v>
      </c>
      <c r="D1694" t="s">
        <v>133</v>
      </c>
      <c r="E1694" t="s">
        <v>162</v>
      </c>
      <c r="F1694" t="s">
        <v>373</v>
      </c>
      <c r="G1694" t="s">
        <v>291</v>
      </c>
      <c r="I1694" t="s">
        <v>365</v>
      </c>
      <c r="K1694" t="s">
        <v>293</v>
      </c>
      <c r="M1694" t="s">
        <v>47</v>
      </c>
      <c r="N1694" s="1" t="e">
        <f t="shared" si="376"/>
        <v>#VALUE!</v>
      </c>
      <c r="O1694" s="1" t="e">
        <f t="shared" si="377"/>
        <v>#VALUE!</v>
      </c>
      <c r="P1694" s="1" t="e">
        <f t="shared" si="378"/>
        <v>#VALUE!</v>
      </c>
      <c r="Q1694" s="1" t="e">
        <f t="shared" si="379"/>
        <v>#VALUE!</v>
      </c>
      <c r="R1694" s="1" t="e">
        <f t="shared" si="380"/>
        <v>#VALUE!</v>
      </c>
      <c r="S1694" s="1" t="e">
        <f t="shared" si="381"/>
        <v>#VALUE!</v>
      </c>
      <c r="T1694" s="1" t="e">
        <f t="shared" si="382"/>
        <v>#VALUE!</v>
      </c>
      <c r="U1694" s="26" t="e">
        <f t="shared" si="383"/>
        <v>#VALUE!</v>
      </c>
      <c r="V1694" s="26" t="e">
        <f t="shared" si="384"/>
        <v>#VALUE!</v>
      </c>
      <c r="W1694" s="1" t="e">
        <f t="shared" si="385"/>
        <v>#VALUE!</v>
      </c>
      <c r="X1694" s="26" t="e">
        <f t="shared" si="386"/>
        <v>#VALUE!</v>
      </c>
      <c r="Y1694" s="26" t="e">
        <f t="shared" si="387"/>
        <v>#VALUE!</v>
      </c>
      <c r="Z1694" s="1" t="e">
        <f t="shared" si="388"/>
        <v>#VALUE!</v>
      </c>
      <c r="AA1694"/>
      <c r="AB1694"/>
    </row>
    <row r="1695" spans="1:28" x14ac:dyDescent="0.55000000000000004">
      <c r="A1695" s="1">
        <f t="shared" si="375"/>
        <v>1695</v>
      </c>
      <c r="B1695" t="s">
        <v>33</v>
      </c>
      <c r="C1695" t="s">
        <v>80</v>
      </c>
      <c r="D1695" t="s">
        <v>133</v>
      </c>
      <c r="E1695" t="s">
        <v>162</v>
      </c>
      <c r="F1695" t="s">
        <v>373</v>
      </c>
      <c r="G1695" t="s">
        <v>287</v>
      </c>
      <c r="I1695" t="s">
        <v>284</v>
      </c>
      <c r="K1695" t="s">
        <v>289</v>
      </c>
      <c r="M1695" t="s">
        <v>47</v>
      </c>
      <c r="N1695" s="1" t="e">
        <f t="shared" si="376"/>
        <v>#VALUE!</v>
      </c>
      <c r="O1695" s="1" t="e">
        <f t="shared" si="377"/>
        <v>#VALUE!</v>
      </c>
      <c r="P1695" s="1" t="e">
        <f t="shared" si="378"/>
        <v>#VALUE!</v>
      </c>
      <c r="Q1695" s="1" t="e">
        <f t="shared" si="379"/>
        <v>#VALUE!</v>
      </c>
      <c r="R1695" s="1" t="e">
        <f t="shared" si="380"/>
        <v>#VALUE!</v>
      </c>
      <c r="S1695" s="1" t="e">
        <f t="shared" si="381"/>
        <v>#VALUE!</v>
      </c>
      <c r="T1695" s="1" t="e">
        <f t="shared" si="382"/>
        <v>#VALUE!</v>
      </c>
      <c r="U1695" s="26" t="e">
        <f t="shared" si="383"/>
        <v>#VALUE!</v>
      </c>
      <c r="V1695" s="26" t="e">
        <f t="shared" si="384"/>
        <v>#VALUE!</v>
      </c>
      <c r="W1695" s="1" t="e">
        <f t="shared" si="385"/>
        <v>#VALUE!</v>
      </c>
      <c r="X1695" s="26" t="e">
        <f t="shared" si="386"/>
        <v>#VALUE!</v>
      </c>
      <c r="Y1695" s="26" t="e">
        <f t="shared" si="387"/>
        <v>#VALUE!</v>
      </c>
      <c r="Z1695" s="1" t="e">
        <f t="shared" si="388"/>
        <v>#VALUE!</v>
      </c>
      <c r="AA1695"/>
      <c r="AB1695"/>
    </row>
    <row r="1696" spans="1:28" x14ac:dyDescent="0.55000000000000004">
      <c r="A1696" s="1">
        <f t="shared" si="375"/>
        <v>1696</v>
      </c>
      <c r="B1696" t="s">
        <v>33</v>
      </c>
      <c r="C1696" t="s">
        <v>80</v>
      </c>
      <c r="D1696" t="s">
        <v>133</v>
      </c>
      <c r="E1696" t="s">
        <v>162</v>
      </c>
      <c r="F1696" t="s">
        <v>373</v>
      </c>
      <c r="G1696" t="s">
        <v>362</v>
      </c>
      <c r="I1696" t="s">
        <v>296</v>
      </c>
      <c r="K1696" t="s">
        <v>363</v>
      </c>
      <c r="M1696" t="s">
        <v>47</v>
      </c>
      <c r="N1696" s="1" t="e">
        <f t="shared" si="376"/>
        <v>#VALUE!</v>
      </c>
      <c r="O1696" s="1" t="e">
        <f t="shared" si="377"/>
        <v>#VALUE!</v>
      </c>
      <c r="P1696" s="1" t="e">
        <f t="shared" si="378"/>
        <v>#VALUE!</v>
      </c>
      <c r="Q1696" s="1" t="e">
        <f t="shared" si="379"/>
        <v>#VALUE!</v>
      </c>
      <c r="R1696" s="1" t="e">
        <f t="shared" si="380"/>
        <v>#VALUE!</v>
      </c>
      <c r="S1696" s="1" t="e">
        <f t="shared" si="381"/>
        <v>#VALUE!</v>
      </c>
      <c r="T1696" s="1" t="e">
        <f t="shared" si="382"/>
        <v>#VALUE!</v>
      </c>
      <c r="U1696" s="26" t="e">
        <f t="shared" si="383"/>
        <v>#VALUE!</v>
      </c>
      <c r="V1696" s="26" t="e">
        <f t="shared" si="384"/>
        <v>#VALUE!</v>
      </c>
      <c r="W1696" s="1" t="e">
        <f t="shared" si="385"/>
        <v>#VALUE!</v>
      </c>
      <c r="X1696" s="26" t="e">
        <f t="shared" si="386"/>
        <v>#VALUE!</v>
      </c>
      <c r="Y1696" s="26" t="e">
        <f t="shared" si="387"/>
        <v>#VALUE!</v>
      </c>
      <c r="Z1696" s="1" t="e">
        <f t="shared" si="388"/>
        <v>#VALUE!</v>
      </c>
      <c r="AA1696"/>
      <c r="AB1696"/>
    </row>
    <row r="1697" spans="1:28" x14ac:dyDescent="0.55000000000000004">
      <c r="A1697" s="1">
        <f t="shared" si="375"/>
        <v>1697</v>
      </c>
      <c r="B1697" t="s">
        <v>33</v>
      </c>
      <c r="C1697" t="s">
        <v>80</v>
      </c>
      <c r="D1697" t="s">
        <v>133</v>
      </c>
      <c r="E1697" t="s">
        <v>162</v>
      </c>
      <c r="F1697" t="s">
        <v>373</v>
      </c>
      <c r="G1697" t="s">
        <v>367</v>
      </c>
      <c r="I1697" t="s">
        <v>279</v>
      </c>
      <c r="K1697" t="s">
        <v>368</v>
      </c>
      <c r="M1697" t="s">
        <v>47</v>
      </c>
      <c r="N1697" s="1" t="e">
        <f t="shared" si="376"/>
        <v>#VALUE!</v>
      </c>
      <c r="O1697" s="1" t="e">
        <f t="shared" si="377"/>
        <v>#VALUE!</v>
      </c>
      <c r="P1697" s="1" t="e">
        <f t="shared" si="378"/>
        <v>#VALUE!</v>
      </c>
      <c r="Q1697" s="1" t="e">
        <f t="shared" si="379"/>
        <v>#VALUE!</v>
      </c>
      <c r="R1697" s="1" t="e">
        <f t="shared" si="380"/>
        <v>#VALUE!</v>
      </c>
      <c r="S1697" s="1" t="e">
        <f t="shared" si="381"/>
        <v>#VALUE!</v>
      </c>
      <c r="T1697" s="1" t="e">
        <f t="shared" si="382"/>
        <v>#VALUE!</v>
      </c>
      <c r="U1697" s="26" t="e">
        <f t="shared" si="383"/>
        <v>#VALUE!</v>
      </c>
      <c r="V1697" s="26" t="e">
        <f t="shared" si="384"/>
        <v>#VALUE!</v>
      </c>
      <c r="W1697" s="1" t="e">
        <f t="shared" si="385"/>
        <v>#VALUE!</v>
      </c>
      <c r="X1697" s="26" t="e">
        <f t="shared" si="386"/>
        <v>#VALUE!</v>
      </c>
      <c r="Y1697" s="26" t="e">
        <f t="shared" si="387"/>
        <v>#VALUE!</v>
      </c>
      <c r="Z1697" s="1" t="e">
        <f t="shared" si="388"/>
        <v>#VALUE!</v>
      </c>
      <c r="AA1697"/>
      <c r="AB1697"/>
    </row>
    <row r="1698" spans="1:28" x14ac:dyDescent="0.55000000000000004">
      <c r="A1698" s="1">
        <f t="shared" si="375"/>
        <v>1698</v>
      </c>
      <c r="B1698" t="s">
        <v>33</v>
      </c>
      <c r="C1698" t="s">
        <v>80</v>
      </c>
      <c r="D1698" t="s">
        <v>133</v>
      </c>
      <c r="E1698" t="s">
        <v>162</v>
      </c>
      <c r="F1698" t="s">
        <v>373</v>
      </c>
      <c r="G1698" t="s">
        <v>282</v>
      </c>
      <c r="I1698" t="s">
        <v>360</v>
      </c>
      <c r="K1698" t="s">
        <v>295</v>
      </c>
      <c r="M1698" t="s">
        <v>47</v>
      </c>
      <c r="N1698" s="1" t="e">
        <f t="shared" si="376"/>
        <v>#VALUE!</v>
      </c>
      <c r="O1698" s="1" t="e">
        <f t="shared" si="377"/>
        <v>#VALUE!</v>
      </c>
      <c r="P1698" s="1" t="e">
        <f t="shared" si="378"/>
        <v>#VALUE!</v>
      </c>
      <c r="Q1698" s="1" t="e">
        <f t="shared" si="379"/>
        <v>#VALUE!</v>
      </c>
      <c r="R1698" s="1" t="e">
        <f t="shared" si="380"/>
        <v>#VALUE!</v>
      </c>
      <c r="S1698" s="1" t="e">
        <f t="shared" si="381"/>
        <v>#VALUE!</v>
      </c>
      <c r="T1698" s="1" t="e">
        <f t="shared" si="382"/>
        <v>#VALUE!</v>
      </c>
      <c r="U1698" s="26" t="e">
        <f t="shared" si="383"/>
        <v>#VALUE!</v>
      </c>
      <c r="V1698" s="26" t="e">
        <f t="shared" si="384"/>
        <v>#VALUE!</v>
      </c>
      <c r="W1698" s="1" t="e">
        <f t="shared" si="385"/>
        <v>#VALUE!</v>
      </c>
      <c r="X1698" s="26" t="e">
        <f t="shared" si="386"/>
        <v>#VALUE!</v>
      </c>
      <c r="Y1698" s="26" t="e">
        <f t="shared" si="387"/>
        <v>#VALUE!</v>
      </c>
      <c r="Z1698" s="1" t="e">
        <f t="shared" si="388"/>
        <v>#VALUE!</v>
      </c>
      <c r="AA1698"/>
      <c r="AB1698"/>
    </row>
    <row r="1699" spans="1:28" x14ac:dyDescent="0.55000000000000004">
      <c r="A1699" s="1">
        <f t="shared" si="375"/>
        <v>1699</v>
      </c>
      <c r="B1699" t="s">
        <v>33</v>
      </c>
      <c r="C1699" t="s">
        <v>80</v>
      </c>
      <c r="D1699" t="s">
        <v>133</v>
      </c>
      <c r="E1699" t="s">
        <v>162</v>
      </c>
      <c r="F1699" t="s">
        <v>373</v>
      </c>
      <c r="G1699" t="s">
        <v>299</v>
      </c>
      <c r="I1699" t="s">
        <v>288</v>
      </c>
      <c r="K1699" t="s">
        <v>370</v>
      </c>
      <c r="M1699" t="s">
        <v>47</v>
      </c>
      <c r="N1699" s="1" t="e">
        <f t="shared" si="376"/>
        <v>#VALUE!</v>
      </c>
      <c r="O1699" s="1" t="e">
        <f t="shared" si="377"/>
        <v>#VALUE!</v>
      </c>
      <c r="P1699" s="1" t="e">
        <f t="shared" si="378"/>
        <v>#VALUE!</v>
      </c>
      <c r="Q1699" s="1" t="e">
        <f t="shared" si="379"/>
        <v>#VALUE!</v>
      </c>
      <c r="R1699" s="1" t="e">
        <f t="shared" si="380"/>
        <v>#VALUE!</v>
      </c>
      <c r="S1699" s="1" t="e">
        <f t="shared" si="381"/>
        <v>#VALUE!</v>
      </c>
      <c r="T1699" s="1" t="e">
        <f t="shared" si="382"/>
        <v>#VALUE!</v>
      </c>
      <c r="U1699" s="26" t="e">
        <f t="shared" si="383"/>
        <v>#VALUE!</v>
      </c>
      <c r="V1699" s="26" t="e">
        <f t="shared" si="384"/>
        <v>#VALUE!</v>
      </c>
      <c r="W1699" s="1" t="e">
        <f t="shared" si="385"/>
        <v>#VALUE!</v>
      </c>
      <c r="X1699" s="26" t="e">
        <f t="shared" si="386"/>
        <v>#VALUE!</v>
      </c>
      <c r="Y1699" s="26" t="e">
        <f t="shared" si="387"/>
        <v>#VALUE!</v>
      </c>
      <c r="Z1699" s="1" t="e">
        <f t="shared" si="388"/>
        <v>#VALUE!</v>
      </c>
      <c r="AA1699"/>
      <c r="AB1699"/>
    </row>
    <row r="1700" spans="1:28" x14ac:dyDescent="0.55000000000000004">
      <c r="A1700" s="1">
        <f t="shared" si="375"/>
        <v>1700</v>
      </c>
      <c r="B1700" t="s">
        <v>39</v>
      </c>
      <c r="C1700" t="s">
        <v>335</v>
      </c>
      <c r="D1700" t="s">
        <v>133</v>
      </c>
      <c r="E1700" t="s">
        <v>162</v>
      </c>
      <c r="F1700" t="s">
        <v>342</v>
      </c>
      <c r="G1700" t="s">
        <v>222</v>
      </c>
      <c r="I1700" t="s">
        <v>229</v>
      </c>
      <c r="K1700" t="s">
        <v>224</v>
      </c>
      <c r="M1700" t="s">
        <v>47</v>
      </c>
      <c r="N1700" s="1" t="e">
        <f t="shared" si="376"/>
        <v>#VALUE!</v>
      </c>
      <c r="O1700" s="1" t="e">
        <f t="shared" si="377"/>
        <v>#VALUE!</v>
      </c>
      <c r="P1700" s="1" t="e">
        <f t="shared" si="378"/>
        <v>#VALUE!</v>
      </c>
      <c r="Q1700" s="1" t="e">
        <f t="shared" si="379"/>
        <v>#VALUE!</v>
      </c>
      <c r="R1700" s="1" t="e">
        <f t="shared" si="380"/>
        <v>#VALUE!</v>
      </c>
      <c r="S1700" s="1" t="e">
        <f t="shared" si="381"/>
        <v>#VALUE!</v>
      </c>
      <c r="T1700" s="1" t="e">
        <f t="shared" si="382"/>
        <v>#VALUE!</v>
      </c>
      <c r="U1700" s="26" t="e">
        <f t="shared" si="383"/>
        <v>#VALUE!</v>
      </c>
      <c r="V1700" s="26" t="e">
        <f t="shared" si="384"/>
        <v>#VALUE!</v>
      </c>
      <c r="W1700" s="1" t="e">
        <f t="shared" si="385"/>
        <v>#VALUE!</v>
      </c>
      <c r="X1700" s="26" t="e">
        <f t="shared" si="386"/>
        <v>#VALUE!</v>
      </c>
      <c r="Y1700" s="26" t="e">
        <f t="shared" si="387"/>
        <v>#VALUE!</v>
      </c>
      <c r="Z1700" s="1" t="e">
        <f t="shared" si="388"/>
        <v>#VALUE!</v>
      </c>
      <c r="AA1700"/>
      <c r="AB1700"/>
    </row>
    <row r="1701" spans="1:28" x14ac:dyDescent="0.55000000000000004">
      <c r="A1701" s="1">
        <f t="shared" si="375"/>
        <v>1701</v>
      </c>
      <c r="B1701" t="s">
        <v>39</v>
      </c>
      <c r="C1701" t="s">
        <v>335</v>
      </c>
      <c r="D1701" t="s">
        <v>133</v>
      </c>
      <c r="E1701" t="s">
        <v>162</v>
      </c>
      <c r="F1701" t="s">
        <v>342</v>
      </c>
      <c r="G1701" t="s">
        <v>223</v>
      </c>
      <c r="I1701" t="s">
        <v>219</v>
      </c>
      <c r="K1701" t="s">
        <v>244</v>
      </c>
      <c r="M1701" t="s">
        <v>47</v>
      </c>
      <c r="N1701" s="1" t="e">
        <f t="shared" si="376"/>
        <v>#VALUE!</v>
      </c>
      <c r="O1701" s="1" t="e">
        <f t="shared" si="377"/>
        <v>#VALUE!</v>
      </c>
      <c r="P1701" s="1" t="e">
        <f t="shared" si="378"/>
        <v>#VALUE!</v>
      </c>
      <c r="Q1701" s="1" t="e">
        <f t="shared" si="379"/>
        <v>#VALUE!</v>
      </c>
      <c r="R1701" s="1" t="e">
        <f t="shared" si="380"/>
        <v>#VALUE!</v>
      </c>
      <c r="S1701" s="1" t="e">
        <f t="shared" si="381"/>
        <v>#VALUE!</v>
      </c>
      <c r="T1701" s="1" t="e">
        <f t="shared" si="382"/>
        <v>#VALUE!</v>
      </c>
      <c r="U1701" s="26" t="e">
        <f t="shared" si="383"/>
        <v>#VALUE!</v>
      </c>
      <c r="V1701" s="26" t="e">
        <f t="shared" si="384"/>
        <v>#VALUE!</v>
      </c>
      <c r="W1701" s="1" t="e">
        <f t="shared" si="385"/>
        <v>#VALUE!</v>
      </c>
      <c r="X1701" s="26" t="e">
        <f t="shared" si="386"/>
        <v>#VALUE!</v>
      </c>
      <c r="Y1701" s="26" t="e">
        <f t="shared" si="387"/>
        <v>#VALUE!</v>
      </c>
      <c r="Z1701" s="1" t="e">
        <f t="shared" si="388"/>
        <v>#VALUE!</v>
      </c>
      <c r="AA1701"/>
      <c r="AB1701"/>
    </row>
    <row r="1702" spans="1:28" x14ac:dyDescent="0.55000000000000004">
      <c r="A1702" s="1">
        <f t="shared" si="375"/>
        <v>1702</v>
      </c>
      <c r="B1702" t="s">
        <v>39</v>
      </c>
      <c r="C1702" t="s">
        <v>335</v>
      </c>
      <c r="D1702" t="s">
        <v>133</v>
      </c>
      <c r="E1702" t="s">
        <v>162</v>
      </c>
      <c r="F1702" t="s">
        <v>342</v>
      </c>
      <c r="G1702" t="s">
        <v>235</v>
      </c>
      <c r="I1702" t="s">
        <v>225</v>
      </c>
      <c r="K1702" t="s">
        <v>242</v>
      </c>
      <c r="M1702" t="s">
        <v>47</v>
      </c>
      <c r="N1702" s="1" t="e">
        <f t="shared" si="376"/>
        <v>#VALUE!</v>
      </c>
      <c r="O1702" s="1" t="e">
        <f t="shared" si="377"/>
        <v>#VALUE!</v>
      </c>
      <c r="P1702" s="1" t="e">
        <f t="shared" si="378"/>
        <v>#VALUE!</v>
      </c>
      <c r="Q1702" s="1" t="e">
        <f t="shared" si="379"/>
        <v>#VALUE!</v>
      </c>
      <c r="R1702" s="1" t="e">
        <f t="shared" si="380"/>
        <v>#VALUE!</v>
      </c>
      <c r="S1702" s="1" t="e">
        <f t="shared" si="381"/>
        <v>#VALUE!</v>
      </c>
      <c r="T1702" s="1" t="e">
        <f t="shared" si="382"/>
        <v>#VALUE!</v>
      </c>
      <c r="U1702" s="26" t="e">
        <f t="shared" si="383"/>
        <v>#VALUE!</v>
      </c>
      <c r="V1702" s="26" t="e">
        <f t="shared" si="384"/>
        <v>#VALUE!</v>
      </c>
      <c r="W1702" s="1" t="e">
        <f t="shared" si="385"/>
        <v>#VALUE!</v>
      </c>
      <c r="X1702" s="26" t="e">
        <f t="shared" si="386"/>
        <v>#VALUE!</v>
      </c>
      <c r="Y1702" s="26" t="e">
        <f t="shared" si="387"/>
        <v>#VALUE!</v>
      </c>
      <c r="Z1702" s="1" t="e">
        <f t="shared" si="388"/>
        <v>#VALUE!</v>
      </c>
      <c r="AA1702"/>
      <c r="AB1702"/>
    </row>
    <row r="1703" spans="1:28" x14ac:dyDescent="0.55000000000000004">
      <c r="A1703" s="1">
        <f t="shared" si="375"/>
        <v>1703</v>
      </c>
      <c r="B1703" t="s">
        <v>39</v>
      </c>
      <c r="C1703" t="s">
        <v>335</v>
      </c>
      <c r="D1703" t="s">
        <v>133</v>
      </c>
      <c r="E1703" t="s">
        <v>162</v>
      </c>
      <c r="F1703" t="s">
        <v>342</v>
      </c>
      <c r="G1703" t="s">
        <v>234</v>
      </c>
      <c r="I1703" t="s">
        <v>231</v>
      </c>
      <c r="K1703" t="s">
        <v>236</v>
      </c>
      <c r="M1703" t="s">
        <v>47</v>
      </c>
      <c r="N1703" s="1" t="e">
        <f t="shared" si="376"/>
        <v>#VALUE!</v>
      </c>
      <c r="O1703" s="1" t="e">
        <f t="shared" si="377"/>
        <v>#VALUE!</v>
      </c>
      <c r="P1703" s="1" t="e">
        <f t="shared" si="378"/>
        <v>#VALUE!</v>
      </c>
      <c r="Q1703" s="1" t="e">
        <f t="shared" si="379"/>
        <v>#VALUE!</v>
      </c>
      <c r="R1703" s="1" t="e">
        <f t="shared" si="380"/>
        <v>#VALUE!</v>
      </c>
      <c r="S1703" s="1" t="e">
        <f t="shared" si="381"/>
        <v>#VALUE!</v>
      </c>
      <c r="T1703" s="1" t="e">
        <f t="shared" si="382"/>
        <v>#VALUE!</v>
      </c>
      <c r="U1703" s="26" t="e">
        <f t="shared" si="383"/>
        <v>#VALUE!</v>
      </c>
      <c r="V1703" s="26" t="e">
        <f t="shared" si="384"/>
        <v>#VALUE!</v>
      </c>
      <c r="W1703" s="1" t="e">
        <f t="shared" si="385"/>
        <v>#VALUE!</v>
      </c>
      <c r="X1703" s="26" t="e">
        <f t="shared" si="386"/>
        <v>#VALUE!</v>
      </c>
      <c r="Y1703" s="26" t="e">
        <f t="shared" si="387"/>
        <v>#VALUE!</v>
      </c>
      <c r="Z1703" s="1" t="e">
        <f t="shared" si="388"/>
        <v>#VALUE!</v>
      </c>
      <c r="AA1703"/>
      <c r="AB1703"/>
    </row>
    <row r="1704" spans="1:28" x14ac:dyDescent="0.55000000000000004">
      <c r="A1704" s="1">
        <f t="shared" si="375"/>
        <v>1704</v>
      </c>
      <c r="B1704" t="s">
        <v>39</v>
      </c>
      <c r="C1704" t="s">
        <v>335</v>
      </c>
      <c r="D1704" t="s">
        <v>133</v>
      </c>
      <c r="E1704" t="s">
        <v>162</v>
      </c>
      <c r="F1704" t="s">
        <v>342</v>
      </c>
      <c r="G1704" t="s">
        <v>228</v>
      </c>
      <c r="I1704" t="s">
        <v>220</v>
      </c>
      <c r="K1704" t="s">
        <v>230</v>
      </c>
      <c r="M1704" t="s">
        <v>47</v>
      </c>
      <c r="N1704" s="1" t="e">
        <f t="shared" si="376"/>
        <v>#VALUE!</v>
      </c>
      <c r="O1704" s="1" t="e">
        <f t="shared" si="377"/>
        <v>#VALUE!</v>
      </c>
      <c r="P1704" s="1" t="e">
        <f t="shared" si="378"/>
        <v>#VALUE!</v>
      </c>
      <c r="Q1704" s="1" t="e">
        <f t="shared" si="379"/>
        <v>#VALUE!</v>
      </c>
      <c r="R1704" s="1" t="e">
        <f t="shared" si="380"/>
        <v>#VALUE!</v>
      </c>
      <c r="S1704" s="1" t="e">
        <f t="shared" si="381"/>
        <v>#VALUE!</v>
      </c>
      <c r="T1704" s="1" t="e">
        <f t="shared" si="382"/>
        <v>#VALUE!</v>
      </c>
      <c r="U1704" s="26" t="e">
        <f t="shared" si="383"/>
        <v>#VALUE!</v>
      </c>
      <c r="V1704" s="26" t="e">
        <f t="shared" si="384"/>
        <v>#VALUE!</v>
      </c>
      <c r="W1704" s="1" t="e">
        <f t="shared" si="385"/>
        <v>#VALUE!</v>
      </c>
      <c r="X1704" s="26" t="e">
        <f t="shared" si="386"/>
        <v>#VALUE!</v>
      </c>
      <c r="Y1704" s="26" t="e">
        <f t="shared" si="387"/>
        <v>#VALUE!</v>
      </c>
      <c r="Z1704" s="1" t="e">
        <f t="shared" si="388"/>
        <v>#VALUE!</v>
      </c>
      <c r="AA1704"/>
      <c r="AB1704"/>
    </row>
    <row r="1705" spans="1:28" x14ac:dyDescent="0.55000000000000004">
      <c r="A1705" s="1">
        <f t="shared" si="375"/>
        <v>1705</v>
      </c>
      <c r="B1705" t="s">
        <v>39</v>
      </c>
      <c r="C1705" t="s">
        <v>335</v>
      </c>
      <c r="D1705" t="s">
        <v>133</v>
      </c>
      <c r="E1705" t="s">
        <v>162</v>
      </c>
      <c r="F1705" t="s">
        <v>342</v>
      </c>
      <c r="G1705" t="s">
        <v>232</v>
      </c>
      <c r="I1705" t="s">
        <v>226</v>
      </c>
      <c r="K1705" t="s">
        <v>238</v>
      </c>
      <c r="M1705" t="s">
        <v>47</v>
      </c>
      <c r="N1705" s="1" t="e">
        <f t="shared" si="376"/>
        <v>#VALUE!</v>
      </c>
      <c r="O1705" s="1" t="e">
        <f t="shared" si="377"/>
        <v>#VALUE!</v>
      </c>
      <c r="P1705" s="1" t="e">
        <f t="shared" si="378"/>
        <v>#VALUE!</v>
      </c>
      <c r="Q1705" s="1" t="e">
        <f t="shared" si="379"/>
        <v>#VALUE!</v>
      </c>
      <c r="R1705" s="1" t="e">
        <f t="shared" si="380"/>
        <v>#VALUE!</v>
      </c>
      <c r="S1705" s="1" t="e">
        <f t="shared" si="381"/>
        <v>#VALUE!</v>
      </c>
      <c r="T1705" s="1" t="e">
        <f t="shared" si="382"/>
        <v>#VALUE!</v>
      </c>
      <c r="U1705" s="26" t="e">
        <f t="shared" si="383"/>
        <v>#VALUE!</v>
      </c>
      <c r="V1705" s="26" t="e">
        <f t="shared" si="384"/>
        <v>#VALUE!</v>
      </c>
      <c r="W1705" s="1" t="e">
        <f t="shared" si="385"/>
        <v>#VALUE!</v>
      </c>
      <c r="X1705" s="26" t="e">
        <f t="shared" si="386"/>
        <v>#VALUE!</v>
      </c>
      <c r="Y1705" s="26" t="e">
        <f t="shared" si="387"/>
        <v>#VALUE!</v>
      </c>
      <c r="Z1705" s="1" t="e">
        <f t="shared" si="388"/>
        <v>#VALUE!</v>
      </c>
      <c r="AA1705"/>
      <c r="AB1705"/>
    </row>
    <row r="1706" spans="1:28" x14ac:dyDescent="0.55000000000000004">
      <c r="A1706" s="1">
        <f t="shared" si="375"/>
        <v>1706</v>
      </c>
      <c r="B1706" t="s">
        <v>30</v>
      </c>
      <c r="C1706" t="s">
        <v>69</v>
      </c>
      <c r="D1706" t="s">
        <v>42</v>
      </c>
      <c r="E1706" t="s">
        <v>70</v>
      </c>
      <c r="G1706" t="s">
        <v>48</v>
      </c>
      <c r="I1706" t="s">
        <v>63</v>
      </c>
      <c r="K1706" t="s">
        <v>50</v>
      </c>
      <c r="M1706" t="s">
        <v>47</v>
      </c>
      <c r="N1706" s="1" t="e">
        <f t="shared" si="376"/>
        <v>#VALUE!</v>
      </c>
      <c r="O1706" s="1" t="e">
        <f t="shared" si="377"/>
        <v>#VALUE!</v>
      </c>
      <c r="P1706" s="1" t="e">
        <f t="shared" si="378"/>
        <v>#VALUE!</v>
      </c>
      <c r="Q1706" s="1" t="e">
        <f t="shared" si="379"/>
        <v>#VALUE!</v>
      </c>
      <c r="R1706" s="1" t="e">
        <f t="shared" si="380"/>
        <v>#VALUE!</v>
      </c>
      <c r="S1706" s="1" t="e">
        <f t="shared" si="381"/>
        <v>#VALUE!</v>
      </c>
      <c r="T1706" s="1" t="e">
        <f t="shared" si="382"/>
        <v>#VALUE!</v>
      </c>
      <c r="U1706" s="26" t="e">
        <f t="shared" si="383"/>
        <v>#VALUE!</v>
      </c>
      <c r="V1706" s="26" t="e">
        <f t="shared" si="384"/>
        <v>#VALUE!</v>
      </c>
      <c r="W1706" s="1" t="e">
        <f t="shared" si="385"/>
        <v>#VALUE!</v>
      </c>
      <c r="X1706" s="26" t="e">
        <f t="shared" si="386"/>
        <v>#VALUE!</v>
      </c>
      <c r="Y1706" s="26" t="e">
        <f t="shared" si="387"/>
        <v>#VALUE!</v>
      </c>
      <c r="Z1706" s="1" t="e">
        <f t="shared" si="388"/>
        <v>#VALUE!</v>
      </c>
      <c r="AA1706"/>
      <c r="AB1706"/>
    </row>
    <row r="1707" spans="1:28" x14ac:dyDescent="0.55000000000000004">
      <c r="A1707" s="1">
        <f t="shared" si="375"/>
        <v>1707</v>
      </c>
      <c r="B1707" t="s">
        <v>30</v>
      </c>
      <c r="C1707" t="s">
        <v>69</v>
      </c>
      <c r="D1707" t="s">
        <v>42</v>
      </c>
      <c r="E1707" t="s">
        <v>70</v>
      </c>
      <c r="G1707" t="s">
        <v>52</v>
      </c>
      <c r="I1707" t="s">
        <v>60</v>
      </c>
      <c r="K1707" t="s">
        <v>71</v>
      </c>
      <c r="M1707" t="s">
        <v>47</v>
      </c>
      <c r="N1707" s="1" t="e">
        <f t="shared" si="376"/>
        <v>#VALUE!</v>
      </c>
      <c r="O1707" s="1" t="e">
        <f t="shared" si="377"/>
        <v>#VALUE!</v>
      </c>
      <c r="P1707" s="1" t="e">
        <f t="shared" si="378"/>
        <v>#VALUE!</v>
      </c>
      <c r="Q1707" s="1" t="e">
        <f t="shared" si="379"/>
        <v>#VALUE!</v>
      </c>
      <c r="R1707" s="1" t="e">
        <f t="shared" si="380"/>
        <v>#VALUE!</v>
      </c>
      <c r="S1707" s="1" t="e">
        <f t="shared" si="381"/>
        <v>#VALUE!</v>
      </c>
      <c r="T1707" s="1" t="e">
        <f t="shared" si="382"/>
        <v>#VALUE!</v>
      </c>
      <c r="U1707" s="26" t="e">
        <f t="shared" si="383"/>
        <v>#VALUE!</v>
      </c>
      <c r="V1707" s="26" t="e">
        <f t="shared" si="384"/>
        <v>#VALUE!</v>
      </c>
      <c r="W1707" s="1" t="e">
        <f t="shared" si="385"/>
        <v>#VALUE!</v>
      </c>
      <c r="X1707" s="26" t="e">
        <f t="shared" si="386"/>
        <v>#VALUE!</v>
      </c>
      <c r="Y1707" s="26" t="e">
        <f t="shared" si="387"/>
        <v>#VALUE!</v>
      </c>
      <c r="Z1707" s="1" t="e">
        <f t="shared" si="388"/>
        <v>#VALUE!</v>
      </c>
      <c r="AA1707"/>
      <c r="AB1707"/>
    </row>
    <row r="1708" spans="1:28" x14ac:dyDescent="0.55000000000000004">
      <c r="A1708" s="1">
        <f t="shared" si="375"/>
        <v>1708</v>
      </c>
      <c r="B1708" t="s">
        <v>30</v>
      </c>
      <c r="C1708" t="s">
        <v>69</v>
      </c>
      <c r="D1708" t="s">
        <v>42</v>
      </c>
      <c r="E1708" t="s">
        <v>70</v>
      </c>
      <c r="G1708" t="s">
        <v>49</v>
      </c>
      <c r="I1708" t="s">
        <v>66</v>
      </c>
      <c r="K1708" t="s">
        <v>72</v>
      </c>
      <c r="M1708" t="s">
        <v>47</v>
      </c>
      <c r="N1708" s="1" t="e">
        <f t="shared" si="376"/>
        <v>#VALUE!</v>
      </c>
      <c r="O1708" s="1" t="e">
        <f t="shared" si="377"/>
        <v>#VALUE!</v>
      </c>
      <c r="P1708" s="1" t="e">
        <f t="shared" si="378"/>
        <v>#VALUE!</v>
      </c>
      <c r="Q1708" s="1" t="e">
        <f t="shared" si="379"/>
        <v>#VALUE!</v>
      </c>
      <c r="R1708" s="1" t="e">
        <f t="shared" si="380"/>
        <v>#VALUE!</v>
      </c>
      <c r="S1708" s="1" t="e">
        <f t="shared" si="381"/>
        <v>#VALUE!</v>
      </c>
      <c r="T1708" s="1" t="e">
        <f t="shared" si="382"/>
        <v>#VALUE!</v>
      </c>
      <c r="U1708" s="26" t="e">
        <f t="shared" si="383"/>
        <v>#VALUE!</v>
      </c>
      <c r="V1708" s="26" t="e">
        <f t="shared" si="384"/>
        <v>#VALUE!</v>
      </c>
      <c r="W1708" s="1" t="e">
        <f t="shared" si="385"/>
        <v>#VALUE!</v>
      </c>
      <c r="X1708" s="26" t="e">
        <f t="shared" si="386"/>
        <v>#VALUE!</v>
      </c>
      <c r="Y1708" s="26" t="e">
        <f t="shared" si="387"/>
        <v>#VALUE!</v>
      </c>
      <c r="Z1708" s="1" t="e">
        <f t="shared" si="388"/>
        <v>#VALUE!</v>
      </c>
      <c r="AA1708"/>
      <c r="AB1708"/>
    </row>
    <row r="1709" spans="1:28" x14ac:dyDescent="0.55000000000000004">
      <c r="A1709" s="1">
        <f t="shared" si="375"/>
        <v>1709</v>
      </c>
      <c r="B1709" t="s">
        <v>30</v>
      </c>
      <c r="C1709" t="s">
        <v>69</v>
      </c>
      <c r="D1709" t="s">
        <v>42</v>
      </c>
      <c r="E1709" t="s">
        <v>70</v>
      </c>
      <c r="G1709" t="s">
        <v>54</v>
      </c>
      <c r="I1709" t="s">
        <v>57</v>
      </c>
      <c r="K1709" t="s">
        <v>56</v>
      </c>
      <c r="M1709" t="s">
        <v>47</v>
      </c>
      <c r="N1709" s="1" t="e">
        <f t="shared" si="376"/>
        <v>#VALUE!</v>
      </c>
      <c r="O1709" s="1" t="e">
        <f t="shared" si="377"/>
        <v>#VALUE!</v>
      </c>
      <c r="P1709" s="1" t="e">
        <f t="shared" si="378"/>
        <v>#VALUE!</v>
      </c>
      <c r="Q1709" s="1" t="e">
        <f t="shared" si="379"/>
        <v>#VALUE!</v>
      </c>
      <c r="R1709" s="1" t="e">
        <f t="shared" si="380"/>
        <v>#VALUE!</v>
      </c>
      <c r="S1709" s="1" t="e">
        <f t="shared" si="381"/>
        <v>#VALUE!</v>
      </c>
      <c r="T1709" s="1" t="e">
        <f t="shared" si="382"/>
        <v>#VALUE!</v>
      </c>
      <c r="U1709" s="26" t="e">
        <f t="shared" si="383"/>
        <v>#VALUE!</v>
      </c>
      <c r="V1709" s="26" t="e">
        <f t="shared" si="384"/>
        <v>#VALUE!</v>
      </c>
      <c r="W1709" s="1" t="e">
        <f t="shared" si="385"/>
        <v>#VALUE!</v>
      </c>
      <c r="X1709" s="26" t="e">
        <f t="shared" si="386"/>
        <v>#VALUE!</v>
      </c>
      <c r="Y1709" s="26" t="e">
        <f t="shared" si="387"/>
        <v>#VALUE!</v>
      </c>
      <c r="Z1709" s="1" t="e">
        <f t="shared" si="388"/>
        <v>#VALUE!</v>
      </c>
      <c r="AA1709"/>
      <c r="AB1709"/>
    </row>
    <row r="1710" spans="1:28" x14ac:dyDescent="0.55000000000000004">
      <c r="A1710" s="1">
        <f t="shared" si="375"/>
        <v>1710</v>
      </c>
      <c r="B1710" t="s">
        <v>30</v>
      </c>
      <c r="C1710" t="s">
        <v>69</v>
      </c>
      <c r="D1710" t="s">
        <v>42</v>
      </c>
      <c r="E1710" t="s">
        <v>70</v>
      </c>
      <c r="G1710" t="s">
        <v>67</v>
      </c>
      <c r="I1710" t="s">
        <v>44</v>
      </c>
      <c r="K1710" t="s">
        <v>73</v>
      </c>
      <c r="M1710" t="s">
        <v>47</v>
      </c>
      <c r="N1710" s="1" t="e">
        <f t="shared" si="376"/>
        <v>#VALUE!</v>
      </c>
      <c r="O1710" s="1" t="e">
        <f t="shared" si="377"/>
        <v>#VALUE!</v>
      </c>
      <c r="P1710" s="1" t="e">
        <f t="shared" si="378"/>
        <v>#VALUE!</v>
      </c>
      <c r="Q1710" s="1" t="e">
        <f t="shared" si="379"/>
        <v>#VALUE!</v>
      </c>
      <c r="R1710" s="1" t="e">
        <f t="shared" si="380"/>
        <v>#VALUE!</v>
      </c>
      <c r="S1710" s="1" t="e">
        <f t="shared" si="381"/>
        <v>#VALUE!</v>
      </c>
      <c r="T1710" s="1" t="e">
        <f t="shared" si="382"/>
        <v>#VALUE!</v>
      </c>
      <c r="U1710" s="26" t="e">
        <f t="shared" si="383"/>
        <v>#VALUE!</v>
      </c>
      <c r="V1710" s="26" t="e">
        <f t="shared" si="384"/>
        <v>#VALUE!</v>
      </c>
      <c r="W1710" s="1" t="e">
        <f t="shared" si="385"/>
        <v>#VALUE!</v>
      </c>
      <c r="X1710" s="26" t="e">
        <f t="shared" si="386"/>
        <v>#VALUE!</v>
      </c>
      <c r="Y1710" s="26" t="e">
        <f t="shared" si="387"/>
        <v>#VALUE!</v>
      </c>
      <c r="Z1710" s="1" t="e">
        <f t="shared" si="388"/>
        <v>#VALUE!</v>
      </c>
      <c r="AA1710"/>
      <c r="AB1710"/>
    </row>
    <row r="1711" spans="1:28" x14ac:dyDescent="0.55000000000000004">
      <c r="A1711" s="1">
        <f t="shared" si="375"/>
        <v>1711</v>
      </c>
      <c r="B1711" t="s">
        <v>30</v>
      </c>
      <c r="C1711" t="s">
        <v>69</v>
      </c>
      <c r="D1711" t="s">
        <v>42</v>
      </c>
      <c r="E1711" t="s">
        <v>70</v>
      </c>
      <c r="G1711" t="s">
        <v>45</v>
      </c>
      <c r="I1711" t="s">
        <v>51</v>
      </c>
      <c r="K1711" t="s">
        <v>74</v>
      </c>
      <c r="M1711" t="s">
        <v>47</v>
      </c>
      <c r="N1711" s="1" t="e">
        <f t="shared" si="376"/>
        <v>#VALUE!</v>
      </c>
      <c r="O1711" s="1" t="e">
        <f t="shared" si="377"/>
        <v>#VALUE!</v>
      </c>
      <c r="P1711" s="1" t="e">
        <f t="shared" si="378"/>
        <v>#VALUE!</v>
      </c>
      <c r="Q1711" s="1" t="e">
        <f t="shared" si="379"/>
        <v>#VALUE!</v>
      </c>
      <c r="R1711" s="1" t="e">
        <f t="shared" si="380"/>
        <v>#VALUE!</v>
      </c>
      <c r="S1711" s="1" t="e">
        <f t="shared" si="381"/>
        <v>#VALUE!</v>
      </c>
      <c r="T1711" s="1" t="e">
        <f t="shared" si="382"/>
        <v>#VALUE!</v>
      </c>
      <c r="U1711" s="26" t="e">
        <f t="shared" si="383"/>
        <v>#VALUE!</v>
      </c>
      <c r="V1711" s="26" t="e">
        <f t="shared" si="384"/>
        <v>#VALUE!</v>
      </c>
      <c r="W1711" s="1" t="e">
        <f t="shared" si="385"/>
        <v>#VALUE!</v>
      </c>
      <c r="X1711" s="26" t="e">
        <f t="shared" si="386"/>
        <v>#VALUE!</v>
      </c>
      <c r="Y1711" s="26" t="e">
        <f t="shared" si="387"/>
        <v>#VALUE!</v>
      </c>
      <c r="Z1711" s="1" t="e">
        <f t="shared" si="388"/>
        <v>#VALUE!</v>
      </c>
      <c r="AA1711"/>
      <c r="AB1711"/>
    </row>
    <row r="1712" spans="1:28" x14ac:dyDescent="0.55000000000000004">
      <c r="A1712" s="1">
        <f t="shared" si="375"/>
        <v>1712</v>
      </c>
      <c r="B1712" t="s">
        <v>30</v>
      </c>
      <c r="C1712" t="s">
        <v>69</v>
      </c>
      <c r="D1712" t="s">
        <v>42</v>
      </c>
      <c r="E1712" t="s">
        <v>70</v>
      </c>
      <c r="G1712" t="s">
        <v>61</v>
      </c>
      <c r="I1712" t="s">
        <v>64</v>
      </c>
      <c r="K1712" t="s">
        <v>62</v>
      </c>
      <c r="M1712" t="s">
        <v>47</v>
      </c>
      <c r="N1712" s="1" t="e">
        <f t="shared" si="376"/>
        <v>#VALUE!</v>
      </c>
      <c r="O1712" s="1" t="e">
        <f t="shared" si="377"/>
        <v>#VALUE!</v>
      </c>
      <c r="P1712" s="1" t="e">
        <f t="shared" si="378"/>
        <v>#VALUE!</v>
      </c>
      <c r="Q1712" s="1" t="e">
        <f t="shared" si="379"/>
        <v>#VALUE!</v>
      </c>
      <c r="R1712" s="1" t="e">
        <f t="shared" si="380"/>
        <v>#VALUE!</v>
      </c>
      <c r="S1712" s="1" t="e">
        <f t="shared" si="381"/>
        <v>#VALUE!</v>
      </c>
      <c r="T1712" s="1" t="e">
        <f t="shared" si="382"/>
        <v>#VALUE!</v>
      </c>
      <c r="U1712" s="26" t="e">
        <f t="shared" si="383"/>
        <v>#VALUE!</v>
      </c>
      <c r="V1712" s="26" t="e">
        <f t="shared" si="384"/>
        <v>#VALUE!</v>
      </c>
      <c r="W1712" s="1" t="e">
        <f t="shared" si="385"/>
        <v>#VALUE!</v>
      </c>
      <c r="X1712" s="26" t="e">
        <f t="shared" si="386"/>
        <v>#VALUE!</v>
      </c>
      <c r="Y1712" s="26" t="e">
        <f t="shared" si="387"/>
        <v>#VALUE!</v>
      </c>
      <c r="Z1712" s="1" t="e">
        <f t="shared" si="388"/>
        <v>#VALUE!</v>
      </c>
      <c r="AA1712"/>
      <c r="AB1712"/>
    </row>
    <row r="1713" spans="1:28" x14ac:dyDescent="0.55000000000000004">
      <c r="A1713" s="1">
        <f t="shared" si="375"/>
        <v>1713</v>
      </c>
      <c r="B1713" t="s">
        <v>30</v>
      </c>
      <c r="C1713" t="s">
        <v>69</v>
      </c>
      <c r="D1713" t="s">
        <v>42</v>
      </c>
      <c r="E1713" t="s">
        <v>70</v>
      </c>
      <c r="G1713" t="s">
        <v>55</v>
      </c>
      <c r="I1713" t="s">
        <v>58</v>
      </c>
      <c r="K1713" t="s">
        <v>75</v>
      </c>
      <c r="M1713" t="s">
        <v>47</v>
      </c>
      <c r="N1713" s="1" t="e">
        <f t="shared" si="376"/>
        <v>#VALUE!</v>
      </c>
      <c r="O1713" s="1" t="e">
        <f t="shared" si="377"/>
        <v>#VALUE!</v>
      </c>
      <c r="P1713" s="1" t="e">
        <f t="shared" si="378"/>
        <v>#VALUE!</v>
      </c>
      <c r="Q1713" s="1" t="e">
        <f t="shared" si="379"/>
        <v>#VALUE!</v>
      </c>
      <c r="R1713" s="1" t="e">
        <f t="shared" si="380"/>
        <v>#VALUE!</v>
      </c>
      <c r="S1713" s="1" t="e">
        <f t="shared" si="381"/>
        <v>#VALUE!</v>
      </c>
      <c r="T1713" s="1" t="e">
        <f t="shared" si="382"/>
        <v>#VALUE!</v>
      </c>
      <c r="U1713" s="26" t="e">
        <f t="shared" si="383"/>
        <v>#VALUE!</v>
      </c>
      <c r="V1713" s="26" t="e">
        <f t="shared" si="384"/>
        <v>#VALUE!</v>
      </c>
      <c r="W1713" s="1" t="e">
        <f t="shared" si="385"/>
        <v>#VALUE!</v>
      </c>
      <c r="X1713" s="26" t="e">
        <f t="shared" si="386"/>
        <v>#VALUE!</v>
      </c>
      <c r="Y1713" s="26" t="e">
        <f t="shared" si="387"/>
        <v>#VALUE!</v>
      </c>
      <c r="Z1713" s="1" t="e">
        <f t="shared" si="388"/>
        <v>#VALUE!</v>
      </c>
      <c r="AA1713"/>
      <c r="AB1713"/>
    </row>
    <row r="1714" spans="1:28" x14ac:dyDescent="0.55000000000000004">
      <c r="A1714" s="1">
        <f t="shared" si="375"/>
        <v>1714</v>
      </c>
      <c r="B1714" t="s">
        <v>34</v>
      </c>
      <c r="C1714" t="s">
        <v>115</v>
      </c>
      <c r="D1714" t="s">
        <v>42</v>
      </c>
      <c r="E1714" t="s">
        <v>70</v>
      </c>
      <c r="G1714" t="s">
        <v>87</v>
      </c>
      <c r="I1714" t="s">
        <v>96</v>
      </c>
      <c r="K1714" t="s">
        <v>109</v>
      </c>
      <c r="M1714" t="s">
        <v>47</v>
      </c>
      <c r="N1714" s="1" t="e">
        <f t="shared" si="376"/>
        <v>#VALUE!</v>
      </c>
      <c r="O1714" s="1" t="e">
        <f t="shared" si="377"/>
        <v>#VALUE!</v>
      </c>
      <c r="P1714" s="1" t="e">
        <f t="shared" si="378"/>
        <v>#VALUE!</v>
      </c>
      <c r="Q1714" s="1" t="e">
        <f t="shared" si="379"/>
        <v>#VALUE!</v>
      </c>
      <c r="R1714" s="1" t="e">
        <f t="shared" si="380"/>
        <v>#VALUE!</v>
      </c>
      <c r="S1714" s="1" t="e">
        <f t="shared" si="381"/>
        <v>#VALUE!</v>
      </c>
      <c r="T1714" s="1" t="e">
        <f t="shared" si="382"/>
        <v>#VALUE!</v>
      </c>
      <c r="U1714" s="26" t="e">
        <f t="shared" si="383"/>
        <v>#VALUE!</v>
      </c>
      <c r="V1714" s="26" t="e">
        <f t="shared" si="384"/>
        <v>#VALUE!</v>
      </c>
      <c r="W1714" s="1" t="e">
        <f t="shared" si="385"/>
        <v>#VALUE!</v>
      </c>
      <c r="X1714" s="26" t="e">
        <f t="shared" si="386"/>
        <v>#VALUE!</v>
      </c>
      <c r="Y1714" s="26" t="e">
        <f t="shared" si="387"/>
        <v>#VALUE!</v>
      </c>
      <c r="Z1714" s="1" t="e">
        <f t="shared" si="388"/>
        <v>#VALUE!</v>
      </c>
      <c r="AA1714"/>
      <c r="AB1714"/>
    </row>
    <row r="1715" spans="1:28" x14ac:dyDescent="0.55000000000000004">
      <c r="A1715" s="1">
        <f t="shared" si="375"/>
        <v>1715</v>
      </c>
      <c r="B1715" t="s">
        <v>34</v>
      </c>
      <c r="C1715" t="s">
        <v>115</v>
      </c>
      <c r="D1715" t="s">
        <v>42</v>
      </c>
      <c r="E1715" t="s">
        <v>70</v>
      </c>
      <c r="G1715" t="s">
        <v>89</v>
      </c>
      <c r="I1715" t="s">
        <v>95</v>
      </c>
      <c r="K1715" t="s">
        <v>91</v>
      </c>
      <c r="M1715" t="s">
        <v>47</v>
      </c>
      <c r="N1715" s="1" t="e">
        <f t="shared" si="376"/>
        <v>#VALUE!</v>
      </c>
      <c r="O1715" s="1" t="e">
        <f t="shared" si="377"/>
        <v>#VALUE!</v>
      </c>
      <c r="P1715" s="1" t="e">
        <f t="shared" si="378"/>
        <v>#VALUE!</v>
      </c>
      <c r="Q1715" s="1" t="e">
        <f t="shared" si="379"/>
        <v>#VALUE!</v>
      </c>
      <c r="R1715" s="1" t="e">
        <f t="shared" si="380"/>
        <v>#VALUE!</v>
      </c>
      <c r="S1715" s="1" t="e">
        <f t="shared" si="381"/>
        <v>#VALUE!</v>
      </c>
      <c r="T1715" s="1" t="e">
        <f t="shared" si="382"/>
        <v>#VALUE!</v>
      </c>
      <c r="U1715" s="26" t="e">
        <f t="shared" si="383"/>
        <v>#VALUE!</v>
      </c>
      <c r="V1715" s="26" t="e">
        <f t="shared" si="384"/>
        <v>#VALUE!</v>
      </c>
      <c r="W1715" s="1" t="e">
        <f t="shared" si="385"/>
        <v>#VALUE!</v>
      </c>
      <c r="X1715" s="26" t="e">
        <f t="shared" si="386"/>
        <v>#VALUE!</v>
      </c>
      <c r="Y1715" s="26" t="e">
        <f t="shared" si="387"/>
        <v>#VALUE!</v>
      </c>
      <c r="Z1715" s="1" t="e">
        <f t="shared" si="388"/>
        <v>#VALUE!</v>
      </c>
      <c r="AA1715"/>
      <c r="AB1715"/>
    </row>
    <row r="1716" spans="1:28" x14ac:dyDescent="0.55000000000000004">
      <c r="A1716" s="1">
        <f t="shared" si="375"/>
        <v>1716</v>
      </c>
      <c r="B1716" t="s">
        <v>34</v>
      </c>
      <c r="C1716" t="s">
        <v>115</v>
      </c>
      <c r="D1716" t="s">
        <v>42</v>
      </c>
      <c r="E1716" t="s">
        <v>70</v>
      </c>
      <c r="G1716" t="s">
        <v>86</v>
      </c>
      <c r="I1716" t="s">
        <v>102</v>
      </c>
      <c r="K1716" t="s">
        <v>88</v>
      </c>
      <c r="M1716" t="s">
        <v>47</v>
      </c>
      <c r="N1716" s="1" t="e">
        <f t="shared" si="376"/>
        <v>#VALUE!</v>
      </c>
      <c r="O1716" s="1" t="e">
        <f t="shared" si="377"/>
        <v>#VALUE!</v>
      </c>
      <c r="P1716" s="1" t="e">
        <f t="shared" si="378"/>
        <v>#VALUE!</v>
      </c>
      <c r="Q1716" s="1" t="e">
        <f t="shared" si="379"/>
        <v>#VALUE!</v>
      </c>
      <c r="R1716" s="1" t="e">
        <f t="shared" si="380"/>
        <v>#VALUE!</v>
      </c>
      <c r="S1716" s="1" t="e">
        <f t="shared" si="381"/>
        <v>#VALUE!</v>
      </c>
      <c r="T1716" s="1" t="e">
        <f t="shared" si="382"/>
        <v>#VALUE!</v>
      </c>
      <c r="U1716" s="26" t="e">
        <f t="shared" si="383"/>
        <v>#VALUE!</v>
      </c>
      <c r="V1716" s="26" t="e">
        <f t="shared" si="384"/>
        <v>#VALUE!</v>
      </c>
      <c r="W1716" s="1" t="e">
        <f t="shared" si="385"/>
        <v>#VALUE!</v>
      </c>
      <c r="X1716" s="26" t="e">
        <f t="shared" si="386"/>
        <v>#VALUE!</v>
      </c>
      <c r="Y1716" s="26" t="e">
        <f t="shared" si="387"/>
        <v>#VALUE!</v>
      </c>
      <c r="Z1716" s="1" t="e">
        <f t="shared" si="388"/>
        <v>#VALUE!</v>
      </c>
      <c r="AA1716"/>
      <c r="AB1716"/>
    </row>
    <row r="1717" spans="1:28" x14ac:dyDescent="0.55000000000000004">
      <c r="A1717" s="1">
        <f t="shared" si="375"/>
        <v>1717</v>
      </c>
      <c r="B1717" t="s">
        <v>34</v>
      </c>
      <c r="C1717" t="s">
        <v>115</v>
      </c>
      <c r="D1717" t="s">
        <v>42</v>
      </c>
      <c r="E1717" t="s">
        <v>70</v>
      </c>
      <c r="G1717" t="s">
        <v>101</v>
      </c>
      <c r="I1717" t="s">
        <v>90</v>
      </c>
      <c r="K1717" t="s">
        <v>103</v>
      </c>
      <c r="M1717" t="s">
        <v>47</v>
      </c>
      <c r="N1717" s="1" t="e">
        <f t="shared" si="376"/>
        <v>#VALUE!</v>
      </c>
      <c r="O1717" s="1" t="e">
        <f t="shared" si="377"/>
        <v>#VALUE!</v>
      </c>
      <c r="P1717" s="1" t="e">
        <f t="shared" si="378"/>
        <v>#VALUE!</v>
      </c>
      <c r="Q1717" s="1" t="e">
        <f t="shared" si="379"/>
        <v>#VALUE!</v>
      </c>
      <c r="R1717" s="1" t="e">
        <f t="shared" si="380"/>
        <v>#VALUE!</v>
      </c>
      <c r="S1717" s="1" t="e">
        <f t="shared" si="381"/>
        <v>#VALUE!</v>
      </c>
      <c r="T1717" s="1" t="e">
        <f t="shared" si="382"/>
        <v>#VALUE!</v>
      </c>
      <c r="U1717" s="26" t="e">
        <f t="shared" si="383"/>
        <v>#VALUE!</v>
      </c>
      <c r="V1717" s="26" t="e">
        <f t="shared" si="384"/>
        <v>#VALUE!</v>
      </c>
      <c r="W1717" s="1" t="e">
        <f t="shared" si="385"/>
        <v>#VALUE!</v>
      </c>
      <c r="X1717" s="26" t="e">
        <f t="shared" si="386"/>
        <v>#VALUE!</v>
      </c>
      <c r="Y1717" s="26" t="e">
        <f t="shared" si="387"/>
        <v>#VALUE!</v>
      </c>
      <c r="Z1717" s="1" t="e">
        <f t="shared" si="388"/>
        <v>#VALUE!</v>
      </c>
      <c r="AA1717"/>
      <c r="AB1717"/>
    </row>
    <row r="1718" spans="1:28" x14ac:dyDescent="0.55000000000000004">
      <c r="A1718" s="1">
        <f t="shared" si="375"/>
        <v>1718</v>
      </c>
      <c r="B1718" t="s">
        <v>34</v>
      </c>
      <c r="C1718" t="s">
        <v>115</v>
      </c>
      <c r="D1718" t="s">
        <v>42</v>
      </c>
      <c r="E1718" t="s">
        <v>70</v>
      </c>
      <c r="G1718" t="s">
        <v>98</v>
      </c>
      <c r="I1718" t="s">
        <v>92</v>
      </c>
      <c r="K1718" t="s">
        <v>100</v>
      </c>
      <c r="M1718" t="s">
        <v>47</v>
      </c>
      <c r="N1718" s="1" t="e">
        <f t="shared" si="376"/>
        <v>#VALUE!</v>
      </c>
      <c r="O1718" s="1" t="e">
        <f t="shared" si="377"/>
        <v>#VALUE!</v>
      </c>
      <c r="P1718" s="1" t="e">
        <f t="shared" si="378"/>
        <v>#VALUE!</v>
      </c>
      <c r="Q1718" s="1" t="e">
        <f t="shared" si="379"/>
        <v>#VALUE!</v>
      </c>
      <c r="R1718" s="1" t="e">
        <f t="shared" si="380"/>
        <v>#VALUE!</v>
      </c>
      <c r="S1718" s="1" t="e">
        <f t="shared" si="381"/>
        <v>#VALUE!</v>
      </c>
      <c r="T1718" s="1" t="e">
        <f t="shared" si="382"/>
        <v>#VALUE!</v>
      </c>
      <c r="U1718" s="26" t="e">
        <f t="shared" si="383"/>
        <v>#VALUE!</v>
      </c>
      <c r="V1718" s="26" t="e">
        <f t="shared" si="384"/>
        <v>#VALUE!</v>
      </c>
      <c r="W1718" s="1" t="e">
        <f t="shared" si="385"/>
        <v>#VALUE!</v>
      </c>
      <c r="X1718" s="26" t="e">
        <f t="shared" si="386"/>
        <v>#VALUE!</v>
      </c>
      <c r="Y1718" s="26" t="e">
        <f t="shared" si="387"/>
        <v>#VALUE!</v>
      </c>
      <c r="Z1718" s="1" t="e">
        <f t="shared" si="388"/>
        <v>#VALUE!</v>
      </c>
      <c r="AA1718"/>
      <c r="AB1718"/>
    </row>
    <row r="1719" spans="1:28" x14ac:dyDescent="0.55000000000000004">
      <c r="A1719" s="1">
        <f t="shared" si="375"/>
        <v>1719</v>
      </c>
      <c r="B1719" t="s">
        <v>34</v>
      </c>
      <c r="C1719" t="s">
        <v>115</v>
      </c>
      <c r="D1719" t="s">
        <v>42</v>
      </c>
      <c r="E1719" t="s">
        <v>70</v>
      </c>
      <c r="G1719" t="s">
        <v>93</v>
      </c>
      <c r="I1719" t="s">
        <v>99</v>
      </c>
      <c r="K1719" t="s">
        <v>113</v>
      </c>
      <c r="M1719" t="s">
        <v>47</v>
      </c>
      <c r="N1719" s="1" t="e">
        <f t="shared" si="376"/>
        <v>#VALUE!</v>
      </c>
      <c r="O1719" s="1" t="e">
        <f t="shared" si="377"/>
        <v>#VALUE!</v>
      </c>
      <c r="P1719" s="1" t="e">
        <f t="shared" si="378"/>
        <v>#VALUE!</v>
      </c>
      <c r="Q1719" s="1" t="e">
        <f t="shared" si="379"/>
        <v>#VALUE!</v>
      </c>
      <c r="R1719" s="1" t="e">
        <f t="shared" si="380"/>
        <v>#VALUE!</v>
      </c>
      <c r="S1719" s="1" t="e">
        <f t="shared" si="381"/>
        <v>#VALUE!</v>
      </c>
      <c r="T1719" s="1" t="e">
        <f t="shared" si="382"/>
        <v>#VALUE!</v>
      </c>
      <c r="U1719" s="26" t="e">
        <f t="shared" si="383"/>
        <v>#VALUE!</v>
      </c>
      <c r="V1719" s="26" t="e">
        <f t="shared" si="384"/>
        <v>#VALUE!</v>
      </c>
      <c r="W1719" s="1" t="e">
        <f t="shared" si="385"/>
        <v>#VALUE!</v>
      </c>
      <c r="X1719" s="26" t="e">
        <f t="shared" si="386"/>
        <v>#VALUE!</v>
      </c>
      <c r="Y1719" s="26" t="e">
        <f t="shared" si="387"/>
        <v>#VALUE!</v>
      </c>
      <c r="Z1719" s="1" t="e">
        <f t="shared" si="388"/>
        <v>#VALUE!</v>
      </c>
      <c r="AA1719"/>
      <c r="AB1719"/>
    </row>
    <row r="1720" spans="1:28" x14ac:dyDescent="0.55000000000000004">
      <c r="A1720" s="1">
        <f t="shared" si="375"/>
        <v>1720</v>
      </c>
      <c r="B1720" t="s">
        <v>35</v>
      </c>
      <c r="C1720" t="s">
        <v>115</v>
      </c>
      <c r="D1720" t="s">
        <v>42</v>
      </c>
      <c r="E1720" t="s">
        <v>70</v>
      </c>
      <c r="F1720" t="s">
        <v>357</v>
      </c>
      <c r="G1720" t="s">
        <v>204</v>
      </c>
      <c r="I1720" t="s">
        <v>214</v>
      </c>
      <c r="K1720" t="s">
        <v>206</v>
      </c>
      <c r="M1720" t="s">
        <v>47</v>
      </c>
      <c r="N1720" s="1" t="e">
        <f t="shared" si="376"/>
        <v>#VALUE!</v>
      </c>
      <c r="O1720" s="1" t="e">
        <f t="shared" si="377"/>
        <v>#VALUE!</v>
      </c>
      <c r="P1720" s="1" t="e">
        <f t="shared" si="378"/>
        <v>#VALUE!</v>
      </c>
      <c r="Q1720" s="1" t="e">
        <f t="shared" si="379"/>
        <v>#VALUE!</v>
      </c>
      <c r="R1720" s="1" t="e">
        <f t="shared" si="380"/>
        <v>#VALUE!</v>
      </c>
      <c r="S1720" s="1" t="e">
        <f t="shared" si="381"/>
        <v>#VALUE!</v>
      </c>
      <c r="T1720" s="1" t="e">
        <f t="shared" si="382"/>
        <v>#VALUE!</v>
      </c>
      <c r="U1720" s="26" t="e">
        <f t="shared" si="383"/>
        <v>#VALUE!</v>
      </c>
      <c r="V1720" s="26" t="e">
        <f t="shared" si="384"/>
        <v>#VALUE!</v>
      </c>
      <c r="W1720" s="1" t="e">
        <f t="shared" si="385"/>
        <v>#VALUE!</v>
      </c>
      <c r="X1720" s="26" t="e">
        <f t="shared" si="386"/>
        <v>#VALUE!</v>
      </c>
      <c r="Y1720" s="26" t="e">
        <f t="shared" si="387"/>
        <v>#VALUE!</v>
      </c>
      <c r="Z1720" s="1" t="e">
        <f t="shared" si="388"/>
        <v>#VALUE!</v>
      </c>
      <c r="AA1720"/>
      <c r="AB1720"/>
    </row>
    <row r="1721" spans="1:28" x14ac:dyDescent="0.55000000000000004">
      <c r="A1721" s="1">
        <f t="shared" si="375"/>
        <v>1721</v>
      </c>
      <c r="B1721" t="s">
        <v>35</v>
      </c>
      <c r="C1721" t="s">
        <v>115</v>
      </c>
      <c r="D1721" t="s">
        <v>42</v>
      </c>
      <c r="E1721" t="s">
        <v>70</v>
      </c>
      <c r="F1721" t="s">
        <v>357</v>
      </c>
      <c r="G1721" t="s">
        <v>307</v>
      </c>
      <c r="I1721" t="s">
        <v>303</v>
      </c>
      <c r="K1721" t="s">
        <v>379</v>
      </c>
      <c r="M1721" t="s">
        <v>47</v>
      </c>
      <c r="N1721" s="1" t="e">
        <f t="shared" si="376"/>
        <v>#VALUE!</v>
      </c>
      <c r="O1721" s="1" t="e">
        <f t="shared" si="377"/>
        <v>#VALUE!</v>
      </c>
      <c r="P1721" s="1" t="e">
        <f t="shared" si="378"/>
        <v>#VALUE!</v>
      </c>
      <c r="Q1721" s="1" t="e">
        <f t="shared" si="379"/>
        <v>#VALUE!</v>
      </c>
      <c r="R1721" s="1" t="e">
        <f t="shared" si="380"/>
        <v>#VALUE!</v>
      </c>
      <c r="S1721" s="1" t="e">
        <f t="shared" si="381"/>
        <v>#VALUE!</v>
      </c>
      <c r="T1721" s="1" t="e">
        <f t="shared" si="382"/>
        <v>#VALUE!</v>
      </c>
      <c r="U1721" s="26" t="e">
        <f t="shared" si="383"/>
        <v>#VALUE!</v>
      </c>
      <c r="V1721" s="26" t="e">
        <f t="shared" si="384"/>
        <v>#VALUE!</v>
      </c>
      <c r="W1721" s="1" t="e">
        <f t="shared" si="385"/>
        <v>#VALUE!</v>
      </c>
      <c r="X1721" s="26" t="e">
        <f t="shared" si="386"/>
        <v>#VALUE!</v>
      </c>
      <c r="Y1721" s="26" t="e">
        <f t="shared" si="387"/>
        <v>#VALUE!</v>
      </c>
      <c r="Z1721" s="1" t="e">
        <f t="shared" si="388"/>
        <v>#VALUE!</v>
      </c>
      <c r="AA1721"/>
      <c r="AB1721"/>
    </row>
    <row r="1722" spans="1:28" x14ac:dyDescent="0.55000000000000004">
      <c r="A1722" s="1">
        <f t="shared" si="375"/>
        <v>1722</v>
      </c>
      <c r="B1722" t="s">
        <v>35</v>
      </c>
      <c r="C1722" t="s">
        <v>115</v>
      </c>
      <c r="D1722" t="s">
        <v>42</v>
      </c>
      <c r="E1722" t="s">
        <v>70</v>
      </c>
      <c r="F1722" t="s">
        <v>357</v>
      </c>
      <c r="G1722" t="s">
        <v>383</v>
      </c>
      <c r="I1722" t="s">
        <v>211</v>
      </c>
      <c r="K1722" t="s">
        <v>387</v>
      </c>
      <c r="M1722" t="s">
        <v>47</v>
      </c>
      <c r="N1722" s="1" t="e">
        <f t="shared" si="376"/>
        <v>#VALUE!</v>
      </c>
      <c r="O1722" s="1" t="e">
        <f t="shared" si="377"/>
        <v>#VALUE!</v>
      </c>
      <c r="P1722" s="1" t="e">
        <f t="shared" si="378"/>
        <v>#VALUE!</v>
      </c>
      <c r="Q1722" s="1" t="e">
        <f t="shared" si="379"/>
        <v>#VALUE!</v>
      </c>
      <c r="R1722" s="1" t="e">
        <f t="shared" si="380"/>
        <v>#VALUE!</v>
      </c>
      <c r="S1722" s="1" t="e">
        <f t="shared" si="381"/>
        <v>#VALUE!</v>
      </c>
      <c r="T1722" s="1" t="e">
        <f t="shared" si="382"/>
        <v>#VALUE!</v>
      </c>
      <c r="U1722" s="26" t="e">
        <f t="shared" si="383"/>
        <v>#VALUE!</v>
      </c>
      <c r="V1722" s="26" t="e">
        <f t="shared" si="384"/>
        <v>#VALUE!</v>
      </c>
      <c r="W1722" s="1" t="e">
        <f t="shared" si="385"/>
        <v>#VALUE!</v>
      </c>
      <c r="X1722" s="26" t="e">
        <f t="shared" si="386"/>
        <v>#VALUE!</v>
      </c>
      <c r="Y1722" s="26" t="e">
        <f t="shared" si="387"/>
        <v>#VALUE!</v>
      </c>
      <c r="Z1722" s="1" t="e">
        <f t="shared" si="388"/>
        <v>#VALUE!</v>
      </c>
      <c r="AA1722"/>
      <c r="AB1722"/>
    </row>
    <row r="1723" spans="1:28" x14ac:dyDescent="0.55000000000000004">
      <c r="A1723" s="1">
        <f t="shared" si="375"/>
        <v>1723</v>
      </c>
      <c r="B1723" t="s">
        <v>35</v>
      </c>
      <c r="C1723" t="s">
        <v>115</v>
      </c>
      <c r="D1723" t="s">
        <v>42</v>
      </c>
      <c r="E1723" t="s">
        <v>70</v>
      </c>
      <c r="F1723" t="s">
        <v>357</v>
      </c>
      <c r="G1723" t="s">
        <v>208</v>
      </c>
      <c r="I1723" t="s">
        <v>386</v>
      </c>
      <c r="K1723" t="s">
        <v>381</v>
      </c>
      <c r="M1723" t="s">
        <v>47</v>
      </c>
      <c r="N1723" s="1" t="e">
        <f t="shared" si="376"/>
        <v>#VALUE!</v>
      </c>
      <c r="O1723" s="1" t="e">
        <f t="shared" si="377"/>
        <v>#VALUE!</v>
      </c>
      <c r="P1723" s="1" t="e">
        <f t="shared" si="378"/>
        <v>#VALUE!</v>
      </c>
      <c r="Q1723" s="1" t="e">
        <f t="shared" si="379"/>
        <v>#VALUE!</v>
      </c>
      <c r="R1723" s="1" t="e">
        <f t="shared" si="380"/>
        <v>#VALUE!</v>
      </c>
      <c r="S1723" s="1" t="e">
        <f t="shared" si="381"/>
        <v>#VALUE!</v>
      </c>
      <c r="T1723" s="1" t="e">
        <f t="shared" si="382"/>
        <v>#VALUE!</v>
      </c>
      <c r="U1723" s="26" t="e">
        <f t="shared" si="383"/>
        <v>#VALUE!</v>
      </c>
      <c r="V1723" s="26" t="e">
        <f t="shared" si="384"/>
        <v>#VALUE!</v>
      </c>
      <c r="W1723" s="1" t="e">
        <f t="shared" si="385"/>
        <v>#VALUE!</v>
      </c>
      <c r="X1723" s="26" t="e">
        <f t="shared" si="386"/>
        <v>#VALUE!</v>
      </c>
      <c r="Y1723" s="26" t="e">
        <f t="shared" si="387"/>
        <v>#VALUE!</v>
      </c>
      <c r="Z1723" s="1" t="e">
        <f t="shared" si="388"/>
        <v>#VALUE!</v>
      </c>
      <c r="AA1723"/>
      <c r="AB1723"/>
    </row>
    <row r="1724" spans="1:28" x14ac:dyDescent="0.55000000000000004">
      <c r="A1724" s="1">
        <f t="shared" si="375"/>
        <v>1724</v>
      </c>
      <c r="B1724" t="s">
        <v>35</v>
      </c>
      <c r="C1724" t="s">
        <v>115</v>
      </c>
      <c r="D1724" t="s">
        <v>42</v>
      </c>
      <c r="E1724" t="s">
        <v>70</v>
      </c>
      <c r="F1724" t="s">
        <v>357</v>
      </c>
      <c r="G1724" t="s">
        <v>377</v>
      </c>
      <c r="I1724" t="s">
        <v>304</v>
      </c>
      <c r="K1724" t="s">
        <v>378</v>
      </c>
      <c r="M1724" t="s">
        <v>47</v>
      </c>
      <c r="N1724" s="1" t="e">
        <f t="shared" si="376"/>
        <v>#VALUE!</v>
      </c>
      <c r="O1724" s="1" t="e">
        <f t="shared" si="377"/>
        <v>#VALUE!</v>
      </c>
      <c r="P1724" s="1" t="e">
        <f t="shared" si="378"/>
        <v>#VALUE!</v>
      </c>
      <c r="Q1724" s="1" t="e">
        <f t="shared" si="379"/>
        <v>#VALUE!</v>
      </c>
      <c r="R1724" s="1" t="e">
        <f t="shared" si="380"/>
        <v>#VALUE!</v>
      </c>
      <c r="S1724" s="1" t="e">
        <f t="shared" si="381"/>
        <v>#VALUE!</v>
      </c>
      <c r="T1724" s="1" t="e">
        <f t="shared" si="382"/>
        <v>#VALUE!</v>
      </c>
      <c r="U1724" s="26" t="e">
        <f t="shared" si="383"/>
        <v>#VALUE!</v>
      </c>
      <c r="V1724" s="26" t="e">
        <f t="shared" si="384"/>
        <v>#VALUE!</v>
      </c>
      <c r="W1724" s="1" t="e">
        <f t="shared" si="385"/>
        <v>#VALUE!</v>
      </c>
      <c r="X1724" s="26" t="e">
        <f t="shared" si="386"/>
        <v>#VALUE!</v>
      </c>
      <c r="Y1724" s="26" t="e">
        <f t="shared" si="387"/>
        <v>#VALUE!</v>
      </c>
      <c r="Z1724" s="1" t="e">
        <f t="shared" si="388"/>
        <v>#VALUE!</v>
      </c>
      <c r="AA1724"/>
      <c r="AB1724"/>
    </row>
    <row r="1725" spans="1:28" x14ac:dyDescent="0.55000000000000004">
      <c r="A1725" s="1">
        <f t="shared" si="375"/>
        <v>1725</v>
      </c>
      <c r="B1725" t="s">
        <v>35</v>
      </c>
      <c r="C1725" t="s">
        <v>115</v>
      </c>
      <c r="D1725" t="s">
        <v>42</v>
      </c>
      <c r="E1725" t="s">
        <v>70</v>
      </c>
      <c r="F1725" t="s">
        <v>357</v>
      </c>
      <c r="G1725" t="s">
        <v>213</v>
      </c>
      <c r="I1725" t="s">
        <v>306</v>
      </c>
      <c r="K1725" t="s">
        <v>215</v>
      </c>
      <c r="M1725" t="s">
        <v>47</v>
      </c>
      <c r="N1725" s="1" t="e">
        <f t="shared" si="376"/>
        <v>#VALUE!</v>
      </c>
      <c r="O1725" s="1" t="e">
        <f t="shared" si="377"/>
        <v>#VALUE!</v>
      </c>
      <c r="P1725" s="1" t="e">
        <f t="shared" si="378"/>
        <v>#VALUE!</v>
      </c>
      <c r="Q1725" s="1" t="e">
        <f t="shared" si="379"/>
        <v>#VALUE!</v>
      </c>
      <c r="R1725" s="1" t="e">
        <f t="shared" si="380"/>
        <v>#VALUE!</v>
      </c>
      <c r="S1725" s="1" t="e">
        <f t="shared" si="381"/>
        <v>#VALUE!</v>
      </c>
      <c r="T1725" s="1" t="e">
        <f t="shared" si="382"/>
        <v>#VALUE!</v>
      </c>
      <c r="U1725" s="26" t="e">
        <f t="shared" si="383"/>
        <v>#VALUE!</v>
      </c>
      <c r="V1725" s="26" t="e">
        <f t="shared" si="384"/>
        <v>#VALUE!</v>
      </c>
      <c r="W1725" s="1" t="e">
        <f t="shared" si="385"/>
        <v>#VALUE!</v>
      </c>
      <c r="X1725" s="26" t="e">
        <f t="shared" si="386"/>
        <v>#VALUE!</v>
      </c>
      <c r="Y1725" s="26" t="e">
        <f t="shared" si="387"/>
        <v>#VALUE!</v>
      </c>
      <c r="Z1725" s="1" t="e">
        <f t="shared" si="388"/>
        <v>#VALUE!</v>
      </c>
      <c r="AA1725"/>
      <c r="AB1725"/>
    </row>
    <row r="1726" spans="1:28" x14ac:dyDescent="0.55000000000000004">
      <c r="A1726" s="1">
        <f t="shared" si="375"/>
        <v>1726</v>
      </c>
      <c r="B1726" t="s">
        <v>35</v>
      </c>
      <c r="C1726" t="s">
        <v>115</v>
      </c>
      <c r="D1726" t="s">
        <v>42</v>
      </c>
      <c r="E1726" t="s">
        <v>70</v>
      </c>
      <c r="F1726" t="s">
        <v>357</v>
      </c>
      <c r="G1726" t="s">
        <v>207</v>
      </c>
      <c r="I1726" t="s">
        <v>384</v>
      </c>
      <c r="K1726" t="s">
        <v>209</v>
      </c>
      <c r="M1726" t="s">
        <v>47</v>
      </c>
      <c r="N1726" s="1" t="e">
        <f t="shared" si="376"/>
        <v>#VALUE!</v>
      </c>
      <c r="O1726" s="1" t="e">
        <f t="shared" si="377"/>
        <v>#VALUE!</v>
      </c>
      <c r="P1726" s="1" t="e">
        <f t="shared" si="378"/>
        <v>#VALUE!</v>
      </c>
      <c r="Q1726" s="1" t="e">
        <f t="shared" si="379"/>
        <v>#VALUE!</v>
      </c>
      <c r="R1726" s="1" t="e">
        <f t="shared" si="380"/>
        <v>#VALUE!</v>
      </c>
      <c r="S1726" s="1" t="e">
        <f t="shared" si="381"/>
        <v>#VALUE!</v>
      </c>
      <c r="T1726" s="1" t="e">
        <f t="shared" si="382"/>
        <v>#VALUE!</v>
      </c>
      <c r="U1726" s="26" t="e">
        <f t="shared" si="383"/>
        <v>#VALUE!</v>
      </c>
      <c r="V1726" s="26" t="e">
        <f t="shared" si="384"/>
        <v>#VALUE!</v>
      </c>
      <c r="W1726" s="1" t="e">
        <f t="shared" si="385"/>
        <v>#VALUE!</v>
      </c>
      <c r="X1726" s="26" t="e">
        <f t="shared" si="386"/>
        <v>#VALUE!</v>
      </c>
      <c r="Y1726" s="26" t="e">
        <f t="shared" si="387"/>
        <v>#VALUE!</v>
      </c>
      <c r="Z1726" s="1" t="e">
        <f t="shared" si="388"/>
        <v>#VALUE!</v>
      </c>
      <c r="AA1726"/>
      <c r="AB1726"/>
    </row>
    <row r="1727" spans="1:28" x14ac:dyDescent="0.55000000000000004">
      <c r="A1727" s="1">
        <f t="shared" si="375"/>
        <v>1727</v>
      </c>
      <c r="B1727" t="s">
        <v>35</v>
      </c>
      <c r="C1727" t="s">
        <v>115</v>
      </c>
      <c r="D1727" t="s">
        <v>42</v>
      </c>
      <c r="E1727" t="s">
        <v>70</v>
      </c>
      <c r="F1727" t="s">
        <v>357</v>
      </c>
      <c r="G1727" t="s">
        <v>205</v>
      </c>
      <c r="I1727" t="s">
        <v>210</v>
      </c>
      <c r="K1727" t="s">
        <v>417</v>
      </c>
      <c r="M1727" t="s">
        <v>47</v>
      </c>
      <c r="N1727" s="1" t="e">
        <f t="shared" si="376"/>
        <v>#VALUE!</v>
      </c>
      <c r="O1727" s="1" t="e">
        <f t="shared" si="377"/>
        <v>#VALUE!</v>
      </c>
      <c r="P1727" s="1" t="e">
        <f t="shared" si="378"/>
        <v>#VALUE!</v>
      </c>
      <c r="Q1727" s="1" t="e">
        <f t="shared" si="379"/>
        <v>#VALUE!</v>
      </c>
      <c r="R1727" s="1" t="e">
        <f t="shared" si="380"/>
        <v>#VALUE!</v>
      </c>
      <c r="S1727" s="1" t="e">
        <f t="shared" si="381"/>
        <v>#VALUE!</v>
      </c>
      <c r="T1727" s="1" t="e">
        <f t="shared" si="382"/>
        <v>#VALUE!</v>
      </c>
      <c r="U1727" s="26" t="e">
        <f t="shared" si="383"/>
        <v>#VALUE!</v>
      </c>
      <c r="V1727" s="26" t="e">
        <f t="shared" si="384"/>
        <v>#VALUE!</v>
      </c>
      <c r="W1727" s="1" t="e">
        <f t="shared" si="385"/>
        <v>#VALUE!</v>
      </c>
      <c r="X1727" s="26" t="e">
        <f t="shared" si="386"/>
        <v>#VALUE!</v>
      </c>
      <c r="Y1727" s="26" t="e">
        <f t="shared" si="387"/>
        <v>#VALUE!</v>
      </c>
      <c r="Z1727" s="1" t="e">
        <f t="shared" si="388"/>
        <v>#VALUE!</v>
      </c>
      <c r="AA1727"/>
      <c r="AB1727"/>
    </row>
    <row r="1728" spans="1:28" x14ac:dyDescent="0.55000000000000004">
      <c r="A1728" s="1">
        <f t="shared" si="375"/>
        <v>1728</v>
      </c>
      <c r="B1728" t="s">
        <v>30</v>
      </c>
      <c r="C1728" t="s">
        <v>176</v>
      </c>
      <c r="D1728" t="s">
        <v>177</v>
      </c>
      <c r="E1728" t="s">
        <v>178</v>
      </c>
      <c r="G1728" t="s">
        <v>63</v>
      </c>
      <c r="I1728" t="s">
        <v>49</v>
      </c>
      <c r="K1728" t="s">
        <v>65</v>
      </c>
      <c r="M1728" t="s">
        <v>47</v>
      </c>
      <c r="N1728" s="1" t="e">
        <f t="shared" si="376"/>
        <v>#VALUE!</v>
      </c>
      <c r="O1728" s="1" t="e">
        <f t="shared" si="377"/>
        <v>#VALUE!</v>
      </c>
      <c r="P1728" s="1" t="e">
        <f t="shared" si="378"/>
        <v>#VALUE!</v>
      </c>
      <c r="Q1728" s="1" t="e">
        <f t="shared" si="379"/>
        <v>#VALUE!</v>
      </c>
      <c r="R1728" s="1" t="e">
        <f t="shared" si="380"/>
        <v>#VALUE!</v>
      </c>
      <c r="S1728" s="1" t="e">
        <f t="shared" si="381"/>
        <v>#VALUE!</v>
      </c>
      <c r="T1728" s="1" t="e">
        <f t="shared" si="382"/>
        <v>#VALUE!</v>
      </c>
      <c r="U1728" s="26" t="e">
        <f t="shared" si="383"/>
        <v>#VALUE!</v>
      </c>
      <c r="V1728" s="26" t="e">
        <f t="shared" si="384"/>
        <v>#VALUE!</v>
      </c>
      <c r="W1728" s="1" t="e">
        <f t="shared" si="385"/>
        <v>#VALUE!</v>
      </c>
      <c r="X1728" s="26" t="e">
        <f t="shared" si="386"/>
        <v>#VALUE!</v>
      </c>
      <c r="Y1728" s="26" t="e">
        <f t="shared" si="387"/>
        <v>#VALUE!</v>
      </c>
      <c r="Z1728" s="1" t="e">
        <f t="shared" si="388"/>
        <v>#VALUE!</v>
      </c>
      <c r="AA1728"/>
      <c r="AB1728"/>
    </row>
    <row r="1729" spans="1:28" x14ac:dyDescent="0.55000000000000004">
      <c r="A1729" s="1">
        <f t="shared" si="375"/>
        <v>1729</v>
      </c>
      <c r="B1729" t="s">
        <v>30</v>
      </c>
      <c r="C1729" t="s">
        <v>176</v>
      </c>
      <c r="D1729" t="s">
        <v>177</v>
      </c>
      <c r="E1729" t="s">
        <v>178</v>
      </c>
      <c r="G1729" t="s">
        <v>51</v>
      </c>
      <c r="I1729" t="s">
        <v>67</v>
      </c>
      <c r="K1729" t="s">
        <v>53</v>
      </c>
      <c r="M1729" t="s">
        <v>47</v>
      </c>
      <c r="N1729" s="1" t="e">
        <f t="shared" si="376"/>
        <v>#VALUE!</v>
      </c>
      <c r="O1729" s="1" t="e">
        <f t="shared" si="377"/>
        <v>#VALUE!</v>
      </c>
      <c r="P1729" s="1" t="e">
        <f t="shared" si="378"/>
        <v>#VALUE!</v>
      </c>
      <c r="Q1729" s="1" t="e">
        <f t="shared" si="379"/>
        <v>#VALUE!</v>
      </c>
      <c r="R1729" s="1" t="e">
        <f t="shared" si="380"/>
        <v>#VALUE!</v>
      </c>
      <c r="S1729" s="1" t="e">
        <f t="shared" si="381"/>
        <v>#VALUE!</v>
      </c>
      <c r="T1729" s="1" t="e">
        <f t="shared" si="382"/>
        <v>#VALUE!</v>
      </c>
      <c r="U1729" s="26" t="e">
        <f t="shared" si="383"/>
        <v>#VALUE!</v>
      </c>
      <c r="V1729" s="26" t="e">
        <f t="shared" si="384"/>
        <v>#VALUE!</v>
      </c>
      <c r="W1729" s="1" t="e">
        <f t="shared" si="385"/>
        <v>#VALUE!</v>
      </c>
      <c r="X1729" s="26" t="e">
        <f t="shared" si="386"/>
        <v>#VALUE!</v>
      </c>
      <c r="Y1729" s="26" t="e">
        <f t="shared" si="387"/>
        <v>#VALUE!</v>
      </c>
      <c r="Z1729" s="1" t="e">
        <f t="shared" si="388"/>
        <v>#VALUE!</v>
      </c>
      <c r="AA1729"/>
      <c r="AB1729"/>
    </row>
    <row r="1730" spans="1:28" x14ac:dyDescent="0.55000000000000004">
      <c r="A1730" s="1">
        <f t="shared" si="375"/>
        <v>1730</v>
      </c>
      <c r="B1730" t="s">
        <v>30</v>
      </c>
      <c r="C1730" t="s">
        <v>176</v>
      </c>
      <c r="D1730" t="s">
        <v>177</v>
      </c>
      <c r="E1730" t="s">
        <v>178</v>
      </c>
      <c r="G1730" t="s">
        <v>60</v>
      </c>
      <c r="I1730" t="s">
        <v>55</v>
      </c>
      <c r="K1730" t="s">
        <v>62</v>
      </c>
      <c r="M1730" t="s">
        <v>47</v>
      </c>
      <c r="N1730" s="1" t="e">
        <f t="shared" si="376"/>
        <v>#VALUE!</v>
      </c>
      <c r="O1730" s="1" t="e">
        <f t="shared" si="377"/>
        <v>#VALUE!</v>
      </c>
      <c r="P1730" s="1" t="e">
        <f t="shared" si="378"/>
        <v>#VALUE!</v>
      </c>
      <c r="Q1730" s="1" t="e">
        <f t="shared" si="379"/>
        <v>#VALUE!</v>
      </c>
      <c r="R1730" s="1" t="e">
        <f t="shared" si="380"/>
        <v>#VALUE!</v>
      </c>
      <c r="S1730" s="1" t="e">
        <f t="shared" si="381"/>
        <v>#VALUE!</v>
      </c>
      <c r="T1730" s="1" t="e">
        <f t="shared" si="382"/>
        <v>#VALUE!</v>
      </c>
      <c r="U1730" s="26" t="e">
        <f t="shared" si="383"/>
        <v>#VALUE!</v>
      </c>
      <c r="V1730" s="26" t="e">
        <f t="shared" si="384"/>
        <v>#VALUE!</v>
      </c>
      <c r="W1730" s="1" t="e">
        <f t="shared" si="385"/>
        <v>#VALUE!</v>
      </c>
      <c r="X1730" s="26" t="e">
        <f t="shared" si="386"/>
        <v>#VALUE!</v>
      </c>
      <c r="Y1730" s="26" t="e">
        <f t="shared" si="387"/>
        <v>#VALUE!</v>
      </c>
      <c r="Z1730" s="1" t="e">
        <f t="shared" si="388"/>
        <v>#VALUE!</v>
      </c>
      <c r="AA1730"/>
      <c r="AB1730"/>
    </row>
    <row r="1731" spans="1:28" x14ac:dyDescent="0.55000000000000004">
      <c r="A1731" s="1">
        <f t="shared" ref="A1731:A1794" si="389">A1730+1</f>
        <v>1731</v>
      </c>
      <c r="B1731" t="s">
        <v>30</v>
      </c>
      <c r="C1731" t="s">
        <v>176</v>
      </c>
      <c r="D1731" t="s">
        <v>177</v>
      </c>
      <c r="E1731" t="s">
        <v>178</v>
      </c>
      <c r="G1731" t="s">
        <v>44</v>
      </c>
      <c r="I1731" t="s">
        <v>54</v>
      </c>
      <c r="K1731" t="s">
        <v>46</v>
      </c>
      <c r="M1731" t="s">
        <v>47</v>
      </c>
      <c r="N1731" s="1" t="e">
        <f t="shared" ref="N1731:N1794" si="390">VALUE(LEFT(H1731,1))</f>
        <v>#VALUE!</v>
      </c>
      <c r="O1731" s="1" t="e">
        <f t="shared" ref="O1731:O1794" si="391">VALUE(RIGHT(H1731,1))</f>
        <v>#VALUE!</v>
      </c>
      <c r="P1731" s="1" t="e">
        <f t="shared" ref="P1731:P1794" si="392">SUM(N1731,O1731)</f>
        <v>#VALUE!</v>
      </c>
      <c r="Q1731" s="1" t="e">
        <f t="shared" ref="Q1731:Q1794" si="393">IF(N1731&lt;&gt;O1731, 1, 0)</f>
        <v>#VALUE!</v>
      </c>
      <c r="R1731" s="1" t="e">
        <f t="shared" ref="R1731:R1794" si="394">IF(P1731&lt;=4,1,0)</f>
        <v>#VALUE!</v>
      </c>
      <c r="S1731" s="1" t="e">
        <f t="shared" ref="S1731:S1794" si="395">IF(AND(Q1731=1,R1731=1),1,0)</f>
        <v>#VALUE!</v>
      </c>
      <c r="T1731" s="1" t="e">
        <f t="shared" ref="T1731:T1794" si="396">IF(N1731&lt;=2,1,0)</f>
        <v>#VALUE!</v>
      </c>
      <c r="U1731" s="26" t="e">
        <f t="shared" ref="U1731:U1794" si="397">IF(AND(N1731&gt;=1,N1731&lt;=3),1,0)</f>
        <v>#VALUE!</v>
      </c>
      <c r="V1731" s="26" t="e">
        <f t="shared" ref="V1731:V1794" si="398">IF(AND(N1731&gt;=2,N1731&lt;=5),1,0)</f>
        <v>#VALUE!</v>
      </c>
      <c r="W1731" s="1" t="e">
        <f t="shared" ref="W1731:W1794" si="399">IF(O1731&lt;=2,1,0)</f>
        <v>#VALUE!</v>
      </c>
      <c r="X1731" s="26" t="e">
        <f t="shared" ref="X1731:X1794" si="400">IF(AND(O1731&gt;=1,O1731&lt;=3),1,0)</f>
        <v>#VALUE!</v>
      </c>
      <c r="Y1731" s="26" t="e">
        <f t="shared" ref="Y1731:Y1794" si="401">IF(AND(O1731&gt;=2,O1731&lt;=5),1,0)</f>
        <v>#VALUE!</v>
      </c>
      <c r="Z1731" s="1" t="e">
        <f t="shared" ref="Z1731:Z1794" si="402">IF(P1731&gt;=2,1,0)</f>
        <v>#VALUE!</v>
      </c>
      <c r="AA1731"/>
      <c r="AB1731"/>
    </row>
    <row r="1732" spans="1:28" x14ac:dyDescent="0.55000000000000004">
      <c r="A1732" s="1">
        <f t="shared" si="389"/>
        <v>1732</v>
      </c>
      <c r="B1732" t="s">
        <v>30</v>
      </c>
      <c r="C1732" t="s">
        <v>176</v>
      </c>
      <c r="D1732" t="s">
        <v>177</v>
      </c>
      <c r="E1732" t="s">
        <v>178</v>
      </c>
      <c r="G1732" t="s">
        <v>45</v>
      </c>
      <c r="I1732" t="s">
        <v>61</v>
      </c>
      <c r="K1732" t="s">
        <v>74</v>
      </c>
      <c r="M1732" t="s">
        <v>47</v>
      </c>
      <c r="N1732" s="1" t="e">
        <f t="shared" si="390"/>
        <v>#VALUE!</v>
      </c>
      <c r="O1732" s="1" t="e">
        <f t="shared" si="391"/>
        <v>#VALUE!</v>
      </c>
      <c r="P1732" s="1" t="e">
        <f t="shared" si="392"/>
        <v>#VALUE!</v>
      </c>
      <c r="Q1732" s="1" t="e">
        <f t="shared" si="393"/>
        <v>#VALUE!</v>
      </c>
      <c r="R1732" s="1" t="e">
        <f t="shared" si="394"/>
        <v>#VALUE!</v>
      </c>
      <c r="S1732" s="1" t="e">
        <f t="shared" si="395"/>
        <v>#VALUE!</v>
      </c>
      <c r="T1732" s="1" t="e">
        <f t="shared" si="396"/>
        <v>#VALUE!</v>
      </c>
      <c r="U1732" s="26" t="e">
        <f t="shared" si="397"/>
        <v>#VALUE!</v>
      </c>
      <c r="V1732" s="26" t="e">
        <f t="shared" si="398"/>
        <v>#VALUE!</v>
      </c>
      <c r="W1732" s="1" t="e">
        <f t="shared" si="399"/>
        <v>#VALUE!</v>
      </c>
      <c r="X1732" s="26" t="e">
        <f t="shared" si="400"/>
        <v>#VALUE!</v>
      </c>
      <c r="Y1732" s="26" t="e">
        <f t="shared" si="401"/>
        <v>#VALUE!</v>
      </c>
      <c r="Z1732" s="1" t="e">
        <f t="shared" si="402"/>
        <v>#VALUE!</v>
      </c>
      <c r="AA1732"/>
      <c r="AB1732"/>
    </row>
    <row r="1733" spans="1:28" x14ac:dyDescent="0.55000000000000004">
      <c r="A1733" s="1">
        <f t="shared" si="389"/>
        <v>1733</v>
      </c>
      <c r="B1733" t="s">
        <v>30</v>
      </c>
      <c r="C1733" t="s">
        <v>176</v>
      </c>
      <c r="D1733" t="s">
        <v>177</v>
      </c>
      <c r="E1733" t="s">
        <v>178</v>
      </c>
      <c r="G1733" t="s">
        <v>57</v>
      </c>
      <c r="I1733" t="s">
        <v>66</v>
      </c>
      <c r="K1733" t="s">
        <v>59</v>
      </c>
      <c r="M1733" t="s">
        <v>47</v>
      </c>
      <c r="N1733" s="1" t="e">
        <f t="shared" si="390"/>
        <v>#VALUE!</v>
      </c>
      <c r="O1733" s="1" t="e">
        <f t="shared" si="391"/>
        <v>#VALUE!</v>
      </c>
      <c r="P1733" s="1" t="e">
        <f t="shared" si="392"/>
        <v>#VALUE!</v>
      </c>
      <c r="Q1733" s="1" t="e">
        <f t="shared" si="393"/>
        <v>#VALUE!</v>
      </c>
      <c r="R1733" s="1" t="e">
        <f t="shared" si="394"/>
        <v>#VALUE!</v>
      </c>
      <c r="S1733" s="1" t="e">
        <f t="shared" si="395"/>
        <v>#VALUE!</v>
      </c>
      <c r="T1733" s="1" t="e">
        <f t="shared" si="396"/>
        <v>#VALUE!</v>
      </c>
      <c r="U1733" s="26" t="e">
        <f t="shared" si="397"/>
        <v>#VALUE!</v>
      </c>
      <c r="V1733" s="26" t="e">
        <f t="shared" si="398"/>
        <v>#VALUE!</v>
      </c>
      <c r="W1733" s="1" t="e">
        <f t="shared" si="399"/>
        <v>#VALUE!</v>
      </c>
      <c r="X1733" s="26" t="e">
        <f t="shared" si="400"/>
        <v>#VALUE!</v>
      </c>
      <c r="Y1733" s="26" t="e">
        <f t="shared" si="401"/>
        <v>#VALUE!</v>
      </c>
      <c r="Z1733" s="1" t="e">
        <f t="shared" si="402"/>
        <v>#VALUE!</v>
      </c>
      <c r="AA1733"/>
      <c r="AB1733"/>
    </row>
    <row r="1734" spans="1:28" x14ac:dyDescent="0.55000000000000004">
      <c r="A1734" s="1">
        <f t="shared" si="389"/>
        <v>1734</v>
      </c>
      <c r="B1734" t="s">
        <v>30</v>
      </c>
      <c r="C1734" t="s">
        <v>176</v>
      </c>
      <c r="D1734" t="s">
        <v>177</v>
      </c>
      <c r="E1734" t="s">
        <v>178</v>
      </c>
      <c r="G1734" t="s">
        <v>64</v>
      </c>
      <c r="I1734" t="s">
        <v>52</v>
      </c>
      <c r="K1734" t="s">
        <v>62</v>
      </c>
      <c r="M1734" t="s">
        <v>47</v>
      </c>
      <c r="N1734" s="1" t="e">
        <f t="shared" si="390"/>
        <v>#VALUE!</v>
      </c>
      <c r="O1734" s="1" t="e">
        <f t="shared" si="391"/>
        <v>#VALUE!</v>
      </c>
      <c r="P1734" s="1" t="e">
        <f t="shared" si="392"/>
        <v>#VALUE!</v>
      </c>
      <c r="Q1734" s="1" t="e">
        <f t="shared" si="393"/>
        <v>#VALUE!</v>
      </c>
      <c r="R1734" s="1" t="e">
        <f t="shared" si="394"/>
        <v>#VALUE!</v>
      </c>
      <c r="S1734" s="1" t="e">
        <f t="shared" si="395"/>
        <v>#VALUE!</v>
      </c>
      <c r="T1734" s="1" t="e">
        <f t="shared" si="396"/>
        <v>#VALUE!</v>
      </c>
      <c r="U1734" s="26" t="e">
        <f t="shared" si="397"/>
        <v>#VALUE!</v>
      </c>
      <c r="V1734" s="26" t="e">
        <f t="shared" si="398"/>
        <v>#VALUE!</v>
      </c>
      <c r="W1734" s="1" t="e">
        <f t="shared" si="399"/>
        <v>#VALUE!</v>
      </c>
      <c r="X1734" s="26" t="e">
        <f t="shared" si="400"/>
        <v>#VALUE!</v>
      </c>
      <c r="Y1734" s="26" t="e">
        <f t="shared" si="401"/>
        <v>#VALUE!</v>
      </c>
      <c r="Z1734" s="1" t="e">
        <f t="shared" si="402"/>
        <v>#VALUE!</v>
      </c>
      <c r="AA1734"/>
      <c r="AB1734"/>
    </row>
    <row r="1735" spans="1:28" x14ac:dyDescent="0.55000000000000004">
      <c r="A1735" s="1">
        <f t="shared" si="389"/>
        <v>1735</v>
      </c>
      <c r="B1735" t="s">
        <v>30</v>
      </c>
      <c r="C1735" t="s">
        <v>176</v>
      </c>
      <c r="D1735" t="s">
        <v>177</v>
      </c>
      <c r="E1735" t="s">
        <v>178</v>
      </c>
      <c r="G1735" t="s">
        <v>58</v>
      </c>
      <c r="I1735" t="s">
        <v>48</v>
      </c>
      <c r="K1735" t="s">
        <v>71</v>
      </c>
      <c r="M1735" t="s">
        <v>47</v>
      </c>
      <c r="N1735" s="1" t="e">
        <f t="shared" si="390"/>
        <v>#VALUE!</v>
      </c>
      <c r="O1735" s="1" t="e">
        <f t="shared" si="391"/>
        <v>#VALUE!</v>
      </c>
      <c r="P1735" s="1" t="e">
        <f t="shared" si="392"/>
        <v>#VALUE!</v>
      </c>
      <c r="Q1735" s="1" t="e">
        <f t="shared" si="393"/>
        <v>#VALUE!</v>
      </c>
      <c r="R1735" s="1" t="e">
        <f t="shared" si="394"/>
        <v>#VALUE!</v>
      </c>
      <c r="S1735" s="1" t="e">
        <f t="shared" si="395"/>
        <v>#VALUE!</v>
      </c>
      <c r="T1735" s="1" t="e">
        <f t="shared" si="396"/>
        <v>#VALUE!</v>
      </c>
      <c r="U1735" s="26" t="e">
        <f t="shared" si="397"/>
        <v>#VALUE!</v>
      </c>
      <c r="V1735" s="26" t="e">
        <f t="shared" si="398"/>
        <v>#VALUE!</v>
      </c>
      <c r="W1735" s="1" t="e">
        <f t="shared" si="399"/>
        <v>#VALUE!</v>
      </c>
      <c r="X1735" s="26" t="e">
        <f t="shared" si="400"/>
        <v>#VALUE!</v>
      </c>
      <c r="Y1735" s="26" t="e">
        <f t="shared" si="401"/>
        <v>#VALUE!</v>
      </c>
      <c r="Z1735" s="1" t="e">
        <f t="shared" si="402"/>
        <v>#VALUE!</v>
      </c>
      <c r="AA1735"/>
      <c r="AB1735"/>
    </row>
    <row r="1736" spans="1:28" x14ac:dyDescent="0.55000000000000004">
      <c r="A1736" s="1">
        <f t="shared" si="389"/>
        <v>1736</v>
      </c>
      <c r="B1736" t="s">
        <v>37</v>
      </c>
      <c r="C1736" t="s">
        <v>339</v>
      </c>
      <c r="D1736" t="s">
        <v>174</v>
      </c>
      <c r="E1736" t="s">
        <v>340</v>
      </c>
      <c r="F1736" t="s">
        <v>315</v>
      </c>
      <c r="G1736" t="s">
        <v>313</v>
      </c>
      <c r="I1736" t="s">
        <v>319</v>
      </c>
      <c r="K1736" t="s">
        <v>317</v>
      </c>
      <c r="M1736" t="s">
        <v>47</v>
      </c>
      <c r="N1736" s="1" t="e">
        <f t="shared" si="390"/>
        <v>#VALUE!</v>
      </c>
      <c r="O1736" s="1" t="e">
        <f t="shared" si="391"/>
        <v>#VALUE!</v>
      </c>
      <c r="P1736" s="1" t="e">
        <f t="shared" si="392"/>
        <v>#VALUE!</v>
      </c>
      <c r="Q1736" s="1" t="e">
        <f t="shared" si="393"/>
        <v>#VALUE!</v>
      </c>
      <c r="R1736" s="1" t="e">
        <f t="shared" si="394"/>
        <v>#VALUE!</v>
      </c>
      <c r="S1736" s="1" t="e">
        <f t="shared" si="395"/>
        <v>#VALUE!</v>
      </c>
      <c r="T1736" s="1" t="e">
        <f t="shared" si="396"/>
        <v>#VALUE!</v>
      </c>
      <c r="U1736" s="26" t="e">
        <f t="shared" si="397"/>
        <v>#VALUE!</v>
      </c>
      <c r="V1736" s="26" t="e">
        <f t="shared" si="398"/>
        <v>#VALUE!</v>
      </c>
      <c r="W1736" s="1" t="e">
        <f t="shared" si="399"/>
        <v>#VALUE!</v>
      </c>
      <c r="X1736" s="26" t="e">
        <f t="shared" si="400"/>
        <v>#VALUE!</v>
      </c>
      <c r="Y1736" s="26" t="e">
        <f t="shared" si="401"/>
        <v>#VALUE!</v>
      </c>
      <c r="Z1736" s="1" t="e">
        <f t="shared" si="402"/>
        <v>#VALUE!</v>
      </c>
      <c r="AA1736"/>
      <c r="AB1736"/>
    </row>
    <row r="1737" spans="1:28" x14ac:dyDescent="0.55000000000000004">
      <c r="A1737" s="1">
        <f t="shared" si="389"/>
        <v>1737</v>
      </c>
      <c r="B1737" t="s">
        <v>37</v>
      </c>
      <c r="C1737" t="s">
        <v>339</v>
      </c>
      <c r="D1737" t="s">
        <v>174</v>
      </c>
      <c r="E1737" t="s">
        <v>340</v>
      </c>
      <c r="F1737" t="s">
        <v>315</v>
      </c>
      <c r="G1737" t="s">
        <v>316</v>
      </c>
      <c r="I1737" t="s">
        <v>324</v>
      </c>
      <c r="K1737" t="s">
        <v>341</v>
      </c>
      <c r="M1737" t="s">
        <v>47</v>
      </c>
      <c r="N1737" s="1" t="e">
        <f t="shared" si="390"/>
        <v>#VALUE!</v>
      </c>
      <c r="O1737" s="1" t="e">
        <f t="shared" si="391"/>
        <v>#VALUE!</v>
      </c>
      <c r="P1737" s="1" t="e">
        <f t="shared" si="392"/>
        <v>#VALUE!</v>
      </c>
      <c r="Q1737" s="1" t="e">
        <f t="shared" si="393"/>
        <v>#VALUE!</v>
      </c>
      <c r="R1737" s="1" t="e">
        <f t="shared" si="394"/>
        <v>#VALUE!</v>
      </c>
      <c r="S1737" s="1" t="e">
        <f t="shared" si="395"/>
        <v>#VALUE!</v>
      </c>
      <c r="T1737" s="1" t="e">
        <f t="shared" si="396"/>
        <v>#VALUE!</v>
      </c>
      <c r="U1737" s="26" t="e">
        <f t="shared" si="397"/>
        <v>#VALUE!</v>
      </c>
      <c r="V1737" s="26" t="e">
        <f t="shared" si="398"/>
        <v>#VALUE!</v>
      </c>
      <c r="W1737" s="1" t="e">
        <f t="shared" si="399"/>
        <v>#VALUE!</v>
      </c>
      <c r="X1737" s="26" t="e">
        <f t="shared" si="400"/>
        <v>#VALUE!</v>
      </c>
      <c r="Y1737" s="26" t="e">
        <f t="shared" si="401"/>
        <v>#VALUE!</v>
      </c>
      <c r="Z1737" s="1" t="e">
        <f t="shared" si="402"/>
        <v>#VALUE!</v>
      </c>
      <c r="AA1737"/>
      <c r="AB1737"/>
    </row>
    <row r="1738" spans="1:28" x14ac:dyDescent="0.55000000000000004">
      <c r="A1738" s="1">
        <f t="shared" si="389"/>
        <v>1738</v>
      </c>
      <c r="B1738" t="s">
        <v>37</v>
      </c>
      <c r="C1738" t="s">
        <v>339</v>
      </c>
      <c r="D1738" t="s">
        <v>174</v>
      </c>
      <c r="E1738" t="s">
        <v>340</v>
      </c>
      <c r="F1738" t="s">
        <v>315</v>
      </c>
      <c r="G1738" t="s">
        <v>312</v>
      </c>
      <c r="I1738" t="s">
        <v>322</v>
      </c>
      <c r="K1738" t="s">
        <v>314</v>
      </c>
      <c r="M1738" t="s">
        <v>47</v>
      </c>
      <c r="N1738" s="1" t="e">
        <f t="shared" si="390"/>
        <v>#VALUE!</v>
      </c>
      <c r="O1738" s="1" t="e">
        <f t="shared" si="391"/>
        <v>#VALUE!</v>
      </c>
      <c r="P1738" s="1" t="e">
        <f t="shared" si="392"/>
        <v>#VALUE!</v>
      </c>
      <c r="Q1738" s="1" t="e">
        <f t="shared" si="393"/>
        <v>#VALUE!</v>
      </c>
      <c r="R1738" s="1" t="e">
        <f t="shared" si="394"/>
        <v>#VALUE!</v>
      </c>
      <c r="S1738" s="1" t="e">
        <f t="shared" si="395"/>
        <v>#VALUE!</v>
      </c>
      <c r="T1738" s="1" t="e">
        <f t="shared" si="396"/>
        <v>#VALUE!</v>
      </c>
      <c r="U1738" s="26" t="e">
        <f t="shared" si="397"/>
        <v>#VALUE!</v>
      </c>
      <c r="V1738" s="26" t="e">
        <f t="shared" si="398"/>
        <v>#VALUE!</v>
      </c>
      <c r="W1738" s="1" t="e">
        <f t="shared" si="399"/>
        <v>#VALUE!</v>
      </c>
      <c r="X1738" s="26" t="e">
        <f t="shared" si="400"/>
        <v>#VALUE!</v>
      </c>
      <c r="Y1738" s="26" t="e">
        <f t="shared" si="401"/>
        <v>#VALUE!</v>
      </c>
      <c r="Z1738" s="1" t="e">
        <f t="shared" si="402"/>
        <v>#VALUE!</v>
      </c>
      <c r="AA1738"/>
      <c r="AB1738"/>
    </row>
    <row r="1739" spans="1:28" x14ac:dyDescent="0.55000000000000004">
      <c r="A1739" s="1">
        <f t="shared" si="389"/>
        <v>1739</v>
      </c>
      <c r="B1739" t="s">
        <v>37</v>
      </c>
      <c r="C1739" t="s">
        <v>339</v>
      </c>
      <c r="D1739" t="s">
        <v>174</v>
      </c>
      <c r="E1739" t="s">
        <v>340</v>
      </c>
      <c r="F1739" t="s">
        <v>315</v>
      </c>
      <c r="G1739" t="s">
        <v>328</v>
      </c>
      <c r="I1739" t="s">
        <v>321</v>
      </c>
      <c r="K1739" t="s">
        <v>329</v>
      </c>
      <c r="M1739" t="s">
        <v>47</v>
      </c>
      <c r="N1739" s="1" t="e">
        <f t="shared" si="390"/>
        <v>#VALUE!</v>
      </c>
      <c r="O1739" s="1" t="e">
        <f t="shared" si="391"/>
        <v>#VALUE!</v>
      </c>
      <c r="P1739" s="1" t="e">
        <f t="shared" si="392"/>
        <v>#VALUE!</v>
      </c>
      <c r="Q1739" s="1" t="e">
        <f t="shared" si="393"/>
        <v>#VALUE!</v>
      </c>
      <c r="R1739" s="1" t="e">
        <f t="shared" si="394"/>
        <v>#VALUE!</v>
      </c>
      <c r="S1739" s="1" t="e">
        <f t="shared" si="395"/>
        <v>#VALUE!</v>
      </c>
      <c r="T1739" s="1" t="e">
        <f t="shared" si="396"/>
        <v>#VALUE!</v>
      </c>
      <c r="U1739" s="26" t="e">
        <f t="shared" si="397"/>
        <v>#VALUE!</v>
      </c>
      <c r="V1739" s="26" t="e">
        <f t="shared" si="398"/>
        <v>#VALUE!</v>
      </c>
      <c r="W1739" s="1" t="e">
        <f t="shared" si="399"/>
        <v>#VALUE!</v>
      </c>
      <c r="X1739" s="26" t="e">
        <f t="shared" si="400"/>
        <v>#VALUE!</v>
      </c>
      <c r="Y1739" s="26" t="e">
        <f t="shared" si="401"/>
        <v>#VALUE!</v>
      </c>
      <c r="Z1739" s="1" t="e">
        <f t="shared" si="402"/>
        <v>#VALUE!</v>
      </c>
      <c r="AA1739"/>
      <c r="AB1739"/>
    </row>
    <row r="1740" spans="1:28" x14ac:dyDescent="0.55000000000000004">
      <c r="A1740" s="1">
        <f t="shared" si="389"/>
        <v>1740</v>
      </c>
      <c r="B1740" t="s">
        <v>37</v>
      </c>
      <c r="C1740" t="s">
        <v>339</v>
      </c>
      <c r="D1740" t="s">
        <v>174</v>
      </c>
      <c r="E1740" t="s">
        <v>340</v>
      </c>
      <c r="F1740" t="s">
        <v>315</v>
      </c>
      <c r="G1740" t="s">
        <v>318</v>
      </c>
      <c r="I1740" t="s">
        <v>326</v>
      </c>
      <c r="K1740" t="s">
        <v>320</v>
      </c>
      <c r="M1740" t="s">
        <v>47</v>
      </c>
      <c r="N1740" s="1" t="e">
        <f t="shared" si="390"/>
        <v>#VALUE!</v>
      </c>
      <c r="O1740" s="1" t="e">
        <f t="shared" si="391"/>
        <v>#VALUE!</v>
      </c>
      <c r="P1740" s="1" t="e">
        <f t="shared" si="392"/>
        <v>#VALUE!</v>
      </c>
      <c r="Q1740" s="1" t="e">
        <f t="shared" si="393"/>
        <v>#VALUE!</v>
      </c>
      <c r="R1740" s="1" t="e">
        <f t="shared" si="394"/>
        <v>#VALUE!</v>
      </c>
      <c r="S1740" s="1" t="e">
        <f t="shared" si="395"/>
        <v>#VALUE!</v>
      </c>
      <c r="T1740" s="1" t="e">
        <f t="shared" si="396"/>
        <v>#VALUE!</v>
      </c>
      <c r="U1740" s="26" t="e">
        <f t="shared" si="397"/>
        <v>#VALUE!</v>
      </c>
      <c r="V1740" s="26" t="e">
        <f t="shared" si="398"/>
        <v>#VALUE!</v>
      </c>
      <c r="W1740" s="1" t="e">
        <f t="shared" si="399"/>
        <v>#VALUE!</v>
      </c>
      <c r="X1740" s="26" t="e">
        <f t="shared" si="400"/>
        <v>#VALUE!</v>
      </c>
      <c r="Y1740" s="26" t="e">
        <f t="shared" si="401"/>
        <v>#VALUE!</v>
      </c>
      <c r="Z1740" s="1" t="e">
        <f t="shared" si="402"/>
        <v>#VALUE!</v>
      </c>
      <c r="AA1740"/>
      <c r="AB1740"/>
    </row>
    <row r="1741" spans="1:28" x14ac:dyDescent="0.55000000000000004">
      <c r="A1741" s="1">
        <f t="shared" si="389"/>
        <v>1741</v>
      </c>
      <c r="B1741" t="s">
        <v>31</v>
      </c>
      <c r="C1741" t="s">
        <v>114</v>
      </c>
      <c r="D1741" t="s">
        <v>133</v>
      </c>
      <c r="E1741" t="s">
        <v>163</v>
      </c>
      <c r="G1741" t="s">
        <v>142</v>
      </c>
      <c r="I1741" t="s">
        <v>135</v>
      </c>
      <c r="K1741" t="s">
        <v>160</v>
      </c>
      <c r="M1741" t="s">
        <v>47</v>
      </c>
      <c r="N1741" s="1" t="e">
        <f t="shared" si="390"/>
        <v>#VALUE!</v>
      </c>
      <c r="O1741" s="1" t="e">
        <f t="shared" si="391"/>
        <v>#VALUE!</v>
      </c>
      <c r="P1741" s="1" t="e">
        <f t="shared" si="392"/>
        <v>#VALUE!</v>
      </c>
      <c r="Q1741" s="1" t="e">
        <f t="shared" si="393"/>
        <v>#VALUE!</v>
      </c>
      <c r="R1741" s="1" t="e">
        <f t="shared" si="394"/>
        <v>#VALUE!</v>
      </c>
      <c r="S1741" s="1" t="e">
        <f t="shared" si="395"/>
        <v>#VALUE!</v>
      </c>
      <c r="T1741" s="1" t="e">
        <f t="shared" si="396"/>
        <v>#VALUE!</v>
      </c>
      <c r="U1741" s="26" t="e">
        <f t="shared" si="397"/>
        <v>#VALUE!</v>
      </c>
      <c r="V1741" s="26" t="e">
        <f t="shared" si="398"/>
        <v>#VALUE!</v>
      </c>
      <c r="W1741" s="1" t="e">
        <f t="shared" si="399"/>
        <v>#VALUE!</v>
      </c>
      <c r="X1741" s="26" t="e">
        <f t="shared" si="400"/>
        <v>#VALUE!</v>
      </c>
      <c r="Y1741" s="26" t="e">
        <f t="shared" si="401"/>
        <v>#VALUE!</v>
      </c>
      <c r="Z1741" s="1" t="e">
        <f t="shared" si="402"/>
        <v>#VALUE!</v>
      </c>
      <c r="AA1741"/>
      <c r="AB1741"/>
    </row>
    <row r="1742" spans="1:28" x14ac:dyDescent="0.55000000000000004">
      <c r="A1742" s="1">
        <f t="shared" si="389"/>
        <v>1742</v>
      </c>
      <c r="B1742" t="s">
        <v>31</v>
      </c>
      <c r="C1742" t="s">
        <v>114</v>
      </c>
      <c r="D1742" t="s">
        <v>133</v>
      </c>
      <c r="E1742" t="s">
        <v>163</v>
      </c>
      <c r="G1742" t="s">
        <v>147</v>
      </c>
      <c r="I1742" t="s">
        <v>141</v>
      </c>
      <c r="K1742" t="s">
        <v>149</v>
      </c>
      <c r="M1742" t="s">
        <v>47</v>
      </c>
      <c r="N1742" s="1" t="e">
        <f t="shared" si="390"/>
        <v>#VALUE!</v>
      </c>
      <c r="O1742" s="1" t="e">
        <f t="shared" si="391"/>
        <v>#VALUE!</v>
      </c>
      <c r="P1742" s="1" t="e">
        <f t="shared" si="392"/>
        <v>#VALUE!</v>
      </c>
      <c r="Q1742" s="1" t="e">
        <f t="shared" si="393"/>
        <v>#VALUE!</v>
      </c>
      <c r="R1742" s="1" t="e">
        <f t="shared" si="394"/>
        <v>#VALUE!</v>
      </c>
      <c r="S1742" s="1" t="e">
        <f t="shared" si="395"/>
        <v>#VALUE!</v>
      </c>
      <c r="T1742" s="1" t="e">
        <f t="shared" si="396"/>
        <v>#VALUE!</v>
      </c>
      <c r="U1742" s="26" t="e">
        <f t="shared" si="397"/>
        <v>#VALUE!</v>
      </c>
      <c r="V1742" s="26" t="e">
        <f t="shared" si="398"/>
        <v>#VALUE!</v>
      </c>
      <c r="W1742" s="1" t="e">
        <f t="shared" si="399"/>
        <v>#VALUE!</v>
      </c>
      <c r="X1742" s="26" t="e">
        <f t="shared" si="400"/>
        <v>#VALUE!</v>
      </c>
      <c r="Y1742" s="26" t="e">
        <f t="shared" si="401"/>
        <v>#VALUE!</v>
      </c>
      <c r="Z1742" s="1" t="e">
        <f t="shared" si="402"/>
        <v>#VALUE!</v>
      </c>
      <c r="AA1742"/>
      <c r="AB1742"/>
    </row>
    <row r="1743" spans="1:28" x14ac:dyDescent="0.55000000000000004">
      <c r="A1743" s="1">
        <f t="shared" si="389"/>
        <v>1743</v>
      </c>
      <c r="B1743" t="s">
        <v>31</v>
      </c>
      <c r="C1743" t="s">
        <v>114</v>
      </c>
      <c r="D1743" t="s">
        <v>133</v>
      </c>
      <c r="E1743" t="s">
        <v>163</v>
      </c>
      <c r="G1743" t="s">
        <v>150</v>
      </c>
      <c r="I1743" t="s">
        <v>148</v>
      </c>
      <c r="K1743" t="s">
        <v>152</v>
      </c>
      <c r="M1743" t="s">
        <v>47</v>
      </c>
      <c r="N1743" s="1" t="e">
        <f t="shared" si="390"/>
        <v>#VALUE!</v>
      </c>
      <c r="O1743" s="1" t="e">
        <f t="shared" si="391"/>
        <v>#VALUE!</v>
      </c>
      <c r="P1743" s="1" t="e">
        <f t="shared" si="392"/>
        <v>#VALUE!</v>
      </c>
      <c r="Q1743" s="1" t="e">
        <f t="shared" si="393"/>
        <v>#VALUE!</v>
      </c>
      <c r="R1743" s="1" t="e">
        <f t="shared" si="394"/>
        <v>#VALUE!</v>
      </c>
      <c r="S1743" s="1" t="e">
        <f t="shared" si="395"/>
        <v>#VALUE!</v>
      </c>
      <c r="T1743" s="1" t="e">
        <f t="shared" si="396"/>
        <v>#VALUE!</v>
      </c>
      <c r="U1743" s="26" t="e">
        <f t="shared" si="397"/>
        <v>#VALUE!</v>
      </c>
      <c r="V1743" s="26" t="e">
        <f t="shared" si="398"/>
        <v>#VALUE!</v>
      </c>
      <c r="W1743" s="1" t="e">
        <f t="shared" si="399"/>
        <v>#VALUE!</v>
      </c>
      <c r="X1743" s="26" t="e">
        <f t="shared" si="400"/>
        <v>#VALUE!</v>
      </c>
      <c r="Y1743" s="26" t="e">
        <f t="shared" si="401"/>
        <v>#VALUE!</v>
      </c>
      <c r="Z1743" s="1" t="e">
        <f t="shared" si="402"/>
        <v>#VALUE!</v>
      </c>
      <c r="AA1743"/>
      <c r="AB1743"/>
    </row>
    <row r="1744" spans="1:28" x14ac:dyDescent="0.55000000000000004">
      <c r="A1744" s="1">
        <f t="shared" si="389"/>
        <v>1744</v>
      </c>
      <c r="B1744" t="s">
        <v>31</v>
      </c>
      <c r="C1744" t="s">
        <v>114</v>
      </c>
      <c r="D1744" t="s">
        <v>133</v>
      </c>
      <c r="E1744" t="s">
        <v>163</v>
      </c>
      <c r="G1744" t="s">
        <v>138</v>
      </c>
      <c r="I1744" t="s">
        <v>144</v>
      </c>
      <c r="K1744" t="s">
        <v>140</v>
      </c>
      <c r="M1744" t="s">
        <v>47</v>
      </c>
      <c r="N1744" s="1" t="e">
        <f t="shared" si="390"/>
        <v>#VALUE!</v>
      </c>
      <c r="O1744" s="1" t="e">
        <f t="shared" si="391"/>
        <v>#VALUE!</v>
      </c>
      <c r="P1744" s="1" t="e">
        <f t="shared" si="392"/>
        <v>#VALUE!</v>
      </c>
      <c r="Q1744" s="1" t="e">
        <f t="shared" si="393"/>
        <v>#VALUE!</v>
      </c>
      <c r="R1744" s="1" t="e">
        <f t="shared" si="394"/>
        <v>#VALUE!</v>
      </c>
      <c r="S1744" s="1" t="e">
        <f t="shared" si="395"/>
        <v>#VALUE!</v>
      </c>
      <c r="T1744" s="1" t="e">
        <f t="shared" si="396"/>
        <v>#VALUE!</v>
      </c>
      <c r="U1744" s="26" t="e">
        <f t="shared" si="397"/>
        <v>#VALUE!</v>
      </c>
      <c r="V1744" s="26" t="e">
        <f t="shared" si="398"/>
        <v>#VALUE!</v>
      </c>
      <c r="W1744" s="1" t="e">
        <f t="shared" si="399"/>
        <v>#VALUE!</v>
      </c>
      <c r="X1744" s="26" t="e">
        <f t="shared" si="400"/>
        <v>#VALUE!</v>
      </c>
      <c r="Y1744" s="26" t="e">
        <f t="shared" si="401"/>
        <v>#VALUE!</v>
      </c>
      <c r="Z1744" s="1" t="e">
        <f t="shared" si="402"/>
        <v>#VALUE!</v>
      </c>
      <c r="AA1744"/>
      <c r="AB1744"/>
    </row>
    <row r="1745" spans="1:28" x14ac:dyDescent="0.55000000000000004">
      <c r="A1745" s="1">
        <f t="shared" si="389"/>
        <v>1745</v>
      </c>
      <c r="B1745" t="s">
        <v>31</v>
      </c>
      <c r="C1745" t="s">
        <v>114</v>
      </c>
      <c r="D1745" t="s">
        <v>133</v>
      </c>
      <c r="E1745" t="s">
        <v>163</v>
      </c>
      <c r="G1745" t="s">
        <v>139</v>
      </c>
      <c r="I1745" t="s">
        <v>136</v>
      </c>
      <c r="K1745" t="s">
        <v>143</v>
      </c>
      <c r="M1745" t="s">
        <v>47</v>
      </c>
      <c r="N1745" s="1" t="e">
        <f t="shared" si="390"/>
        <v>#VALUE!</v>
      </c>
      <c r="O1745" s="1" t="e">
        <f t="shared" si="391"/>
        <v>#VALUE!</v>
      </c>
      <c r="P1745" s="1" t="e">
        <f t="shared" si="392"/>
        <v>#VALUE!</v>
      </c>
      <c r="Q1745" s="1" t="e">
        <f t="shared" si="393"/>
        <v>#VALUE!</v>
      </c>
      <c r="R1745" s="1" t="e">
        <f t="shared" si="394"/>
        <v>#VALUE!</v>
      </c>
      <c r="S1745" s="1" t="e">
        <f t="shared" si="395"/>
        <v>#VALUE!</v>
      </c>
      <c r="T1745" s="1" t="e">
        <f t="shared" si="396"/>
        <v>#VALUE!</v>
      </c>
      <c r="U1745" s="26" t="e">
        <f t="shared" si="397"/>
        <v>#VALUE!</v>
      </c>
      <c r="V1745" s="26" t="e">
        <f t="shared" si="398"/>
        <v>#VALUE!</v>
      </c>
      <c r="W1745" s="1" t="e">
        <f t="shared" si="399"/>
        <v>#VALUE!</v>
      </c>
      <c r="X1745" s="26" t="e">
        <f t="shared" si="400"/>
        <v>#VALUE!</v>
      </c>
      <c r="Y1745" s="26" t="e">
        <f t="shared" si="401"/>
        <v>#VALUE!</v>
      </c>
      <c r="Z1745" s="1" t="e">
        <f t="shared" si="402"/>
        <v>#VALUE!</v>
      </c>
      <c r="AA1745"/>
      <c r="AB1745"/>
    </row>
    <row r="1746" spans="1:28" x14ac:dyDescent="0.55000000000000004">
      <c r="A1746" s="1">
        <f t="shared" si="389"/>
        <v>1746</v>
      </c>
      <c r="B1746" t="s">
        <v>31</v>
      </c>
      <c r="C1746" t="s">
        <v>114</v>
      </c>
      <c r="D1746" t="s">
        <v>133</v>
      </c>
      <c r="E1746" t="s">
        <v>163</v>
      </c>
      <c r="G1746" t="s">
        <v>145</v>
      </c>
      <c r="I1746" t="s">
        <v>151</v>
      </c>
      <c r="K1746" t="s">
        <v>155</v>
      </c>
      <c r="M1746" t="s">
        <v>47</v>
      </c>
      <c r="N1746" s="1" t="e">
        <f t="shared" si="390"/>
        <v>#VALUE!</v>
      </c>
      <c r="O1746" s="1" t="e">
        <f t="shared" si="391"/>
        <v>#VALUE!</v>
      </c>
      <c r="P1746" s="1" t="e">
        <f t="shared" si="392"/>
        <v>#VALUE!</v>
      </c>
      <c r="Q1746" s="1" t="e">
        <f t="shared" si="393"/>
        <v>#VALUE!</v>
      </c>
      <c r="R1746" s="1" t="e">
        <f t="shared" si="394"/>
        <v>#VALUE!</v>
      </c>
      <c r="S1746" s="1" t="e">
        <f t="shared" si="395"/>
        <v>#VALUE!</v>
      </c>
      <c r="T1746" s="1" t="e">
        <f t="shared" si="396"/>
        <v>#VALUE!</v>
      </c>
      <c r="U1746" s="26" t="e">
        <f t="shared" si="397"/>
        <v>#VALUE!</v>
      </c>
      <c r="V1746" s="26" t="e">
        <f t="shared" si="398"/>
        <v>#VALUE!</v>
      </c>
      <c r="W1746" s="1" t="e">
        <f t="shared" si="399"/>
        <v>#VALUE!</v>
      </c>
      <c r="X1746" s="26" t="e">
        <f t="shared" si="400"/>
        <v>#VALUE!</v>
      </c>
      <c r="Y1746" s="26" t="e">
        <f t="shared" si="401"/>
        <v>#VALUE!</v>
      </c>
      <c r="Z1746" s="1" t="e">
        <f t="shared" si="402"/>
        <v>#VALUE!</v>
      </c>
      <c r="AA1746"/>
      <c r="AB1746"/>
    </row>
    <row r="1747" spans="1:28" x14ac:dyDescent="0.55000000000000004">
      <c r="A1747" s="1">
        <f t="shared" si="389"/>
        <v>1747</v>
      </c>
      <c r="B1747" t="s">
        <v>30</v>
      </c>
      <c r="C1747" t="s">
        <v>76</v>
      </c>
      <c r="D1747" t="s">
        <v>42</v>
      </c>
      <c r="E1747" t="s">
        <v>77</v>
      </c>
      <c r="G1747" t="s">
        <v>52</v>
      </c>
      <c r="I1747" t="s">
        <v>44</v>
      </c>
      <c r="K1747" t="s">
        <v>71</v>
      </c>
      <c r="M1747" t="s">
        <v>47</v>
      </c>
      <c r="N1747" s="1" t="e">
        <f t="shared" si="390"/>
        <v>#VALUE!</v>
      </c>
      <c r="O1747" s="1" t="e">
        <f t="shared" si="391"/>
        <v>#VALUE!</v>
      </c>
      <c r="P1747" s="1" t="e">
        <f t="shared" si="392"/>
        <v>#VALUE!</v>
      </c>
      <c r="Q1747" s="1" t="e">
        <f t="shared" si="393"/>
        <v>#VALUE!</v>
      </c>
      <c r="R1747" s="1" t="e">
        <f t="shared" si="394"/>
        <v>#VALUE!</v>
      </c>
      <c r="S1747" s="1" t="e">
        <f t="shared" si="395"/>
        <v>#VALUE!</v>
      </c>
      <c r="T1747" s="1" t="e">
        <f t="shared" si="396"/>
        <v>#VALUE!</v>
      </c>
      <c r="U1747" s="26" t="e">
        <f t="shared" si="397"/>
        <v>#VALUE!</v>
      </c>
      <c r="V1747" s="26" t="e">
        <f t="shared" si="398"/>
        <v>#VALUE!</v>
      </c>
      <c r="W1747" s="1" t="e">
        <f t="shared" si="399"/>
        <v>#VALUE!</v>
      </c>
      <c r="X1747" s="26" t="e">
        <f t="shared" si="400"/>
        <v>#VALUE!</v>
      </c>
      <c r="Y1747" s="26" t="e">
        <f t="shared" si="401"/>
        <v>#VALUE!</v>
      </c>
      <c r="Z1747" s="1" t="e">
        <f t="shared" si="402"/>
        <v>#VALUE!</v>
      </c>
      <c r="AA1747"/>
      <c r="AB1747"/>
    </row>
    <row r="1748" spans="1:28" x14ac:dyDescent="0.55000000000000004">
      <c r="A1748" s="1">
        <f t="shared" si="389"/>
        <v>1748</v>
      </c>
      <c r="B1748" t="s">
        <v>30</v>
      </c>
      <c r="C1748" t="s">
        <v>76</v>
      </c>
      <c r="D1748" t="s">
        <v>42</v>
      </c>
      <c r="E1748" t="s">
        <v>77</v>
      </c>
      <c r="G1748" t="s">
        <v>55</v>
      </c>
      <c r="I1748" t="s">
        <v>45</v>
      </c>
      <c r="K1748" t="s">
        <v>75</v>
      </c>
      <c r="M1748" t="s">
        <v>47</v>
      </c>
      <c r="N1748" s="1" t="e">
        <f t="shared" si="390"/>
        <v>#VALUE!</v>
      </c>
      <c r="O1748" s="1" t="e">
        <f t="shared" si="391"/>
        <v>#VALUE!</v>
      </c>
      <c r="P1748" s="1" t="e">
        <f t="shared" si="392"/>
        <v>#VALUE!</v>
      </c>
      <c r="Q1748" s="1" t="e">
        <f t="shared" si="393"/>
        <v>#VALUE!</v>
      </c>
      <c r="R1748" s="1" t="e">
        <f t="shared" si="394"/>
        <v>#VALUE!</v>
      </c>
      <c r="S1748" s="1" t="e">
        <f t="shared" si="395"/>
        <v>#VALUE!</v>
      </c>
      <c r="T1748" s="1" t="e">
        <f t="shared" si="396"/>
        <v>#VALUE!</v>
      </c>
      <c r="U1748" s="26" t="e">
        <f t="shared" si="397"/>
        <v>#VALUE!</v>
      </c>
      <c r="V1748" s="26" t="e">
        <f t="shared" si="398"/>
        <v>#VALUE!</v>
      </c>
      <c r="W1748" s="1" t="e">
        <f t="shared" si="399"/>
        <v>#VALUE!</v>
      </c>
      <c r="X1748" s="26" t="e">
        <f t="shared" si="400"/>
        <v>#VALUE!</v>
      </c>
      <c r="Y1748" s="26" t="e">
        <f t="shared" si="401"/>
        <v>#VALUE!</v>
      </c>
      <c r="Z1748" s="1" t="e">
        <f t="shared" si="402"/>
        <v>#VALUE!</v>
      </c>
      <c r="AA1748"/>
      <c r="AB1748"/>
    </row>
    <row r="1749" spans="1:28" x14ac:dyDescent="0.55000000000000004">
      <c r="A1749" s="1">
        <f t="shared" si="389"/>
        <v>1749</v>
      </c>
      <c r="B1749" t="s">
        <v>30</v>
      </c>
      <c r="C1749" t="s">
        <v>76</v>
      </c>
      <c r="D1749" t="s">
        <v>42</v>
      </c>
      <c r="E1749" t="s">
        <v>77</v>
      </c>
      <c r="G1749" t="s">
        <v>67</v>
      </c>
      <c r="I1749" t="s">
        <v>64</v>
      </c>
      <c r="K1749" t="s">
        <v>73</v>
      </c>
      <c r="M1749" t="s">
        <v>47</v>
      </c>
      <c r="N1749" s="1" t="e">
        <f t="shared" si="390"/>
        <v>#VALUE!</v>
      </c>
      <c r="O1749" s="1" t="e">
        <f t="shared" si="391"/>
        <v>#VALUE!</v>
      </c>
      <c r="P1749" s="1" t="e">
        <f t="shared" si="392"/>
        <v>#VALUE!</v>
      </c>
      <c r="Q1749" s="1" t="e">
        <f t="shared" si="393"/>
        <v>#VALUE!</v>
      </c>
      <c r="R1749" s="1" t="e">
        <f t="shared" si="394"/>
        <v>#VALUE!</v>
      </c>
      <c r="S1749" s="1" t="e">
        <f t="shared" si="395"/>
        <v>#VALUE!</v>
      </c>
      <c r="T1749" s="1" t="e">
        <f t="shared" si="396"/>
        <v>#VALUE!</v>
      </c>
      <c r="U1749" s="26" t="e">
        <f t="shared" si="397"/>
        <v>#VALUE!</v>
      </c>
      <c r="V1749" s="26" t="e">
        <f t="shared" si="398"/>
        <v>#VALUE!</v>
      </c>
      <c r="W1749" s="1" t="e">
        <f t="shared" si="399"/>
        <v>#VALUE!</v>
      </c>
      <c r="X1749" s="26" t="e">
        <f t="shared" si="400"/>
        <v>#VALUE!</v>
      </c>
      <c r="Y1749" s="26" t="e">
        <f t="shared" si="401"/>
        <v>#VALUE!</v>
      </c>
      <c r="Z1749" s="1" t="e">
        <f t="shared" si="402"/>
        <v>#VALUE!</v>
      </c>
      <c r="AA1749"/>
      <c r="AB1749"/>
    </row>
    <row r="1750" spans="1:28" x14ac:dyDescent="0.55000000000000004">
      <c r="A1750" s="1">
        <f t="shared" si="389"/>
        <v>1750</v>
      </c>
      <c r="B1750" t="s">
        <v>30</v>
      </c>
      <c r="C1750" t="s">
        <v>76</v>
      </c>
      <c r="D1750" t="s">
        <v>42</v>
      </c>
      <c r="E1750" t="s">
        <v>77</v>
      </c>
      <c r="G1750" t="s">
        <v>61</v>
      </c>
      <c r="I1750" t="s">
        <v>63</v>
      </c>
      <c r="K1750" t="s">
        <v>62</v>
      </c>
      <c r="M1750" t="s">
        <v>47</v>
      </c>
      <c r="N1750" s="1" t="e">
        <f t="shared" si="390"/>
        <v>#VALUE!</v>
      </c>
      <c r="O1750" s="1" t="e">
        <f t="shared" si="391"/>
        <v>#VALUE!</v>
      </c>
      <c r="P1750" s="1" t="e">
        <f t="shared" si="392"/>
        <v>#VALUE!</v>
      </c>
      <c r="Q1750" s="1" t="e">
        <f t="shared" si="393"/>
        <v>#VALUE!</v>
      </c>
      <c r="R1750" s="1" t="e">
        <f t="shared" si="394"/>
        <v>#VALUE!</v>
      </c>
      <c r="S1750" s="1" t="e">
        <f t="shared" si="395"/>
        <v>#VALUE!</v>
      </c>
      <c r="T1750" s="1" t="e">
        <f t="shared" si="396"/>
        <v>#VALUE!</v>
      </c>
      <c r="U1750" s="26" t="e">
        <f t="shared" si="397"/>
        <v>#VALUE!</v>
      </c>
      <c r="V1750" s="26" t="e">
        <f t="shared" si="398"/>
        <v>#VALUE!</v>
      </c>
      <c r="W1750" s="1" t="e">
        <f t="shared" si="399"/>
        <v>#VALUE!</v>
      </c>
      <c r="X1750" s="26" t="e">
        <f t="shared" si="400"/>
        <v>#VALUE!</v>
      </c>
      <c r="Y1750" s="26" t="e">
        <f t="shared" si="401"/>
        <v>#VALUE!</v>
      </c>
      <c r="Z1750" s="1" t="e">
        <f t="shared" si="402"/>
        <v>#VALUE!</v>
      </c>
      <c r="AA1750"/>
      <c r="AB1750"/>
    </row>
    <row r="1751" spans="1:28" x14ac:dyDescent="0.55000000000000004">
      <c r="A1751" s="1">
        <f t="shared" si="389"/>
        <v>1751</v>
      </c>
      <c r="B1751" t="s">
        <v>30</v>
      </c>
      <c r="C1751" t="s">
        <v>76</v>
      </c>
      <c r="D1751" t="s">
        <v>42</v>
      </c>
      <c r="E1751" t="s">
        <v>77</v>
      </c>
      <c r="G1751" t="s">
        <v>54</v>
      </c>
      <c r="I1751" t="s">
        <v>51</v>
      </c>
      <c r="K1751" t="s">
        <v>56</v>
      </c>
      <c r="M1751" t="s">
        <v>47</v>
      </c>
      <c r="N1751" s="1" t="e">
        <f t="shared" si="390"/>
        <v>#VALUE!</v>
      </c>
      <c r="O1751" s="1" t="e">
        <f t="shared" si="391"/>
        <v>#VALUE!</v>
      </c>
      <c r="P1751" s="1" t="e">
        <f t="shared" si="392"/>
        <v>#VALUE!</v>
      </c>
      <c r="Q1751" s="1" t="e">
        <f t="shared" si="393"/>
        <v>#VALUE!</v>
      </c>
      <c r="R1751" s="1" t="e">
        <f t="shared" si="394"/>
        <v>#VALUE!</v>
      </c>
      <c r="S1751" s="1" t="e">
        <f t="shared" si="395"/>
        <v>#VALUE!</v>
      </c>
      <c r="T1751" s="1" t="e">
        <f t="shared" si="396"/>
        <v>#VALUE!</v>
      </c>
      <c r="U1751" s="26" t="e">
        <f t="shared" si="397"/>
        <v>#VALUE!</v>
      </c>
      <c r="V1751" s="26" t="e">
        <f t="shared" si="398"/>
        <v>#VALUE!</v>
      </c>
      <c r="W1751" s="1" t="e">
        <f t="shared" si="399"/>
        <v>#VALUE!</v>
      </c>
      <c r="X1751" s="26" t="e">
        <f t="shared" si="400"/>
        <v>#VALUE!</v>
      </c>
      <c r="Y1751" s="26" t="e">
        <f t="shared" si="401"/>
        <v>#VALUE!</v>
      </c>
      <c r="Z1751" s="1" t="e">
        <f t="shared" si="402"/>
        <v>#VALUE!</v>
      </c>
      <c r="AA1751"/>
      <c r="AB1751"/>
    </row>
    <row r="1752" spans="1:28" x14ac:dyDescent="0.55000000000000004">
      <c r="A1752" s="1">
        <f t="shared" si="389"/>
        <v>1752</v>
      </c>
      <c r="B1752" t="s">
        <v>30</v>
      </c>
      <c r="C1752" t="s">
        <v>76</v>
      </c>
      <c r="D1752" t="s">
        <v>42</v>
      </c>
      <c r="E1752" t="s">
        <v>77</v>
      </c>
      <c r="G1752" t="s">
        <v>48</v>
      </c>
      <c r="I1752" t="s">
        <v>57</v>
      </c>
      <c r="K1752" t="s">
        <v>50</v>
      </c>
      <c r="M1752" t="s">
        <v>47</v>
      </c>
      <c r="N1752" s="1" t="e">
        <f t="shared" si="390"/>
        <v>#VALUE!</v>
      </c>
      <c r="O1752" s="1" t="e">
        <f t="shared" si="391"/>
        <v>#VALUE!</v>
      </c>
      <c r="P1752" s="1" t="e">
        <f t="shared" si="392"/>
        <v>#VALUE!</v>
      </c>
      <c r="Q1752" s="1" t="e">
        <f t="shared" si="393"/>
        <v>#VALUE!</v>
      </c>
      <c r="R1752" s="1" t="e">
        <f t="shared" si="394"/>
        <v>#VALUE!</v>
      </c>
      <c r="S1752" s="1" t="e">
        <f t="shared" si="395"/>
        <v>#VALUE!</v>
      </c>
      <c r="T1752" s="1" t="e">
        <f t="shared" si="396"/>
        <v>#VALUE!</v>
      </c>
      <c r="U1752" s="26" t="e">
        <f t="shared" si="397"/>
        <v>#VALUE!</v>
      </c>
      <c r="V1752" s="26" t="e">
        <f t="shared" si="398"/>
        <v>#VALUE!</v>
      </c>
      <c r="W1752" s="1" t="e">
        <f t="shared" si="399"/>
        <v>#VALUE!</v>
      </c>
      <c r="X1752" s="26" t="e">
        <f t="shared" si="400"/>
        <v>#VALUE!</v>
      </c>
      <c r="Y1752" s="26" t="e">
        <f t="shared" si="401"/>
        <v>#VALUE!</v>
      </c>
      <c r="Z1752" s="1" t="e">
        <f t="shared" si="402"/>
        <v>#VALUE!</v>
      </c>
      <c r="AA1752"/>
      <c r="AB1752"/>
    </row>
    <row r="1753" spans="1:28" x14ac:dyDescent="0.55000000000000004">
      <c r="A1753" s="1">
        <f t="shared" si="389"/>
        <v>1753</v>
      </c>
      <c r="B1753" t="s">
        <v>30</v>
      </c>
      <c r="C1753" t="s">
        <v>76</v>
      </c>
      <c r="D1753" t="s">
        <v>42</v>
      </c>
      <c r="E1753" t="s">
        <v>77</v>
      </c>
      <c r="G1753" t="s">
        <v>66</v>
      </c>
      <c r="I1753" t="s">
        <v>58</v>
      </c>
      <c r="K1753" t="s">
        <v>68</v>
      </c>
      <c r="M1753" t="s">
        <v>47</v>
      </c>
      <c r="N1753" s="1" t="e">
        <f t="shared" si="390"/>
        <v>#VALUE!</v>
      </c>
      <c r="O1753" s="1" t="e">
        <f t="shared" si="391"/>
        <v>#VALUE!</v>
      </c>
      <c r="P1753" s="1" t="e">
        <f t="shared" si="392"/>
        <v>#VALUE!</v>
      </c>
      <c r="Q1753" s="1" t="e">
        <f t="shared" si="393"/>
        <v>#VALUE!</v>
      </c>
      <c r="R1753" s="1" t="e">
        <f t="shared" si="394"/>
        <v>#VALUE!</v>
      </c>
      <c r="S1753" s="1" t="e">
        <f t="shared" si="395"/>
        <v>#VALUE!</v>
      </c>
      <c r="T1753" s="1" t="e">
        <f t="shared" si="396"/>
        <v>#VALUE!</v>
      </c>
      <c r="U1753" s="26" t="e">
        <f t="shared" si="397"/>
        <v>#VALUE!</v>
      </c>
      <c r="V1753" s="26" t="e">
        <f t="shared" si="398"/>
        <v>#VALUE!</v>
      </c>
      <c r="W1753" s="1" t="e">
        <f t="shared" si="399"/>
        <v>#VALUE!</v>
      </c>
      <c r="X1753" s="26" t="e">
        <f t="shared" si="400"/>
        <v>#VALUE!</v>
      </c>
      <c r="Y1753" s="26" t="e">
        <f t="shared" si="401"/>
        <v>#VALUE!</v>
      </c>
      <c r="Z1753" s="1" t="e">
        <f t="shared" si="402"/>
        <v>#VALUE!</v>
      </c>
      <c r="AA1753"/>
      <c r="AB1753"/>
    </row>
    <row r="1754" spans="1:28" x14ac:dyDescent="0.55000000000000004">
      <c r="A1754" s="1">
        <f t="shared" si="389"/>
        <v>1754</v>
      </c>
      <c r="B1754" t="s">
        <v>30</v>
      </c>
      <c r="C1754" t="s">
        <v>76</v>
      </c>
      <c r="D1754" t="s">
        <v>42</v>
      </c>
      <c r="E1754" t="s">
        <v>77</v>
      </c>
      <c r="G1754" t="s">
        <v>49</v>
      </c>
      <c r="I1754" t="s">
        <v>60</v>
      </c>
      <c r="K1754" t="s">
        <v>72</v>
      </c>
      <c r="M1754" t="s">
        <v>47</v>
      </c>
      <c r="N1754" s="1" t="e">
        <f t="shared" si="390"/>
        <v>#VALUE!</v>
      </c>
      <c r="O1754" s="1" t="e">
        <f t="shared" si="391"/>
        <v>#VALUE!</v>
      </c>
      <c r="P1754" s="1" t="e">
        <f t="shared" si="392"/>
        <v>#VALUE!</v>
      </c>
      <c r="Q1754" s="1" t="e">
        <f t="shared" si="393"/>
        <v>#VALUE!</v>
      </c>
      <c r="R1754" s="1" t="e">
        <f t="shared" si="394"/>
        <v>#VALUE!</v>
      </c>
      <c r="S1754" s="1" t="e">
        <f t="shared" si="395"/>
        <v>#VALUE!</v>
      </c>
      <c r="T1754" s="1" t="e">
        <f t="shared" si="396"/>
        <v>#VALUE!</v>
      </c>
      <c r="U1754" s="26" t="e">
        <f t="shared" si="397"/>
        <v>#VALUE!</v>
      </c>
      <c r="V1754" s="26" t="e">
        <f t="shared" si="398"/>
        <v>#VALUE!</v>
      </c>
      <c r="W1754" s="1" t="e">
        <f t="shared" si="399"/>
        <v>#VALUE!</v>
      </c>
      <c r="X1754" s="26" t="e">
        <f t="shared" si="400"/>
        <v>#VALUE!</v>
      </c>
      <c r="Y1754" s="26" t="e">
        <f t="shared" si="401"/>
        <v>#VALUE!</v>
      </c>
      <c r="Z1754" s="1" t="e">
        <f t="shared" si="402"/>
        <v>#VALUE!</v>
      </c>
      <c r="AA1754"/>
      <c r="AB1754"/>
    </row>
    <row r="1755" spans="1:28" x14ac:dyDescent="0.55000000000000004">
      <c r="A1755" s="1">
        <f t="shared" si="389"/>
        <v>1755</v>
      </c>
      <c r="B1755" t="s">
        <v>34</v>
      </c>
      <c r="C1755" t="s">
        <v>116</v>
      </c>
      <c r="D1755" t="s">
        <v>42</v>
      </c>
      <c r="E1755" t="s">
        <v>77</v>
      </c>
      <c r="G1755" t="s">
        <v>90</v>
      </c>
      <c r="I1755" t="s">
        <v>93</v>
      </c>
      <c r="K1755" t="s">
        <v>108</v>
      </c>
      <c r="M1755" t="s">
        <v>47</v>
      </c>
      <c r="N1755" s="1" t="e">
        <f t="shared" si="390"/>
        <v>#VALUE!</v>
      </c>
      <c r="O1755" s="1" t="e">
        <f t="shared" si="391"/>
        <v>#VALUE!</v>
      </c>
      <c r="P1755" s="1" t="e">
        <f t="shared" si="392"/>
        <v>#VALUE!</v>
      </c>
      <c r="Q1755" s="1" t="e">
        <f t="shared" si="393"/>
        <v>#VALUE!</v>
      </c>
      <c r="R1755" s="1" t="e">
        <f t="shared" si="394"/>
        <v>#VALUE!</v>
      </c>
      <c r="S1755" s="1" t="e">
        <f t="shared" si="395"/>
        <v>#VALUE!</v>
      </c>
      <c r="T1755" s="1" t="e">
        <f t="shared" si="396"/>
        <v>#VALUE!</v>
      </c>
      <c r="U1755" s="26" t="e">
        <f t="shared" si="397"/>
        <v>#VALUE!</v>
      </c>
      <c r="V1755" s="26" t="e">
        <f t="shared" si="398"/>
        <v>#VALUE!</v>
      </c>
      <c r="W1755" s="1" t="e">
        <f t="shared" si="399"/>
        <v>#VALUE!</v>
      </c>
      <c r="X1755" s="26" t="e">
        <f t="shared" si="400"/>
        <v>#VALUE!</v>
      </c>
      <c r="Y1755" s="26" t="e">
        <f t="shared" si="401"/>
        <v>#VALUE!</v>
      </c>
      <c r="Z1755" s="1" t="e">
        <f t="shared" si="402"/>
        <v>#VALUE!</v>
      </c>
      <c r="AA1755"/>
      <c r="AB1755"/>
    </row>
    <row r="1756" spans="1:28" x14ac:dyDescent="0.55000000000000004">
      <c r="A1756" s="1">
        <f t="shared" si="389"/>
        <v>1756</v>
      </c>
      <c r="B1756" t="s">
        <v>34</v>
      </c>
      <c r="C1756" t="s">
        <v>116</v>
      </c>
      <c r="D1756" t="s">
        <v>42</v>
      </c>
      <c r="E1756" t="s">
        <v>77</v>
      </c>
      <c r="G1756" t="s">
        <v>102</v>
      </c>
      <c r="I1756" t="s">
        <v>98</v>
      </c>
      <c r="K1756" t="s">
        <v>106</v>
      </c>
      <c r="M1756" t="s">
        <v>47</v>
      </c>
      <c r="N1756" s="1" t="e">
        <f t="shared" si="390"/>
        <v>#VALUE!</v>
      </c>
      <c r="O1756" s="1" t="e">
        <f t="shared" si="391"/>
        <v>#VALUE!</v>
      </c>
      <c r="P1756" s="1" t="e">
        <f t="shared" si="392"/>
        <v>#VALUE!</v>
      </c>
      <c r="Q1756" s="1" t="e">
        <f t="shared" si="393"/>
        <v>#VALUE!</v>
      </c>
      <c r="R1756" s="1" t="e">
        <f t="shared" si="394"/>
        <v>#VALUE!</v>
      </c>
      <c r="S1756" s="1" t="e">
        <f t="shared" si="395"/>
        <v>#VALUE!</v>
      </c>
      <c r="T1756" s="1" t="e">
        <f t="shared" si="396"/>
        <v>#VALUE!</v>
      </c>
      <c r="U1756" s="26" t="e">
        <f t="shared" si="397"/>
        <v>#VALUE!</v>
      </c>
      <c r="V1756" s="26" t="e">
        <f t="shared" si="398"/>
        <v>#VALUE!</v>
      </c>
      <c r="W1756" s="1" t="e">
        <f t="shared" si="399"/>
        <v>#VALUE!</v>
      </c>
      <c r="X1756" s="26" t="e">
        <f t="shared" si="400"/>
        <v>#VALUE!</v>
      </c>
      <c r="Y1756" s="26" t="e">
        <f t="shared" si="401"/>
        <v>#VALUE!</v>
      </c>
      <c r="Z1756" s="1" t="e">
        <f t="shared" si="402"/>
        <v>#VALUE!</v>
      </c>
      <c r="AA1756"/>
      <c r="AB1756"/>
    </row>
    <row r="1757" spans="1:28" x14ac:dyDescent="0.55000000000000004">
      <c r="A1757" s="1">
        <f t="shared" si="389"/>
        <v>1757</v>
      </c>
      <c r="B1757" t="s">
        <v>34</v>
      </c>
      <c r="C1757" t="s">
        <v>116</v>
      </c>
      <c r="D1757" t="s">
        <v>42</v>
      </c>
      <c r="E1757" t="s">
        <v>77</v>
      </c>
      <c r="G1757" t="s">
        <v>99</v>
      </c>
      <c r="I1757" t="s">
        <v>87</v>
      </c>
      <c r="K1757" t="s">
        <v>107</v>
      </c>
      <c r="M1757" t="s">
        <v>47</v>
      </c>
      <c r="N1757" s="1" t="e">
        <f t="shared" si="390"/>
        <v>#VALUE!</v>
      </c>
      <c r="O1757" s="1" t="e">
        <f t="shared" si="391"/>
        <v>#VALUE!</v>
      </c>
      <c r="P1757" s="1" t="e">
        <f t="shared" si="392"/>
        <v>#VALUE!</v>
      </c>
      <c r="Q1757" s="1" t="e">
        <f t="shared" si="393"/>
        <v>#VALUE!</v>
      </c>
      <c r="R1757" s="1" t="e">
        <f t="shared" si="394"/>
        <v>#VALUE!</v>
      </c>
      <c r="S1757" s="1" t="e">
        <f t="shared" si="395"/>
        <v>#VALUE!</v>
      </c>
      <c r="T1757" s="1" t="e">
        <f t="shared" si="396"/>
        <v>#VALUE!</v>
      </c>
      <c r="U1757" s="26" t="e">
        <f t="shared" si="397"/>
        <v>#VALUE!</v>
      </c>
      <c r="V1757" s="26" t="e">
        <f t="shared" si="398"/>
        <v>#VALUE!</v>
      </c>
      <c r="W1757" s="1" t="e">
        <f t="shared" si="399"/>
        <v>#VALUE!</v>
      </c>
      <c r="X1757" s="26" t="e">
        <f t="shared" si="400"/>
        <v>#VALUE!</v>
      </c>
      <c r="Y1757" s="26" t="e">
        <f t="shared" si="401"/>
        <v>#VALUE!</v>
      </c>
      <c r="Z1757" s="1" t="e">
        <f t="shared" si="402"/>
        <v>#VALUE!</v>
      </c>
      <c r="AA1757"/>
      <c r="AB1757"/>
    </row>
    <row r="1758" spans="1:28" x14ac:dyDescent="0.55000000000000004">
      <c r="A1758" s="1">
        <f t="shared" si="389"/>
        <v>1758</v>
      </c>
      <c r="B1758" t="s">
        <v>34</v>
      </c>
      <c r="C1758" t="s">
        <v>116</v>
      </c>
      <c r="D1758" t="s">
        <v>42</v>
      </c>
      <c r="E1758" t="s">
        <v>77</v>
      </c>
      <c r="G1758" t="s">
        <v>95</v>
      </c>
      <c r="I1758" t="s">
        <v>101</v>
      </c>
      <c r="K1758" t="s">
        <v>97</v>
      </c>
      <c r="M1758" t="s">
        <v>47</v>
      </c>
      <c r="N1758" s="1" t="e">
        <f t="shared" si="390"/>
        <v>#VALUE!</v>
      </c>
      <c r="O1758" s="1" t="e">
        <f t="shared" si="391"/>
        <v>#VALUE!</v>
      </c>
      <c r="P1758" s="1" t="e">
        <f t="shared" si="392"/>
        <v>#VALUE!</v>
      </c>
      <c r="Q1758" s="1" t="e">
        <f t="shared" si="393"/>
        <v>#VALUE!</v>
      </c>
      <c r="R1758" s="1" t="e">
        <f t="shared" si="394"/>
        <v>#VALUE!</v>
      </c>
      <c r="S1758" s="1" t="e">
        <f t="shared" si="395"/>
        <v>#VALUE!</v>
      </c>
      <c r="T1758" s="1" t="e">
        <f t="shared" si="396"/>
        <v>#VALUE!</v>
      </c>
      <c r="U1758" s="26" t="e">
        <f t="shared" si="397"/>
        <v>#VALUE!</v>
      </c>
      <c r="V1758" s="26" t="e">
        <f t="shared" si="398"/>
        <v>#VALUE!</v>
      </c>
      <c r="W1758" s="1" t="e">
        <f t="shared" si="399"/>
        <v>#VALUE!</v>
      </c>
      <c r="X1758" s="26" t="e">
        <f t="shared" si="400"/>
        <v>#VALUE!</v>
      </c>
      <c r="Y1758" s="26" t="e">
        <f t="shared" si="401"/>
        <v>#VALUE!</v>
      </c>
      <c r="Z1758" s="1" t="e">
        <f t="shared" si="402"/>
        <v>#VALUE!</v>
      </c>
      <c r="AA1758"/>
      <c r="AB1758"/>
    </row>
    <row r="1759" spans="1:28" x14ac:dyDescent="0.55000000000000004">
      <c r="A1759" s="1">
        <f t="shared" si="389"/>
        <v>1759</v>
      </c>
      <c r="B1759" t="s">
        <v>34</v>
      </c>
      <c r="C1759" t="s">
        <v>116</v>
      </c>
      <c r="D1759" t="s">
        <v>42</v>
      </c>
      <c r="E1759" t="s">
        <v>77</v>
      </c>
      <c r="G1759" t="s">
        <v>96</v>
      </c>
      <c r="I1759" t="s">
        <v>86</v>
      </c>
      <c r="K1759" t="s">
        <v>110</v>
      </c>
      <c r="M1759" t="s">
        <v>47</v>
      </c>
      <c r="N1759" s="1" t="e">
        <f t="shared" si="390"/>
        <v>#VALUE!</v>
      </c>
      <c r="O1759" s="1" t="e">
        <f t="shared" si="391"/>
        <v>#VALUE!</v>
      </c>
      <c r="P1759" s="1" t="e">
        <f t="shared" si="392"/>
        <v>#VALUE!</v>
      </c>
      <c r="Q1759" s="1" t="e">
        <f t="shared" si="393"/>
        <v>#VALUE!</v>
      </c>
      <c r="R1759" s="1" t="e">
        <f t="shared" si="394"/>
        <v>#VALUE!</v>
      </c>
      <c r="S1759" s="1" t="e">
        <f t="shared" si="395"/>
        <v>#VALUE!</v>
      </c>
      <c r="T1759" s="1" t="e">
        <f t="shared" si="396"/>
        <v>#VALUE!</v>
      </c>
      <c r="U1759" s="26" t="e">
        <f t="shared" si="397"/>
        <v>#VALUE!</v>
      </c>
      <c r="V1759" s="26" t="e">
        <f t="shared" si="398"/>
        <v>#VALUE!</v>
      </c>
      <c r="W1759" s="1" t="e">
        <f t="shared" si="399"/>
        <v>#VALUE!</v>
      </c>
      <c r="X1759" s="26" t="e">
        <f t="shared" si="400"/>
        <v>#VALUE!</v>
      </c>
      <c r="Y1759" s="26" t="e">
        <f t="shared" si="401"/>
        <v>#VALUE!</v>
      </c>
      <c r="Z1759" s="1" t="e">
        <f t="shared" si="402"/>
        <v>#VALUE!</v>
      </c>
      <c r="AA1759"/>
      <c r="AB1759"/>
    </row>
    <row r="1760" spans="1:28" x14ac:dyDescent="0.55000000000000004">
      <c r="A1760" s="1">
        <f t="shared" si="389"/>
        <v>1760</v>
      </c>
      <c r="B1760" t="s">
        <v>34</v>
      </c>
      <c r="C1760" t="s">
        <v>116</v>
      </c>
      <c r="D1760" t="s">
        <v>42</v>
      </c>
      <c r="E1760" t="s">
        <v>77</v>
      </c>
      <c r="G1760" t="s">
        <v>92</v>
      </c>
      <c r="I1760" t="s">
        <v>89</v>
      </c>
      <c r="K1760" t="s">
        <v>94</v>
      </c>
      <c r="M1760" t="s">
        <v>47</v>
      </c>
      <c r="N1760" s="1" t="e">
        <f t="shared" si="390"/>
        <v>#VALUE!</v>
      </c>
      <c r="O1760" s="1" t="e">
        <f t="shared" si="391"/>
        <v>#VALUE!</v>
      </c>
      <c r="P1760" s="1" t="e">
        <f t="shared" si="392"/>
        <v>#VALUE!</v>
      </c>
      <c r="Q1760" s="1" t="e">
        <f t="shared" si="393"/>
        <v>#VALUE!</v>
      </c>
      <c r="R1760" s="1" t="e">
        <f t="shared" si="394"/>
        <v>#VALUE!</v>
      </c>
      <c r="S1760" s="1" t="e">
        <f t="shared" si="395"/>
        <v>#VALUE!</v>
      </c>
      <c r="T1760" s="1" t="e">
        <f t="shared" si="396"/>
        <v>#VALUE!</v>
      </c>
      <c r="U1760" s="26" t="e">
        <f t="shared" si="397"/>
        <v>#VALUE!</v>
      </c>
      <c r="V1760" s="26" t="e">
        <f t="shared" si="398"/>
        <v>#VALUE!</v>
      </c>
      <c r="W1760" s="1" t="e">
        <f t="shared" si="399"/>
        <v>#VALUE!</v>
      </c>
      <c r="X1760" s="26" t="e">
        <f t="shared" si="400"/>
        <v>#VALUE!</v>
      </c>
      <c r="Y1760" s="26" t="e">
        <f t="shared" si="401"/>
        <v>#VALUE!</v>
      </c>
      <c r="Z1760" s="1" t="e">
        <f t="shared" si="402"/>
        <v>#VALUE!</v>
      </c>
      <c r="AA1760"/>
      <c r="AB1760"/>
    </row>
    <row r="1761" spans="1:28" x14ac:dyDescent="0.55000000000000004">
      <c r="A1761" s="1">
        <f t="shared" si="389"/>
        <v>1761</v>
      </c>
      <c r="B1761" t="s">
        <v>35</v>
      </c>
      <c r="C1761" t="s">
        <v>69</v>
      </c>
      <c r="D1761" t="s">
        <v>42</v>
      </c>
      <c r="E1761" t="s">
        <v>77</v>
      </c>
      <c r="F1761" t="s">
        <v>357</v>
      </c>
      <c r="G1761" t="s">
        <v>306</v>
      </c>
      <c r="I1761" t="s">
        <v>303</v>
      </c>
      <c r="K1761" t="s">
        <v>308</v>
      </c>
      <c r="M1761" t="s">
        <v>47</v>
      </c>
      <c r="N1761" s="1" t="e">
        <f t="shared" si="390"/>
        <v>#VALUE!</v>
      </c>
      <c r="O1761" s="1" t="e">
        <f t="shared" si="391"/>
        <v>#VALUE!</v>
      </c>
      <c r="P1761" s="1" t="e">
        <f t="shared" si="392"/>
        <v>#VALUE!</v>
      </c>
      <c r="Q1761" s="1" t="e">
        <f t="shared" si="393"/>
        <v>#VALUE!</v>
      </c>
      <c r="R1761" s="1" t="e">
        <f t="shared" si="394"/>
        <v>#VALUE!</v>
      </c>
      <c r="S1761" s="1" t="e">
        <f t="shared" si="395"/>
        <v>#VALUE!</v>
      </c>
      <c r="T1761" s="1" t="e">
        <f t="shared" si="396"/>
        <v>#VALUE!</v>
      </c>
      <c r="U1761" s="26" t="e">
        <f t="shared" si="397"/>
        <v>#VALUE!</v>
      </c>
      <c r="V1761" s="26" t="e">
        <f t="shared" si="398"/>
        <v>#VALUE!</v>
      </c>
      <c r="W1761" s="1" t="e">
        <f t="shared" si="399"/>
        <v>#VALUE!</v>
      </c>
      <c r="X1761" s="26" t="e">
        <f t="shared" si="400"/>
        <v>#VALUE!</v>
      </c>
      <c r="Y1761" s="26" t="e">
        <f t="shared" si="401"/>
        <v>#VALUE!</v>
      </c>
      <c r="Z1761" s="1" t="e">
        <f t="shared" si="402"/>
        <v>#VALUE!</v>
      </c>
      <c r="AA1761"/>
      <c r="AB1761"/>
    </row>
    <row r="1762" spans="1:28" x14ac:dyDescent="0.55000000000000004">
      <c r="A1762" s="1">
        <f t="shared" si="389"/>
        <v>1762</v>
      </c>
      <c r="B1762" t="s">
        <v>35</v>
      </c>
      <c r="C1762" t="s">
        <v>69</v>
      </c>
      <c r="D1762" t="s">
        <v>42</v>
      </c>
      <c r="E1762" t="s">
        <v>77</v>
      </c>
      <c r="F1762" t="s">
        <v>357</v>
      </c>
      <c r="G1762" t="s">
        <v>307</v>
      </c>
      <c r="I1762" t="s">
        <v>207</v>
      </c>
      <c r="K1762" t="s">
        <v>379</v>
      </c>
      <c r="M1762" t="s">
        <v>47</v>
      </c>
      <c r="N1762" s="1" t="e">
        <f t="shared" si="390"/>
        <v>#VALUE!</v>
      </c>
      <c r="O1762" s="1" t="e">
        <f t="shared" si="391"/>
        <v>#VALUE!</v>
      </c>
      <c r="P1762" s="1" t="e">
        <f t="shared" si="392"/>
        <v>#VALUE!</v>
      </c>
      <c r="Q1762" s="1" t="e">
        <f t="shared" si="393"/>
        <v>#VALUE!</v>
      </c>
      <c r="R1762" s="1" t="e">
        <f t="shared" si="394"/>
        <v>#VALUE!</v>
      </c>
      <c r="S1762" s="1" t="e">
        <f t="shared" si="395"/>
        <v>#VALUE!</v>
      </c>
      <c r="T1762" s="1" t="e">
        <f t="shared" si="396"/>
        <v>#VALUE!</v>
      </c>
      <c r="U1762" s="26" t="e">
        <f t="shared" si="397"/>
        <v>#VALUE!</v>
      </c>
      <c r="V1762" s="26" t="e">
        <f t="shared" si="398"/>
        <v>#VALUE!</v>
      </c>
      <c r="W1762" s="1" t="e">
        <f t="shared" si="399"/>
        <v>#VALUE!</v>
      </c>
      <c r="X1762" s="26" t="e">
        <f t="shared" si="400"/>
        <v>#VALUE!</v>
      </c>
      <c r="Y1762" s="26" t="e">
        <f t="shared" si="401"/>
        <v>#VALUE!</v>
      </c>
      <c r="Z1762" s="1" t="e">
        <f t="shared" si="402"/>
        <v>#VALUE!</v>
      </c>
      <c r="AA1762"/>
      <c r="AB1762"/>
    </row>
    <row r="1763" spans="1:28" x14ac:dyDescent="0.55000000000000004">
      <c r="A1763" s="1">
        <f t="shared" si="389"/>
        <v>1763</v>
      </c>
      <c r="B1763" t="s">
        <v>35</v>
      </c>
      <c r="C1763" t="s">
        <v>69</v>
      </c>
      <c r="D1763" t="s">
        <v>42</v>
      </c>
      <c r="E1763" t="s">
        <v>77</v>
      </c>
      <c r="F1763" t="s">
        <v>357</v>
      </c>
      <c r="G1763" t="s">
        <v>204</v>
      </c>
      <c r="I1763" t="s">
        <v>208</v>
      </c>
      <c r="K1763" t="s">
        <v>206</v>
      </c>
      <c r="M1763" t="s">
        <v>47</v>
      </c>
      <c r="N1763" s="1" t="e">
        <f t="shared" si="390"/>
        <v>#VALUE!</v>
      </c>
      <c r="O1763" s="1" t="e">
        <f t="shared" si="391"/>
        <v>#VALUE!</v>
      </c>
      <c r="P1763" s="1" t="e">
        <f t="shared" si="392"/>
        <v>#VALUE!</v>
      </c>
      <c r="Q1763" s="1" t="e">
        <f t="shared" si="393"/>
        <v>#VALUE!</v>
      </c>
      <c r="R1763" s="1" t="e">
        <f t="shared" si="394"/>
        <v>#VALUE!</v>
      </c>
      <c r="S1763" s="1" t="e">
        <f t="shared" si="395"/>
        <v>#VALUE!</v>
      </c>
      <c r="T1763" s="1" t="e">
        <f t="shared" si="396"/>
        <v>#VALUE!</v>
      </c>
      <c r="U1763" s="26" t="e">
        <f t="shared" si="397"/>
        <v>#VALUE!</v>
      </c>
      <c r="V1763" s="26" t="e">
        <f t="shared" si="398"/>
        <v>#VALUE!</v>
      </c>
      <c r="W1763" s="1" t="e">
        <f t="shared" si="399"/>
        <v>#VALUE!</v>
      </c>
      <c r="X1763" s="26" t="e">
        <f t="shared" si="400"/>
        <v>#VALUE!</v>
      </c>
      <c r="Y1763" s="26" t="e">
        <f t="shared" si="401"/>
        <v>#VALUE!</v>
      </c>
      <c r="Z1763" s="1" t="e">
        <f t="shared" si="402"/>
        <v>#VALUE!</v>
      </c>
      <c r="AA1763"/>
      <c r="AB1763"/>
    </row>
    <row r="1764" spans="1:28" x14ac:dyDescent="0.55000000000000004">
      <c r="A1764" s="1">
        <f t="shared" si="389"/>
        <v>1764</v>
      </c>
      <c r="B1764" t="s">
        <v>35</v>
      </c>
      <c r="C1764" t="s">
        <v>69</v>
      </c>
      <c r="D1764" t="s">
        <v>42</v>
      </c>
      <c r="E1764" t="s">
        <v>77</v>
      </c>
      <c r="F1764" t="s">
        <v>357</v>
      </c>
      <c r="G1764" t="s">
        <v>213</v>
      </c>
      <c r="I1764" t="s">
        <v>377</v>
      </c>
      <c r="K1764" t="s">
        <v>215</v>
      </c>
      <c r="M1764" t="s">
        <v>47</v>
      </c>
      <c r="N1764" s="1" t="e">
        <f t="shared" si="390"/>
        <v>#VALUE!</v>
      </c>
      <c r="O1764" s="1" t="e">
        <f t="shared" si="391"/>
        <v>#VALUE!</v>
      </c>
      <c r="P1764" s="1" t="e">
        <f t="shared" si="392"/>
        <v>#VALUE!</v>
      </c>
      <c r="Q1764" s="1" t="e">
        <f t="shared" si="393"/>
        <v>#VALUE!</v>
      </c>
      <c r="R1764" s="1" t="e">
        <f t="shared" si="394"/>
        <v>#VALUE!</v>
      </c>
      <c r="S1764" s="1" t="e">
        <f t="shared" si="395"/>
        <v>#VALUE!</v>
      </c>
      <c r="T1764" s="1" t="e">
        <f t="shared" si="396"/>
        <v>#VALUE!</v>
      </c>
      <c r="U1764" s="26" t="e">
        <f t="shared" si="397"/>
        <v>#VALUE!</v>
      </c>
      <c r="V1764" s="26" t="e">
        <f t="shared" si="398"/>
        <v>#VALUE!</v>
      </c>
      <c r="W1764" s="1" t="e">
        <f t="shared" si="399"/>
        <v>#VALUE!</v>
      </c>
      <c r="X1764" s="26" t="e">
        <f t="shared" si="400"/>
        <v>#VALUE!</v>
      </c>
      <c r="Y1764" s="26" t="e">
        <f t="shared" si="401"/>
        <v>#VALUE!</v>
      </c>
      <c r="Z1764" s="1" t="e">
        <f t="shared" si="402"/>
        <v>#VALUE!</v>
      </c>
      <c r="AA1764"/>
      <c r="AB1764"/>
    </row>
    <row r="1765" spans="1:28" x14ac:dyDescent="0.55000000000000004">
      <c r="A1765" s="1">
        <f t="shared" si="389"/>
        <v>1765</v>
      </c>
      <c r="B1765" t="s">
        <v>35</v>
      </c>
      <c r="C1765" t="s">
        <v>69</v>
      </c>
      <c r="D1765" t="s">
        <v>42</v>
      </c>
      <c r="E1765" t="s">
        <v>77</v>
      </c>
      <c r="F1765" t="s">
        <v>357</v>
      </c>
      <c r="G1765" t="s">
        <v>384</v>
      </c>
      <c r="I1765" t="s">
        <v>383</v>
      </c>
      <c r="K1765" t="s">
        <v>385</v>
      </c>
      <c r="M1765" t="s">
        <v>47</v>
      </c>
      <c r="N1765" s="1" t="e">
        <f t="shared" si="390"/>
        <v>#VALUE!</v>
      </c>
      <c r="O1765" s="1" t="e">
        <f t="shared" si="391"/>
        <v>#VALUE!</v>
      </c>
      <c r="P1765" s="1" t="e">
        <f t="shared" si="392"/>
        <v>#VALUE!</v>
      </c>
      <c r="Q1765" s="1" t="e">
        <f t="shared" si="393"/>
        <v>#VALUE!</v>
      </c>
      <c r="R1765" s="1" t="e">
        <f t="shared" si="394"/>
        <v>#VALUE!</v>
      </c>
      <c r="S1765" s="1" t="e">
        <f t="shared" si="395"/>
        <v>#VALUE!</v>
      </c>
      <c r="T1765" s="1" t="e">
        <f t="shared" si="396"/>
        <v>#VALUE!</v>
      </c>
      <c r="U1765" s="26" t="e">
        <f t="shared" si="397"/>
        <v>#VALUE!</v>
      </c>
      <c r="V1765" s="26" t="e">
        <f t="shared" si="398"/>
        <v>#VALUE!</v>
      </c>
      <c r="W1765" s="1" t="e">
        <f t="shared" si="399"/>
        <v>#VALUE!</v>
      </c>
      <c r="X1765" s="26" t="e">
        <f t="shared" si="400"/>
        <v>#VALUE!</v>
      </c>
      <c r="Y1765" s="26" t="e">
        <f t="shared" si="401"/>
        <v>#VALUE!</v>
      </c>
      <c r="Z1765" s="1" t="e">
        <f t="shared" si="402"/>
        <v>#VALUE!</v>
      </c>
      <c r="AA1765"/>
      <c r="AB1765"/>
    </row>
    <row r="1766" spans="1:28" x14ac:dyDescent="0.55000000000000004">
      <c r="A1766" s="1">
        <f t="shared" si="389"/>
        <v>1766</v>
      </c>
      <c r="B1766" t="s">
        <v>35</v>
      </c>
      <c r="C1766" t="s">
        <v>69</v>
      </c>
      <c r="D1766" t="s">
        <v>42</v>
      </c>
      <c r="E1766" t="s">
        <v>77</v>
      </c>
      <c r="F1766" t="s">
        <v>357</v>
      </c>
      <c r="G1766" t="s">
        <v>211</v>
      </c>
      <c r="I1766" t="s">
        <v>210</v>
      </c>
      <c r="K1766" t="s">
        <v>309</v>
      </c>
      <c r="M1766" t="s">
        <v>47</v>
      </c>
      <c r="N1766" s="1" t="e">
        <f t="shared" si="390"/>
        <v>#VALUE!</v>
      </c>
      <c r="O1766" s="1" t="e">
        <f t="shared" si="391"/>
        <v>#VALUE!</v>
      </c>
      <c r="P1766" s="1" t="e">
        <f t="shared" si="392"/>
        <v>#VALUE!</v>
      </c>
      <c r="Q1766" s="1" t="e">
        <f t="shared" si="393"/>
        <v>#VALUE!</v>
      </c>
      <c r="R1766" s="1" t="e">
        <f t="shared" si="394"/>
        <v>#VALUE!</v>
      </c>
      <c r="S1766" s="1" t="e">
        <f t="shared" si="395"/>
        <v>#VALUE!</v>
      </c>
      <c r="T1766" s="1" t="e">
        <f t="shared" si="396"/>
        <v>#VALUE!</v>
      </c>
      <c r="U1766" s="26" t="e">
        <f t="shared" si="397"/>
        <v>#VALUE!</v>
      </c>
      <c r="V1766" s="26" t="e">
        <f t="shared" si="398"/>
        <v>#VALUE!</v>
      </c>
      <c r="W1766" s="1" t="e">
        <f t="shared" si="399"/>
        <v>#VALUE!</v>
      </c>
      <c r="X1766" s="26" t="e">
        <f t="shared" si="400"/>
        <v>#VALUE!</v>
      </c>
      <c r="Y1766" s="26" t="e">
        <f t="shared" si="401"/>
        <v>#VALUE!</v>
      </c>
      <c r="Z1766" s="1" t="e">
        <f t="shared" si="402"/>
        <v>#VALUE!</v>
      </c>
      <c r="AA1766"/>
      <c r="AB1766"/>
    </row>
    <row r="1767" spans="1:28" x14ac:dyDescent="0.55000000000000004">
      <c r="A1767" s="1">
        <f t="shared" si="389"/>
        <v>1767</v>
      </c>
      <c r="B1767" t="s">
        <v>35</v>
      </c>
      <c r="C1767" t="s">
        <v>69</v>
      </c>
      <c r="D1767" t="s">
        <v>42</v>
      </c>
      <c r="E1767" t="s">
        <v>77</v>
      </c>
      <c r="F1767" t="s">
        <v>357</v>
      </c>
      <c r="G1767" t="s">
        <v>304</v>
      </c>
      <c r="I1767" t="s">
        <v>205</v>
      </c>
      <c r="K1767" t="s">
        <v>382</v>
      </c>
      <c r="M1767" t="s">
        <v>47</v>
      </c>
      <c r="N1767" s="1" t="e">
        <f t="shared" si="390"/>
        <v>#VALUE!</v>
      </c>
      <c r="O1767" s="1" t="e">
        <f t="shared" si="391"/>
        <v>#VALUE!</v>
      </c>
      <c r="P1767" s="1" t="e">
        <f t="shared" si="392"/>
        <v>#VALUE!</v>
      </c>
      <c r="Q1767" s="1" t="e">
        <f t="shared" si="393"/>
        <v>#VALUE!</v>
      </c>
      <c r="R1767" s="1" t="e">
        <f t="shared" si="394"/>
        <v>#VALUE!</v>
      </c>
      <c r="S1767" s="1" t="e">
        <f t="shared" si="395"/>
        <v>#VALUE!</v>
      </c>
      <c r="T1767" s="1" t="e">
        <f t="shared" si="396"/>
        <v>#VALUE!</v>
      </c>
      <c r="U1767" s="26" t="e">
        <f t="shared" si="397"/>
        <v>#VALUE!</v>
      </c>
      <c r="V1767" s="26" t="e">
        <f t="shared" si="398"/>
        <v>#VALUE!</v>
      </c>
      <c r="W1767" s="1" t="e">
        <f t="shared" si="399"/>
        <v>#VALUE!</v>
      </c>
      <c r="X1767" s="26" t="e">
        <f t="shared" si="400"/>
        <v>#VALUE!</v>
      </c>
      <c r="Y1767" s="26" t="e">
        <f t="shared" si="401"/>
        <v>#VALUE!</v>
      </c>
      <c r="Z1767" s="1" t="e">
        <f t="shared" si="402"/>
        <v>#VALUE!</v>
      </c>
      <c r="AA1767"/>
      <c r="AB1767"/>
    </row>
    <row r="1768" spans="1:28" x14ac:dyDescent="0.55000000000000004">
      <c r="A1768" s="1">
        <f t="shared" si="389"/>
        <v>1768</v>
      </c>
      <c r="B1768" t="s">
        <v>35</v>
      </c>
      <c r="C1768" t="s">
        <v>69</v>
      </c>
      <c r="D1768" t="s">
        <v>42</v>
      </c>
      <c r="E1768" t="s">
        <v>77</v>
      </c>
      <c r="F1768" t="s">
        <v>357</v>
      </c>
      <c r="G1768" t="s">
        <v>214</v>
      </c>
      <c r="I1768" t="s">
        <v>386</v>
      </c>
      <c r="K1768" t="s">
        <v>301</v>
      </c>
      <c r="M1768" t="s">
        <v>47</v>
      </c>
      <c r="N1768" s="1" t="e">
        <f t="shared" si="390"/>
        <v>#VALUE!</v>
      </c>
      <c r="O1768" s="1" t="e">
        <f t="shared" si="391"/>
        <v>#VALUE!</v>
      </c>
      <c r="P1768" s="1" t="e">
        <f t="shared" si="392"/>
        <v>#VALUE!</v>
      </c>
      <c r="Q1768" s="1" t="e">
        <f t="shared" si="393"/>
        <v>#VALUE!</v>
      </c>
      <c r="R1768" s="1" t="e">
        <f t="shared" si="394"/>
        <v>#VALUE!</v>
      </c>
      <c r="S1768" s="1" t="e">
        <f t="shared" si="395"/>
        <v>#VALUE!</v>
      </c>
      <c r="T1768" s="1" t="e">
        <f t="shared" si="396"/>
        <v>#VALUE!</v>
      </c>
      <c r="U1768" s="26" t="e">
        <f t="shared" si="397"/>
        <v>#VALUE!</v>
      </c>
      <c r="V1768" s="26" t="e">
        <f t="shared" si="398"/>
        <v>#VALUE!</v>
      </c>
      <c r="W1768" s="1" t="e">
        <f t="shared" si="399"/>
        <v>#VALUE!</v>
      </c>
      <c r="X1768" s="26" t="e">
        <f t="shared" si="400"/>
        <v>#VALUE!</v>
      </c>
      <c r="Y1768" s="26" t="e">
        <f t="shared" si="401"/>
        <v>#VALUE!</v>
      </c>
      <c r="Z1768" s="1" t="e">
        <f t="shared" si="402"/>
        <v>#VALUE!</v>
      </c>
      <c r="AA1768"/>
      <c r="AB1768"/>
    </row>
    <row r="1769" spans="1:28" x14ac:dyDescent="0.55000000000000004">
      <c r="A1769" s="1">
        <f t="shared" si="389"/>
        <v>1769</v>
      </c>
      <c r="B1769" t="s">
        <v>31</v>
      </c>
      <c r="C1769" t="s">
        <v>115</v>
      </c>
      <c r="D1769" t="s">
        <v>174</v>
      </c>
      <c r="E1769" t="s">
        <v>175</v>
      </c>
      <c r="G1769" t="s">
        <v>141</v>
      </c>
      <c r="I1769" t="s">
        <v>145</v>
      </c>
      <c r="K1769" t="s">
        <v>143</v>
      </c>
      <c r="M1769" t="s">
        <v>47</v>
      </c>
      <c r="N1769" s="1" t="e">
        <f t="shared" si="390"/>
        <v>#VALUE!</v>
      </c>
      <c r="O1769" s="1" t="e">
        <f t="shared" si="391"/>
        <v>#VALUE!</v>
      </c>
      <c r="P1769" s="1" t="e">
        <f t="shared" si="392"/>
        <v>#VALUE!</v>
      </c>
      <c r="Q1769" s="1" t="e">
        <f t="shared" si="393"/>
        <v>#VALUE!</v>
      </c>
      <c r="R1769" s="1" t="e">
        <f t="shared" si="394"/>
        <v>#VALUE!</v>
      </c>
      <c r="S1769" s="1" t="e">
        <f t="shared" si="395"/>
        <v>#VALUE!</v>
      </c>
      <c r="T1769" s="1" t="e">
        <f t="shared" si="396"/>
        <v>#VALUE!</v>
      </c>
      <c r="U1769" s="26" t="e">
        <f t="shared" si="397"/>
        <v>#VALUE!</v>
      </c>
      <c r="V1769" s="26" t="e">
        <f t="shared" si="398"/>
        <v>#VALUE!</v>
      </c>
      <c r="W1769" s="1" t="e">
        <f t="shared" si="399"/>
        <v>#VALUE!</v>
      </c>
      <c r="X1769" s="26" t="e">
        <f t="shared" si="400"/>
        <v>#VALUE!</v>
      </c>
      <c r="Y1769" s="26" t="e">
        <f t="shared" si="401"/>
        <v>#VALUE!</v>
      </c>
      <c r="Z1769" s="1" t="e">
        <f t="shared" si="402"/>
        <v>#VALUE!</v>
      </c>
      <c r="AA1769"/>
      <c r="AB1769"/>
    </row>
    <row r="1770" spans="1:28" x14ac:dyDescent="0.55000000000000004">
      <c r="A1770" s="1">
        <f t="shared" si="389"/>
        <v>1770</v>
      </c>
      <c r="B1770" t="s">
        <v>31</v>
      </c>
      <c r="C1770" t="s">
        <v>115</v>
      </c>
      <c r="D1770" t="s">
        <v>174</v>
      </c>
      <c r="E1770" t="s">
        <v>175</v>
      </c>
      <c r="G1770" t="s">
        <v>151</v>
      </c>
      <c r="I1770" t="s">
        <v>139</v>
      </c>
      <c r="K1770" t="s">
        <v>156</v>
      </c>
      <c r="M1770" t="s">
        <v>47</v>
      </c>
      <c r="N1770" s="1" t="e">
        <f t="shared" si="390"/>
        <v>#VALUE!</v>
      </c>
      <c r="O1770" s="1" t="e">
        <f t="shared" si="391"/>
        <v>#VALUE!</v>
      </c>
      <c r="P1770" s="1" t="e">
        <f t="shared" si="392"/>
        <v>#VALUE!</v>
      </c>
      <c r="Q1770" s="1" t="e">
        <f t="shared" si="393"/>
        <v>#VALUE!</v>
      </c>
      <c r="R1770" s="1" t="e">
        <f t="shared" si="394"/>
        <v>#VALUE!</v>
      </c>
      <c r="S1770" s="1" t="e">
        <f t="shared" si="395"/>
        <v>#VALUE!</v>
      </c>
      <c r="T1770" s="1" t="e">
        <f t="shared" si="396"/>
        <v>#VALUE!</v>
      </c>
      <c r="U1770" s="26" t="e">
        <f t="shared" si="397"/>
        <v>#VALUE!</v>
      </c>
      <c r="V1770" s="26" t="e">
        <f t="shared" si="398"/>
        <v>#VALUE!</v>
      </c>
      <c r="W1770" s="1" t="e">
        <f t="shared" si="399"/>
        <v>#VALUE!</v>
      </c>
      <c r="X1770" s="26" t="e">
        <f t="shared" si="400"/>
        <v>#VALUE!</v>
      </c>
      <c r="Y1770" s="26" t="e">
        <f t="shared" si="401"/>
        <v>#VALUE!</v>
      </c>
      <c r="Z1770" s="1" t="e">
        <f t="shared" si="402"/>
        <v>#VALUE!</v>
      </c>
      <c r="AA1770"/>
      <c r="AB1770"/>
    </row>
    <row r="1771" spans="1:28" x14ac:dyDescent="0.55000000000000004">
      <c r="A1771" s="1">
        <f t="shared" si="389"/>
        <v>1771</v>
      </c>
      <c r="B1771" t="s">
        <v>31</v>
      </c>
      <c r="C1771" t="s">
        <v>115</v>
      </c>
      <c r="D1771" t="s">
        <v>174</v>
      </c>
      <c r="E1771" t="s">
        <v>175</v>
      </c>
      <c r="G1771" t="s">
        <v>135</v>
      </c>
      <c r="I1771" t="s">
        <v>150</v>
      </c>
      <c r="K1771" t="s">
        <v>137</v>
      </c>
      <c r="M1771" t="s">
        <v>47</v>
      </c>
      <c r="N1771" s="1" t="e">
        <f t="shared" si="390"/>
        <v>#VALUE!</v>
      </c>
      <c r="O1771" s="1" t="e">
        <f t="shared" si="391"/>
        <v>#VALUE!</v>
      </c>
      <c r="P1771" s="1" t="e">
        <f t="shared" si="392"/>
        <v>#VALUE!</v>
      </c>
      <c r="Q1771" s="1" t="e">
        <f t="shared" si="393"/>
        <v>#VALUE!</v>
      </c>
      <c r="R1771" s="1" t="e">
        <f t="shared" si="394"/>
        <v>#VALUE!</v>
      </c>
      <c r="S1771" s="1" t="e">
        <f t="shared" si="395"/>
        <v>#VALUE!</v>
      </c>
      <c r="T1771" s="1" t="e">
        <f t="shared" si="396"/>
        <v>#VALUE!</v>
      </c>
      <c r="U1771" s="26" t="e">
        <f t="shared" si="397"/>
        <v>#VALUE!</v>
      </c>
      <c r="V1771" s="26" t="e">
        <f t="shared" si="398"/>
        <v>#VALUE!</v>
      </c>
      <c r="W1771" s="1" t="e">
        <f t="shared" si="399"/>
        <v>#VALUE!</v>
      </c>
      <c r="X1771" s="26" t="e">
        <f t="shared" si="400"/>
        <v>#VALUE!</v>
      </c>
      <c r="Y1771" s="26" t="e">
        <f t="shared" si="401"/>
        <v>#VALUE!</v>
      </c>
      <c r="Z1771" s="1" t="e">
        <f t="shared" si="402"/>
        <v>#VALUE!</v>
      </c>
      <c r="AA1771"/>
      <c r="AB1771"/>
    </row>
    <row r="1772" spans="1:28" x14ac:dyDescent="0.55000000000000004">
      <c r="A1772" s="1">
        <f t="shared" si="389"/>
        <v>1772</v>
      </c>
      <c r="B1772" t="s">
        <v>31</v>
      </c>
      <c r="C1772" t="s">
        <v>115</v>
      </c>
      <c r="D1772" t="s">
        <v>174</v>
      </c>
      <c r="E1772" t="s">
        <v>175</v>
      </c>
      <c r="G1772" t="s">
        <v>144</v>
      </c>
      <c r="I1772" t="s">
        <v>142</v>
      </c>
      <c r="K1772" t="s">
        <v>146</v>
      </c>
      <c r="M1772" t="s">
        <v>47</v>
      </c>
      <c r="N1772" s="1" t="e">
        <f t="shared" si="390"/>
        <v>#VALUE!</v>
      </c>
      <c r="O1772" s="1" t="e">
        <f t="shared" si="391"/>
        <v>#VALUE!</v>
      </c>
      <c r="P1772" s="1" t="e">
        <f t="shared" si="392"/>
        <v>#VALUE!</v>
      </c>
      <c r="Q1772" s="1" t="e">
        <f t="shared" si="393"/>
        <v>#VALUE!</v>
      </c>
      <c r="R1772" s="1" t="e">
        <f t="shared" si="394"/>
        <v>#VALUE!</v>
      </c>
      <c r="S1772" s="1" t="e">
        <f t="shared" si="395"/>
        <v>#VALUE!</v>
      </c>
      <c r="T1772" s="1" t="e">
        <f t="shared" si="396"/>
        <v>#VALUE!</v>
      </c>
      <c r="U1772" s="26" t="e">
        <f t="shared" si="397"/>
        <v>#VALUE!</v>
      </c>
      <c r="V1772" s="26" t="e">
        <f t="shared" si="398"/>
        <v>#VALUE!</v>
      </c>
      <c r="W1772" s="1" t="e">
        <f t="shared" si="399"/>
        <v>#VALUE!</v>
      </c>
      <c r="X1772" s="26" t="e">
        <f t="shared" si="400"/>
        <v>#VALUE!</v>
      </c>
      <c r="Y1772" s="26" t="e">
        <f t="shared" si="401"/>
        <v>#VALUE!</v>
      </c>
      <c r="Z1772" s="1" t="e">
        <f t="shared" si="402"/>
        <v>#VALUE!</v>
      </c>
      <c r="AA1772"/>
      <c r="AB1772"/>
    </row>
    <row r="1773" spans="1:28" x14ac:dyDescent="0.55000000000000004">
      <c r="A1773" s="1">
        <f t="shared" si="389"/>
        <v>1773</v>
      </c>
      <c r="B1773" t="s">
        <v>31</v>
      </c>
      <c r="C1773" t="s">
        <v>115</v>
      </c>
      <c r="D1773" t="s">
        <v>174</v>
      </c>
      <c r="E1773" t="s">
        <v>175</v>
      </c>
      <c r="G1773" t="s">
        <v>148</v>
      </c>
      <c r="I1773" t="s">
        <v>147</v>
      </c>
      <c r="K1773" t="s">
        <v>157</v>
      </c>
      <c r="M1773" t="s">
        <v>47</v>
      </c>
      <c r="N1773" s="1" t="e">
        <f t="shared" si="390"/>
        <v>#VALUE!</v>
      </c>
      <c r="O1773" s="1" t="e">
        <f t="shared" si="391"/>
        <v>#VALUE!</v>
      </c>
      <c r="P1773" s="1" t="e">
        <f t="shared" si="392"/>
        <v>#VALUE!</v>
      </c>
      <c r="Q1773" s="1" t="e">
        <f t="shared" si="393"/>
        <v>#VALUE!</v>
      </c>
      <c r="R1773" s="1" t="e">
        <f t="shared" si="394"/>
        <v>#VALUE!</v>
      </c>
      <c r="S1773" s="1" t="e">
        <f t="shared" si="395"/>
        <v>#VALUE!</v>
      </c>
      <c r="T1773" s="1" t="e">
        <f t="shared" si="396"/>
        <v>#VALUE!</v>
      </c>
      <c r="U1773" s="26" t="e">
        <f t="shared" si="397"/>
        <v>#VALUE!</v>
      </c>
      <c r="V1773" s="26" t="e">
        <f t="shared" si="398"/>
        <v>#VALUE!</v>
      </c>
      <c r="W1773" s="1" t="e">
        <f t="shared" si="399"/>
        <v>#VALUE!</v>
      </c>
      <c r="X1773" s="26" t="e">
        <f t="shared" si="400"/>
        <v>#VALUE!</v>
      </c>
      <c r="Y1773" s="26" t="e">
        <f t="shared" si="401"/>
        <v>#VALUE!</v>
      </c>
      <c r="Z1773" s="1" t="e">
        <f t="shared" si="402"/>
        <v>#VALUE!</v>
      </c>
      <c r="AA1773"/>
      <c r="AB1773"/>
    </row>
    <row r="1774" spans="1:28" x14ac:dyDescent="0.55000000000000004">
      <c r="A1774" s="1">
        <f t="shared" si="389"/>
        <v>1774</v>
      </c>
      <c r="B1774" t="s">
        <v>31</v>
      </c>
      <c r="C1774" t="s">
        <v>115</v>
      </c>
      <c r="D1774" t="s">
        <v>174</v>
      </c>
      <c r="E1774" t="s">
        <v>175</v>
      </c>
      <c r="G1774" t="s">
        <v>136</v>
      </c>
      <c r="I1774" t="s">
        <v>138</v>
      </c>
      <c r="K1774" t="s">
        <v>158</v>
      </c>
      <c r="M1774" t="s">
        <v>47</v>
      </c>
      <c r="N1774" s="1" t="e">
        <f t="shared" si="390"/>
        <v>#VALUE!</v>
      </c>
      <c r="O1774" s="1" t="e">
        <f t="shared" si="391"/>
        <v>#VALUE!</v>
      </c>
      <c r="P1774" s="1" t="e">
        <f t="shared" si="392"/>
        <v>#VALUE!</v>
      </c>
      <c r="Q1774" s="1" t="e">
        <f t="shared" si="393"/>
        <v>#VALUE!</v>
      </c>
      <c r="R1774" s="1" t="e">
        <f t="shared" si="394"/>
        <v>#VALUE!</v>
      </c>
      <c r="S1774" s="1" t="e">
        <f t="shared" si="395"/>
        <v>#VALUE!</v>
      </c>
      <c r="T1774" s="1" t="e">
        <f t="shared" si="396"/>
        <v>#VALUE!</v>
      </c>
      <c r="U1774" s="26" t="e">
        <f t="shared" si="397"/>
        <v>#VALUE!</v>
      </c>
      <c r="V1774" s="26" t="e">
        <f t="shared" si="398"/>
        <v>#VALUE!</v>
      </c>
      <c r="W1774" s="1" t="e">
        <f t="shared" si="399"/>
        <v>#VALUE!</v>
      </c>
      <c r="X1774" s="26" t="e">
        <f t="shared" si="400"/>
        <v>#VALUE!</v>
      </c>
      <c r="Y1774" s="26" t="e">
        <f t="shared" si="401"/>
        <v>#VALUE!</v>
      </c>
      <c r="Z1774" s="1" t="e">
        <f t="shared" si="402"/>
        <v>#VALUE!</v>
      </c>
      <c r="AA1774"/>
      <c r="AB1774"/>
    </row>
    <row r="1775" spans="1:28" x14ac:dyDescent="0.55000000000000004">
      <c r="A1775" s="1">
        <f t="shared" si="389"/>
        <v>1775</v>
      </c>
      <c r="B1775" t="s">
        <v>30</v>
      </c>
      <c r="C1775" t="s">
        <v>78</v>
      </c>
      <c r="D1775" t="s">
        <v>42</v>
      </c>
      <c r="E1775" t="s">
        <v>79</v>
      </c>
      <c r="G1775" t="s">
        <v>64</v>
      </c>
      <c r="I1775" t="s">
        <v>66</v>
      </c>
      <c r="K1775" t="s">
        <v>62</v>
      </c>
      <c r="M1775" t="s">
        <v>47</v>
      </c>
      <c r="N1775" s="1" t="e">
        <f t="shared" si="390"/>
        <v>#VALUE!</v>
      </c>
      <c r="O1775" s="1" t="e">
        <f t="shared" si="391"/>
        <v>#VALUE!</v>
      </c>
      <c r="P1775" s="1" t="e">
        <f t="shared" si="392"/>
        <v>#VALUE!</v>
      </c>
      <c r="Q1775" s="1" t="e">
        <f t="shared" si="393"/>
        <v>#VALUE!</v>
      </c>
      <c r="R1775" s="1" t="e">
        <f t="shared" si="394"/>
        <v>#VALUE!</v>
      </c>
      <c r="S1775" s="1" t="e">
        <f t="shared" si="395"/>
        <v>#VALUE!</v>
      </c>
      <c r="T1775" s="1" t="e">
        <f t="shared" si="396"/>
        <v>#VALUE!</v>
      </c>
      <c r="U1775" s="26" t="e">
        <f t="shared" si="397"/>
        <v>#VALUE!</v>
      </c>
      <c r="V1775" s="26" t="e">
        <f t="shared" si="398"/>
        <v>#VALUE!</v>
      </c>
      <c r="W1775" s="1" t="e">
        <f t="shared" si="399"/>
        <v>#VALUE!</v>
      </c>
      <c r="X1775" s="26" t="e">
        <f t="shared" si="400"/>
        <v>#VALUE!</v>
      </c>
      <c r="Y1775" s="26" t="e">
        <f t="shared" si="401"/>
        <v>#VALUE!</v>
      </c>
      <c r="Z1775" s="1" t="e">
        <f t="shared" si="402"/>
        <v>#VALUE!</v>
      </c>
      <c r="AA1775"/>
      <c r="AB1775"/>
    </row>
    <row r="1776" spans="1:28" x14ac:dyDescent="0.55000000000000004">
      <c r="A1776" s="1">
        <f t="shared" si="389"/>
        <v>1776</v>
      </c>
      <c r="B1776" t="s">
        <v>30</v>
      </c>
      <c r="C1776" t="s">
        <v>78</v>
      </c>
      <c r="D1776" t="s">
        <v>42</v>
      </c>
      <c r="E1776" t="s">
        <v>79</v>
      </c>
      <c r="G1776" t="s">
        <v>57</v>
      </c>
      <c r="I1776" t="s">
        <v>52</v>
      </c>
      <c r="K1776" t="s">
        <v>59</v>
      </c>
      <c r="M1776" t="s">
        <v>47</v>
      </c>
      <c r="N1776" s="1" t="e">
        <f t="shared" si="390"/>
        <v>#VALUE!</v>
      </c>
      <c r="O1776" s="1" t="e">
        <f t="shared" si="391"/>
        <v>#VALUE!</v>
      </c>
      <c r="P1776" s="1" t="e">
        <f t="shared" si="392"/>
        <v>#VALUE!</v>
      </c>
      <c r="Q1776" s="1" t="e">
        <f t="shared" si="393"/>
        <v>#VALUE!</v>
      </c>
      <c r="R1776" s="1" t="e">
        <f t="shared" si="394"/>
        <v>#VALUE!</v>
      </c>
      <c r="S1776" s="1" t="e">
        <f t="shared" si="395"/>
        <v>#VALUE!</v>
      </c>
      <c r="T1776" s="1" t="e">
        <f t="shared" si="396"/>
        <v>#VALUE!</v>
      </c>
      <c r="U1776" s="26" t="e">
        <f t="shared" si="397"/>
        <v>#VALUE!</v>
      </c>
      <c r="V1776" s="26" t="e">
        <f t="shared" si="398"/>
        <v>#VALUE!</v>
      </c>
      <c r="W1776" s="1" t="e">
        <f t="shared" si="399"/>
        <v>#VALUE!</v>
      </c>
      <c r="X1776" s="26" t="e">
        <f t="shared" si="400"/>
        <v>#VALUE!</v>
      </c>
      <c r="Y1776" s="26" t="e">
        <f t="shared" si="401"/>
        <v>#VALUE!</v>
      </c>
      <c r="Z1776" s="1" t="e">
        <f t="shared" si="402"/>
        <v>#VALUE!</v>
      </c>
      <c r="AA1776"/>
      <c r="AB1776"/>
    </row>
    <row r="1777" spans="1:28" x14ac:dyDescent="0.55000000000000004">
      <c r="A1777" s="1">
        <f t="shared" si="389"/>
        <v>1777</v>
      </c>
      <c r="B1777" t="s">
        <v>30</v>
      </c>
      <c r="C1777" t="s">
        <v>78</v>
      </c>
      <c r="D1777" t="s">
        <v>42</v>
      </c>
      <c r="E1777" t="s">
        <v>79</v>
      </c>
      <c r="G1777" t="s">
        <v>58</v>
      </c>
      <c r="I1777" t="s">
        <v>49</v>
      </c>
      <c r="K1777" t="s">
        <v>71</v>
      </c>
      <c r="M1777" t="s">
        <v>47</v>
      </c>
      <c r="N1777" s="1" t="e">
        <f t="shared" si="390"/>
        <v>#VALUE!</v>
      </c>
      <c r="O1777" s="1" t="e">
        <f t="shared" si="391"/>
        <v>#VALUE!</v>
      </c>
      <c r="P1777" s="1" t="e">
        <f t="shared" si="392"/>
        <v>#VALUE!</v>
      </c>
      <c r="Q1777" s="1" t="e">
        <f t="shared" si="393"/>
        <v>#VALUE!</v>
      </c>
      <c r="R1777" s="1" t="e">
        <f t="shared" si="394"/>
        <v>#VALUE!</v>
      </c>
      <c r="S1777" s="1" t="e">
        <f t="shared" si="395"/>
        <v>#VALUE!</v>
      </c>
      <c r="T1777" s="1" t="e">
        <f t="shared" si="396"/>
        <v>#VALUE!</v>
      </c>
      <c r="U1777" s="26" t="e">
        <f t="shared" si="397"/>
        <v>#VALUE!</v>
      </c>
      <c r="V1777" s="26" t="e">
        <f t="shared" si="398"/>
        <v>#VALUE!</v>
      </c>
      <c r="W1777" s="1" t="e">
        <f t="shared" si="399"/>
        <v>#VALUE!</v>
      </c>
      <c r="X1777" s="26" t="e">
        <f t="shared" si="400"/>
        <v>#VALUE!</v>
      </c>
      <c r="Y1777" s="26" t="e">
        <f t="shared" si="401"/>
        <v>#VALUE!</v>
      </c>
      <c r="Z1777" s="1" t="e">
        <f t="shared" si="402"/>
        <v>#VALUE!</v>
      </c>
      <c r="AA1777"/>
      <c r="AB1777"/>
    </row>
    <row r="1778" spans="1:28" x14ac:dyDescent="0.55000000000000004">
      <c r="A1778" s="1">
        <f t="shared" si="389"/>
        <v>1778</v>
      </c>
      <c r="B1778" t="s">
        <v>30</v>
      </c>
      <c r="C1778" t="s">
        <v>78</v>
      </c>
      <c r="D1778" t="s">
        <v>42</v>
      </c>
      <c r="E1778" t="s">
        <v>79</v>
      </c>
      <c r="G1778" t="s">
        <v>63</v>
      </c>
      <c r="I1778" t="s">
        <v>67</v>
      </c>
      <c r="K1778" t="s">
        <v>65</v>
      </c>
      <c r="M1778" t="s">
        <v>47</v>
      </c>
      <c r="N1778" s="1" t="e">
        <f t="shared" si="390"/>
        <v>#VALUE!</v>
      </c>
      <c r="O1778" s="1" t="e">
        <f t="shared" si="391"/>
        <v>#VALUE!</v>
      </c>
      <c r="P1778" s="1" t="e">
        <f t="shared" si="392"/>
        <v>#VALUE!</v>
      </c>
      <c r="Q1778" s="1" t="e">
        <f t="shared" si="393"/>
        <v>#VALUE!</v>
      </c>
      <c r="R1778" s="1" t="e">
        <f t="shared" si="394"/>
        <v>#VALUE!</v>
      </c>
      <c r="S1778" s="1" t="e">
        <f t="shared" si="395"/>
        <v>#VALUE!</v>
      </c>
      <c r="T1778" s="1" t="e">
        <f t="shared" si="396"/>
        <v>#VALUE!</v>
      </c>
      <c r="U1778" s="26" t="e">
        <f t="shared" si="397"/>
        <v>#VALUE!</v>
      </c>
      <c r="V1778" s="26" t="e">
        <f t="shared" si="398"/>
        <v>#VALUE!</v>
      </c>
      <c r="W1778" s="1" t="e">
        <f t="shared" si="399"/>
        <v>#VALUE!</v>
      </c>
      <c r="X1778" s="26" t="e">
        <f t="shared" si="400"/>
        <v>#VALUE!</v>
      </c>
      <c r="Y1778" s="26" t="e">
        <f t="shared" si="401"/>
        <v>#VALUE!</v>
      </c>
      <c r="Z1778" s="1" t="e">
        <f t="shared" si="402"/>
        <v>#VALUE!</v>
      </c>
      <c r="AA1778"/>
      <c r="AB1778"/>
    </row>
    <row r="1779" spans="1:28" x14ac:dyDescent="0.55000000000000004">
      <c r="A1779" s="1">
        <f t="shared" si="389"/>
        <v>1779</v>
      </c>
      <c r="B1779" t="s">
        <v>30</v>
      </c>
      <c r="C1779" t="s">
        <v>78</v>
      </c>
      <c r="D1779" t="s">
        <v>42</v>
      </c>
      <c r="E1779" t="s">
        <v>79</v>
      </c>
      <c r="G1779" t="s">
        <v>45</v>
      </c>
      <c r="I1779" t="s">
        <v>48</v>
      </c>
      <c r="K1779" t="s">
        <v>74</v>
      </c>
      <c r="M1779" t="s">
        <v>47</v>
      </c>
      <c r="N1779" s="1" t="e">
        <f t="shared" si="390"/>
        <v>#VALUE!</v>
      </c>
      <c r="O1779" s="1" t="e">
        <f t="shared" si="391"/>
        <v>#VALUE!</v>
      </c>
      <c r="P1779" s="1" t="e">
        <f t="shared" si="392"/>
        <v>#VALUE!</v>
      </c>
      <c r="Q1779" s="1" t="e">
        <f t="shared" si="393"/>
        <v>#VALUE!</v>
      </c>
      <c r="R1779" s="1" t="e">
        <f t="shared" si="394"/>
        <v>#VALUE!</v>
      </c>
      <c r="S1779" s="1" t="e">
        <f t="shared" si="395"/>
        <v>#VALUE!</v>
      </c>
      <c r="T1779" s="1" t="e">
        <f t="shared" si="396"/>
        <v>#VALUE!</v>
      </c>
      <c r="U1779" s="26" t="e">
        <f t="shared" si="397"/>
        <v>#VALUE!</v>
      </c>
      <c r="V1779" s="26" t="e">
        <f t="shared" si="398"/>
        <v>#VALUE!</v>
      </c>
      <c r="W1779" s="1" t="e">
        <f t="shared" si="399"/>
        <v>#VALUE!</v>
      </c>
      <c r="X1779" s="26" t="e">
        <f t="shared" si="400"/>
        <v>#VALUE!</v>
      </c>
      <c r="Y1779" s="26" t="e">
        <f t="shared" si="401"/>
        <v>#VALUE!</v>
      </c>
      <c r="Z1779" s="1" t="e">
        <f t="shared" si="402"/>
        <v>#VALUE!</v>
      </c>
      <c r="AA1779"/>
      <c r="AB1779"/>
    </row>
    <row r="1780" spans="1:28" x14ac:dyDescent="0.55000000000000004">
      <c r="A1780" s="1">
        <f t="shared" si="389"/>
        <v>1780</v>
      </c>
      <c r="B1780" t="s">
        <v>30</v>
      </c>
      <c r="C1780" t="s">
        <v>78</v>
      </c>
      <c r="D1780" t="s">
        <v>42</v>
      </c>
      <c r="E1780" t="s">
        <v>79</v>
      </c>
      <c r="G1780" t="s">
        <v>44</v>
      </c>
      <c r="I1780" t="s">
        <v>61</v>
      </c>
      <c r="K1780" t="s">
        <v>46</v>
      </c>
      <c r="M1780" t="s">
        <v>47</v>
      </c>
      <c r="N1780" s="1" t="e">
        <f t="shared" si="390"/>
        <v>#VALUE!</v>
      </c>
      <c r="O1780" s="1" t="e">
        <f t="shared" si="391"/>
        <v>#VALUE!</v>
      </c>
      <c r="P1780" s="1" t="e">
        <f t="shared" si="392"/>
        <v>#VALUE!</v>
      </c>
      <c r="Q1780" s="1" t="e">
        <f t="shared" si="393"/>
        <v>#VALUE!</v>
      </c>
      <c r="R1780" s="1" t="e">
        <f t="shared" si="394"/>
        <v>#VALUE!</v>
      </c>
      <c r="S1780" s="1" t="e">
        <f t="shared" si="395"/>
        <v>#VALUE!</v>
      </c>
      <c r="T1780" s="1" t="e">
        <f t="shared" si="396"/>
        <v>#VALUE!</v>
      </c>
      <c r="U1780" s="26" t="e">
        <f t="shared" si="397"/>
        <v>#VALUE!</v>
      </c>
      <c r="V1780" s="26" t="e">
        <f t="shared" si="398"/>
        <v>#VALUE!</v>
      </c>
      <c r="W1780" s="1" t="e">
        <f t="shared" si="399"/>
        <v>#VALUE!</v>
      </c>
      <c r="X1780" s="26" t="e">
        <f t="shared" si="400"/>
        <v>#VALUE!</v>
      </c>
      <c r="Y1780" s="26" t="e">
        <f t="shared" si="401"/>
        <v>#VALUE!</v>
      </c>
      <c r="Z1780" s="1" t="e">
        <f t="shared" si="402"/>
        <v>#VALUE!</v>
      </c>
      <c r="AA1780"/>
      <c r="AB1780"/>
    </row>
    <row r="1781" spans="1:28" x14ac:dyDescent="0.55000000000000004">
      <c r="A1781" s="1">
        <f t="shared" si="389"/>
        <v>1781</v>
      </c>
      <c r="B1781" t="s">
        <v>30</v>
      </c>
      <c r="C1781" t="s">
        <v>78</v>
      </c>
      <c r="D1781" t="s">
        <v>42</v>
      </c>
      <c r="E1781" t="s">
        <v>79</v>
      </c>
      <c r="G1781" t="s">
        <v>60</v>
      </c>
      <c r="I1781" t="s">
        <v>54</v>
      </c>
      <c r="K1781" t="s">
        <v>62</v>
      </c>
      <c r="M1781" t="s">
        <v>47</v>
      </c>
      <c r="N1781" s="1" t="e">
        <f t="shared" si="390"/>
        <v>#VALUE!</v>
      </c>
      <c r="O1781" s="1" t="e">
        <f t="shared" si="391"/>
        <v>#VALUE!</v>
      </c>
      <c r="P1781" s="1" t="e">
        <f t="shared" si="392"/>
        <v>#VALUE!</v>
      </c>
      <c r="Q1781" s="1" t="e">
        <f t="shared" si="393"/>
        <v>#VALUE!</v>
      </c>
      <c r="R1781" s="1" t="e">
        <f t="shared" si="394"/>
        <v>#VALUE!</v>
      </c>
      <c r="S1781" s="1" t="e">
        <f t="shared" si="395"/>
        <v>#VALUE!</v>
      </c>
      <c r="T1781" s="1" t="e">
        <f t="shared" si="396"/>
        <v>#VALUE!</v>
      </c>
      <c r="U1781" s="26" t="e">
        <f t="shared" si="397"/>
        <v>#VALUE!</v>
      </c>
      <c r="V1781" s="26" t="e">
        <f t="shared" si="398"/>
        <v>#VALUE!</v>
      </c>
      <c r="W1781" s="1" t="e">
        <f t="shared" si="399"/>
        <v>#VALUE!</v>
      </c>
      <c r="X1781" s="26" t="e">
        <f t="shared" si="400"/>
        <v>#VALUE!</v>
      </c>
      <c r="Y1781" s="26" t="e">
        <f t="shared" si="401"/>
        <v>#VALUE!</v>
      </c>
      <c r="Z1781" s="1" t="e">
        <f t="shared" si="402"/>
        <v>#VALUE!</v>
      </c>
      <c r="AA1781"/>
      <c r="AB1781"/>
    </row>
    <row r="1782" spans="1:28" x14ac:dyDescent="0.55000000000000004">
      <c r="A1782" s="1">
        <f t="shared" si="389"/>
        <v>1782</v>
      </c>
      <c r="B1782" t="s">
        <v>30</v>
      </c>
      <c r="C1782" t="s">
        <v>78</v>
      </c>
      <c r="D1782" t="s">
        <v>42</v>
      </c>
      <c r="E1782" t="s">
        <v>79</v>
      </c>
      <c r="G1782" t="s">
        <v>51</v>
      </c>
      <c r="I1782" t="s">
        <v>55</v>
      </c>
      <c r="K1782" t="s">
        <v>53</v>
      </c>
      <c r="M1782" t="s">
        <v>47</v>
      </c>
      <c r="N1782" s="1" t="e">
        <f t="shared" si="390"/>
        <v>#VALUE!</v>
      </c>
      <c r="O1782" s="1" t="e">
        <f t="shared" si="391"/>
        <v>#VALUE!</v>
      </c>
      <c r="P1782" s="1" t="e">
        <f t="shared" si="392"/>
        <v>#VALUE!</v>
      </c>
      <c r="Q1782" s="1" t="e">
        <f t="shared" si="393"/>
        <v>#VALUE!</v>
      </c>
      <c r="R1782" s="1" t="e">
        <f t="shared" si="394"/>
        <v>#VALUE!</v>
      </c>
      <c r="S1782" s="1" t="e">
        <f t="shared" si="395"/>
        <v>#VALUE!</v>
      </c>
      <c r="T1782" s="1" t="e">
        <f t="shared" si="396"/>
        <v>#VALUE!</v>
      </c>
      <c r="U1782" s="26" t="e">
        <f t="shared" si="397"/>
        <v>#VALUE!</v>
      </c>
      <c r="V1782" s="26" t="e">
        <f t="shared" si="398"/>
        <v>#VALUE!</v>
      </c>
      <c r="W1782" s="1" t="e">
        <f t="shared" si="399"/>
        <v>#VALUE!</v>
      </c>
      <c r="X1782" s="26" t="e">
        <f t="shared" si="400"/>
        <v>#VALUE!</v>
      </c>
      <c r="Y1782" s="26" t="e">
        <f t="shared" si="401"/>
        <v>#VALUE!</v>
      </c>
      <c r="Z1782" s="1" t="e">
        <f t="shared" si="402"/>
        <v>#VALUE!</v>
      </c>
      <c r="AA1782"/>
      <c r="AB1782"/>
    </row>
    <row r="1783" spans="1:28" x14ac:dyDescent="0.55000000000000004">
      <c r="A1783" s="1">
        <f t="shared" si="389"/>
        <v>1783</v>
      </c>
      <c r="B1783" t="s">
        <v>34</v>
      </c>
      <c r="C1783" t="s">
        <v>117</v>
      </c>
      <c r="D1783" t="s">
        <v>42</v>
      </c>
      <c r="E1783" t="s">
        <v>79</v>
      </c>
      <c r="G1783" t="s">
        <v>98</v>
      </c>
      <c r="I1783" t="s">
        <v>95</v>
      </c>
      <c r="K1783" t="s">
        <v>100</v>
      </c>
      <c r="M1783" t="s">
        <v>47</v>
      </c>
      <c r="N1783" s="1" t="e">
        <f t="shared" si="390"/>
        <v>#VALUE!</v>
      </c>
      <c r="O1783" s="1" t="e">
        <f t="shared" si="391"/>
        <v>#VALUE!</v>
      </c>
      <c r="P1783" s="1" t="e">
        <f t="shared" si="392"/>
        <v>#VALUE!</v>
      </c>
      <c r="Q1783" s="1" t="e">
        <f t="shared" si="393"/>
        <v>#VALUE!</v>
      </c>
      <c r="R1783" s="1" t="e">
        <f t="shared" si="394"/>
        <v>#VALUE!</v>
      </c>
      <c r="S1783" s="1" t="e">
        <f t="shared" si="395"/>
        <v>#VALUE!</v>
      </c>
      <c r="T1783" s="1" t="e">
        <f t="shared" si="396"/>
        <v>#VALUE!</v>
      </c>
      <c r="U1783" s="26" t="e">
        <f t="shared" si="397"/>
        <v>#VALUE!</v>
      </c>
      <c r="V1783" s="26" t="e">
        <f t="shared" si="398"/>
        <v>#VALUE!</v>
      </c>
      <c r="W1783" s="1" t="e">
        <f t="shared" si="399"/>
        <v>#VALUE!</v>
      </c>
      <c r="X1783" s="26" t="e">
        <f t="shared" si="400"/>
        <v>#VALUE!</v>
      </c>
      <c r="Y1783" s="26" t="e">
        <f t="shared" si="401"/>
        <v>#VALUE!</v>
      </c>
      <c r="Z1783" s="1" t="e">
        <f t="shared" si="402"/>
        <v>#VALUE!</v>
      </c>
      <c r="AA1783"/>
      <c r="AB1783"/>
    </row>
    <row r="1784" spans="1:28" x14ac:dyDescent="0.55000000000000004">
      <c r="A1784" s="1">
        <f t="shared" si="389"/>
        <v>1784</v>
      </c>
      <c r="B1784" t="s">
        <v>34</v>
      </c>
      <c r="C1784" t="s">
        <v>117</v>
      </c>
      <c r="D1784" t="s">
        <v>42</v>
      </c>
      <c r="E1784" t="s">
        <v>79</v>
      </c>
      <c r="G1784" t="s">
        <v>89</v>
      </c>
      <c r="I1784" t="s">
        <v>96</v>
      </c>
      <c r="K1784" t="s">
        <v>91</v>
      </c>
      <c r="M1784" t="s">
        <v>47</v>
      </c>
      <c r="N1784" s="1" t="e">
        <f t="shared" si="390"/>
        <v>#VALUE!</v>
      </c>
      <c r="O1784" s="1" t="e">
        <f t="shared" si="391"/>
        <v>#VALUE!</v>
      </c>
      <c r="P1784" s="1" t="e">
        <f t="shared" si="392"/>
        <v>#VALUE!</v>
      </c>
      <c r="Q1784" s="1" t="e">
        <f t="shared" si="393"/>
        <v>#VALUE!</v>
      </c>
      <c r="R1784" s="1" t="e">
        <f t="shared" si="394"/>
        <v>#VALUE!</v>
      </c>
      <c r="S1784" s="1" t="e">
        <f t="shared" si="395"/>
        <v>#VALUE!</v>
      </c>
      <c r="T1784" s="1" t="e">
        <f t="shared" si="396"/>
        <v>#VALUE!</v>
      </c>
      <c r="U1784" s="26" t="e">
        <f t="shared" si="397"/>
        <v>#VALUE!</v>
      </c>
      <c r="V1784" s="26" t="e">
        <f t="shared" si="398"/>
        <v>#VALUE!</v>
      </c>
      <c r="W1784" s="1" t="e">
        <f t="shared" si="399"/>
        <v>#VALUE!</v>
      </c>
      <c r="X1784" s="26" t="e">
        <f t="shared" si="400"/>
        <v>#VALUE!</v>
      </c>
      <c r="Y1784" s="26" t="e">
        <f t="shared" si="401"/>
        <v>#VALUE!</v>
      </c>
      <c r="Z1784" s="1" t="e">
        <f t="shared" si="402"/>
        <v>#VALUE!</v>
      </c>
      <c r="AA1784"/>
      <c r="AB1784"/>
    </row>
    <row r="1785" spans="1:28" x14ac:dyDescent="0.55000000000000004">
      <c r="A1785" s="1">
        <f t="shared" si="389"/>
        <v>1785</v>
      </c>
      <c r="B1785" t="s">
        <v>34</v>
      </c>
      <c r="C1785" t="s">
        <v>117</v>
      </c>
      <c r="D1785" t="s">
        <v>42</v>
      </c>
      <c r="E1785" t="s">
        <v>79</v>
      </c>
      <c r="G1785" t="s">
        <v>101</v>
      </c>
      <c r="I1785" t="s">
        <v>92</v>
      </c>
      <c r="K1785" t="s">
        <v>103</v>
      </c>
      <c r="M1785" t="s">
        <v>47</v>
      </c>
      <c r="N1785" s="1" t="e">
        <f t="shared" si="390"/>
        <v>#VALUE!</v>
      </c>
      <c r="O1785" s="1" t="e">
        <f t="shared" si="391"/>
        <v>#VALUE!</v>
      </c>
      <c r="P1785" s="1" t="e">
        <f t="shared" si="392"/>
        <v>#VALUE!</v>
      </c>
      <c r="Q1785" s="1" t="e">
        <f t="shared" si="393"/>
        <v>#VALUE!</v>
      </c>
      <c r="R1785" s="1" t="e">
        <f t="shared" si="394"/>
        <v>#VALUE!</v>
      </c>
      <c r="S1785" s="1" t="e">
        <f t="shared" si="395"/>
        <v>#VALUE!</v>
      </c>
      <c r="T1785" s="1" t="e">
        <f t="shared" si="396"/>
        <v>#VALUE!</v>
      </c>
      <c r="U1785" s="26" t="e">
        <f t="shared" si="397"/>
        <v>#VALUE!</v>
      </c>
      <c r="V1785" s="26" t="e">
        <f t="shared" si="398"/>
        <v>#VALUE!</v>
      </c>
      <c r="W1785" s="1" t="e">
        <f t="shared" si="399"/>
        <v>#VALUE!</v>
      </c>
      <c r="X1785" s="26" t="e">
        <f t="shared" si="400"/>
        <v>#VALUE!</v>
      </c>
      <c r="Y1785" s="26" t="e">
        <f t="shared" si="401"/>
        <v>#VALUE!</v>
      </c>
      <c r="Z1785" s="1" t="e">
        <f t="shared" si="402"/>
        <v>#VALUE!</v>
      </c>
      <c r="AA1785"/>
      <c r="AB1785"/>
    </row>
    <row r="1786" spans="1:28" x14ac:dyDescent="0.55000000000000004">
      <c r="A1786" s="1">
        <f t="shared" si="389"/>
        <v>1786</v>
      </c>
      <c r="B1786" t="s">
        <v>34</v>
      </c>
      <c r="C1786" t="s">
        <v>117</v>
      </c>
      <c r="D1786" t="s">
        <v>42</v>
      </c>
      <c r="E1786" t="s">
        <v>79</v>
      </c>
      <c r="G1786" t="s">
        <v>93</v>
      </c>
      <c r="I1786" t="s">
        <v>87</v>
      </c>
      <c r="K1786" t="s">
        <v>113</v>
      </c>
      <c r="M1786" t="s">
        <v>47</v>
      </c>
      <c r="N1786" s="1" t="e">
        <f t="shared" si="390"/>
        <v>#VALUE!</v>
      </c>
      <c r="O1786" s="1" t="e">
        <f t="shared" si="391"/>
        <v>#VALUE!</v>
      </c>
      <c r="P1786" s="1" t="e">
        <f t="shared" si="392"/>
        <v>#VALUE!</v>
      </c>
      <c r="Q1786" s="1" t="e">
        <f t="shared" si="393"/>
        <v>#VALUE!</v>
      </c>
      <c r="R1786" s="1" t="e">
        <f t="shared" si="394"/>
        <v>#VALUE!</v>
      </c>
      <c r="S1786" s="1" t="e">
        <f t="shared" si="395"/>
        <v>#VALUE!</v>
      </c>
      <c r="T1786" s="1" t="e">
        <f t="shared" si="396"/>
        <v>#VALUE!</v>
      </c>
      <c r="U1786" s="26" t="e">
        <f t="shared" si="397"/>
        <v>#VALUE!</v>
      </c>
      <c r="V1786" s="26" t="e">
        <f t="shared" si="398"/>
        <v>#VALUE!</v>
      </c>
      <c r="W1786" s="1" t="e">
        <f t="shared" si="399"/>
        <v>#VALUE!</v>
      </c>
      <c r="X1786" s="26" t="e">
        <f t="shared" si="400"/>
        <v>#VALUE!</v>
      </c>
      <c r="Y1786" s="26" t="e">
        <f t="shared" si="401"/>
        <v>#VALUE!</v>
      </c>
      <c r="Z1786" s="1" t="e">
        <f t="shared" si="402"/>
        <v>#VALUE!</v>
      </c>
      <c r="AA1786"/>
      <c r="AB1786"/>
    </row>
    <row r="1787" spans="1:28" x14ac:dyDescent="0.55000000000000004">
      <c r="A1787" s="1">
        <f t="shared" si="389"/>
        <v>1787</v>
      </c>
      <c r="B1787" t="s">
        <v>34</v>
      </c>
      <c r="C1787" t="s">
        <v>117</v>
      </c>
      <c r="D1787" t="s">
        <v>42</v>
      </c>
      <c r="E1787" t="s">
        <v>79</v>
      </c>
      <c r="G1787" t="s">
        <v>102</v>
      </c>
      <c r="I1787" t="s">
        <v>99</v>
      </c>
      <c r="K1787" t="s">
        <v>106</v>
      </c>
      <c r="M1787" t="s">
        <v>47</v>
      </c>
      <c r="N1787" s="1" t="e">
        <f t="shared" si="390"/>
        <v>#VALUE!</v>
      </c>
      <c r="O1787" s="1" t="e">
        <f t="shared" si="391"/>
        <v>#VALUE!</v>
      </c>
      <c r="P1787" s="1" t="e">
        <f t="shared" si="392"/>
        <v>#VALUE!</v>
      </c>
      <c r="Q1787" s="1" t="e">
        <f t="shared" si="393"/>
        <v>#VALUE!</v>
      </c>
      <c r="R1787" s="1" t="e">
        <f t="shared" si="394"/>
        <v>#VALUE!</v>
      </c>
      <c r="S1787" s="1" t="e">
        <f t="shared" si="395"/>
        <v>#VALUE!</v>
      </c>
      <c r="T1787" s="1" t="e">
        <f t="shared" si="396"/>
        <v>#VALUE!</v>
      </c>
      <c r="U1787" s="26" t="e">
        <f t="shared" si="397"/>
        <v>#VALUE!</v>
      </c>
      <c r="V1787" s="26" t="e">
        <f t="shared" si="398"/>
        <v>#VALUE!</v>
      </c>
      <c r="W1787" s="1" t="e">
        <f t="shared" si="399"/>
        <v>#VALUE!</v>
      </c>
      <c r="X1787" s="26" t="e">
        <f t="shared" si="400"/>
        <v>#VALUE!</v>
      </c>
      <c r="Y1787" s="26" t="e">
        <f t="shared" si="401"/>
        <v>#VALUE!</v>
      </c>
      <c r="Z1787" s="1" t="e">
        <f t="shared" si="402"/>
        <v>#VALUE!</v>
      </c>
      <c r="AA1787"/>
      <c r="AB1787"/>
    </row>
    <row r="1788" spans="1:28" x14ac:dyDescent="0.55000000000000004">
      <c r="A1788" s="1">
        <f t="shared" si="389"/>
        <v>1788</v>
      </c>
      <c r="B1788" t="s">
        <v>34</v>
      </c>
      <c r="C1788" t="s">
        <v>117</v>
      </c>
      <c r="D1788" t="s">
        <v>42</v>
      </c>
      <c r="E1788" t="s">
        <v>79</v>
      </c>
      <c r="G1788" t="s">
        <v>86</v>
      </c>
      <c r="I1788" t="s">
        <v>90</v>
      </c>
      <c r="K1788" t="s">
        <v>88</v>
      </c>
      <c r="M1788" t="s">
        <v>47</v>
      </c>
      <c r="N1788" s="1" t="e">
        <f t="shared" si="390"/>
        <v>#VALUE!</v>
      </c>
      <c r="O1788" s="1" t="e">
        <f t="shared" si="391"/>
        <v>#VALUE!</v>
      </c>
      <c r="P1788" s="1" t="e">
        <f t="shared" si="392"/>
        <v>#VALUE!</v>
      </c>
      <c r="Q1788" s="1" t="e">
        <f t="shared" si="393"/>
        <v>#VALUE!</v>
      </c>
      <c r="R1788" s="1" t="e">
        <f t="shared" si="394"/>
        <v>#VALUE!</v>
      </c>
      <c r="S1788" s="1" t="e">
        <f t="shared" si="395"/>
        <v>#VALUE!</v>
      </c>
      <c r="T1788" s="1" t="e">
        <f t="shared" si="396"/>
        <v>#VALUE!</v>
      </c>
      <c r="U1788" s="26" t="e">
        <f t="shared" si="397"/>
        <v>#VALUE!</v>
      </c>
      <c r="V1788" s="26" t="e">
        <f t="shared" si="398"/>
        <v>#VALUE!</v>
      </c>
      <c r="W1788" s="1" t="e">
        <f t="shared" si="399"/>
        <v>#VALUE!</v>
      </c>
      <c r="X1788" s="26" t="e">
        <f t="shared" si="400"/>
        <v>#VALUE!</v>
      </c>
      <c r="Y1788" s="26" t="e">
        <f t="shared" si="401"/>
        <v>#VALUE!</v>
      </c>
      <c r="Z1788" s="1" t="e">
        <f t="shared" si="402"/>
        <v>#VALUE!</v>
      </c>
      <c r="AA1788"/>
      <c r="AB1788"/>
    </row>
    <row r="1789" spans="1:28" x14ac:dyDescent="0.55000000000000004">
      <c r="A1789" s="1">
        <f t="shared" si="389"/>
        <v>1789</v>
      </c>
      <c r="B1789" t="s">
        <v>33</v>
      </c>
      <c r="C1789" t="s">
        <v>82</v>
      </c>
      <c r="D1789" t="s">
        <v>42</v>
      </c>
      <c r="E1789" t="s">
        <v>79</v>
      </c>
      <c r="F1789" t="s">
        <v>409</v>
      </c>
      <c r="G1789" t="s">
        <v>285</v>
      </c>
      <c r="I1789" t="s">
        <v>282</v>
      </c>
      <c r="K1789" t="s">
        <v>359</v>
      </c>
      <c r="M1789" t="s">
        <v>47</v>
      </c>
      <c r="N1789" s="1" t="e">
        <f t="shared" si="390"/>
        <v>#VALUE!</v>
      </c>
      <c r="O1789" s="1" t="e">
        <f t="shared" si="391"/>
        <v>#VALUE!</v>
      </c>
      <c r="P1789" s="1" t="e">
        <f t="shared" si="392"/>
        <v>#VALUE!</v>
      </c>
      <c r="Q1789" s="1" t="e">
        <f t="shared" si="393"/>
        <v>#VALUE!</v>
      </c>
      <c r="R1789" s="1" t="e">
        <f t="shared" si="394"/>
        <v>#VALUE!</v>
      </c>
      <c r="S1789" s="1" t="e">
        <f t="shared" si="395"/>
        <v>#VALUE!</v>
      </c>
      <c r="T1789" s="1" t="e">
        <f t="shared" si="396"/>
        <v>#VALUE!</v>
      </c>
      <c r="U1789" s="26" t="e">
        <f t="shared" si="397"/>
        <v>#VALUE!</v>
      </c>
      <c r="V1789" s="26" t="e">
        <f t="shared" si="398"/>
        <v>#VALUE!</v>
      </c>
      <c r="W1789" s="1" t="e">
        <f t="shared" si="399"/>
        <v>#VALUE!</v>
      </c>
      <c r="X1789" s="26" t="e">
        <f t="shared" si="400"/>
        <v>#VALUE!</v>
      </c>
      <c r="Y1789" s="26" t="e">
        <f t="shared" si="401"/>
        <v>#VALUE!</v>
      </c>
      <c r="Z1789" s="1" t="e">
        <f t="shared" si="402"/>
        <v>#VALUE!</v>
      </c>
      <c r="AA1789"/>
      <c r="AB1789"/>
    </row>
    <row r="1790" spans="1:28" x14ac:dyDescent="0.55000000000000004">
      <c r="A1790" s="1">
        <f t="shared" si="389"/>
        <v>1790</v>
      </c>
      <c r="B1790" t="s">
        <v>33</v>
      </c>
      <c r="C1790" t="s">
        <v>82</v>
      </c>
      <c r="D1790" t="s">
        <v>42</v>
      </c>
      <c r="E1790" t="s">
        <v>79</v>
      </c>
      <c r="F1790" t="s">
        <v>409</v>
      </c>
      <c r="G1790" t="s">
        <v>281</v>
      </c>
      <c r="I1790" t="s">
        <v>292</v>
      </c>
      <c r="K1790" t="s">
        <v>283</v>
      </c>
      <c r="M1790" t="s">
        <v>47</v>
      </c>
      <c r="N1790" s="1" t="e">
        <f t="shared" si="390"/>
        <v>#VALUE!</v>
      </c>
      <c r="O1790" s="1" t="e">
        <f t="shared" si="391"/>
        <v>#VALUE!</v>
      </c>
      <c r="P1790" s="1" t="e">
        <f t="shared" si="392"/>
        <v>#VALUE!</v>
      </c>
      <c r="Q1790" s="1" t="e">
        <f t="shared" si="393"/>
        <v>#VALUE!</v>
      </c>
      <c r="R1790" s="1" t="e">
        <f t="shared" si="394"/>
        <v>#VALUE!</v>
      </c>
      <c r="S1790" s="1" t="e">
        <f t="shared" si="395"/>
        <v>#VALUE!</v>
      </c>
      <c r="T1790" s="1" t="e">
        <f t="shared" si="396"/>
        <v>#VALUE!</v>
      </c>
      <c r="U1790" s="26" t="e">
        <f t="shared" si="397"/>
        <v>#VALUE!</v>
      </c>
      <c r="V1790" s="26" t="e">
        <f t="shared" si="398"/>
        <v>#VALUE!</v>
      </c>
      <c r="W1790" s="1" t="e">
        <f t="shared" si="399"/>
        <v>#VALUE!</v>
      </c>
      <c r="X1790" s="26" t="e">
        <f t="shared" si="400"/>
        <v>#VALUE!</v>
      </c>
      <c r="Y1790" s="26" t="e">
        <f t="shared" si="401"/>
        <v>#VALUE!</v>
      </c>
      <c r="Z1790" s="1" t="e">
        <f t="shared" si="402"/>
        <v>#VALUE!</v>
      </c>
      <c r="AA1790"/>
      <c r="AB1790"/>
    </row>
    <row r="1791" spans="1:28" x14ac:dyDescent="0.55000000000000004">
      <c r="A1791" s="1">
        <f t="shared" si="389"/>
        <v>1791</v>
      </c>
      <c r="B1791" t="s">
        <v>33</v>
      </c>
      <c r="C1791" t="s">
        <v>82</v>
      </c>
      <c r="D1791" t="s">
        <v>42</v>
      </c>
      <c r="E1791" t="s">
        <v>79</v>
      </c>
      <c r="F1791" t="s">
        <v>409</v>
      </c>
      <c r="G1791" t="s">
        <v>360</v>
      </c>
      <c r="I1791" t="s">
        <v>291</v>
      </c>
      <c r="K1791" t="s">
        <v>371</v>
      </c>
      <c r="M1791" t="s">
        <v>47</v>
      </c>
      <c r="N1791" s="1" t="e">
        <f t="shared" si="390"/>
        <v>#VALUE!</v>
      </c>
      <c r="O1791" s="1" t="e">
        <f t="shared" si="391"/>
        <v>#VALUE!</v>
      </c>
      <c r="P1791" s="1" t="e">
        <f t="shared" si="392"/>
        <v>#VALUE!</v>
      </c>
      <c r="Q1791" s="1" t="e">
        <f t="shared" si="393"/>
        <v>#VALUE!</v>
      </c>
      <c r="R1791" s="1" t="e">
        <f t="shared" si="394"/>
        <v>#VALUE!</v>
      </c>
      <c r="S1791" s="1" t="e">
        <f t="shared" si="395"/>
        <v>#VALUE!</v>
      </c>
      <c r="T1791" s="1" t="e">
        <f t="shared" si="396"/>
        <v>#VALUE!</v>
      </c>
      <c r="U1791" s="26" t="e">
        <f t="shared" si="397"/>
        <v>#VALUE!</v>
      </c>
      <c r="V1791" s="26" t="e">
        <f t="shared" si="398"/>
        <v>#VALUE!</v>
      </c>
      <c r="W1791" s="1" t="e">
        <f t="shared" si="399"/>
        <v>#VALUE!</v>
      </c>
      <c r="X1791" s="26" t="e">
        <f t="shared" si="400"/>
        <v>#VALUE!</v>
      </c>
      <c r="Y1791" s="26" t="e">
        <f t="shared" si="401"/>
        <v>#VALUE!</v>
      </c>
      <c r="Z1791" s="1" t="e">
        <f t="shared" si="402"/>
        <v>#VALUE!</v>
      </c>
      <c r="AA1791"/>
      <c r="AB1791"/>
    </row>
    <row r="1792" spans="1:28" x14ac:dyDescent="0.55000000000000004">
      <c r="A1792" s="1">
        <f t="shared" si="389"/>
        <v>1792</v>
      </c>
      <c r="B1792" t="s">
        <v>33</v>
      </c>
      <c r="C1792" t="s">
        <v>82</v>
      </c>
      <c r="D1792" t="s">
        <v>42</v>
      </c>
      <c r="E1792" t="s">
        <v>79</v>
      </c>
      <c r="F1792" t="s">
        <v>409</v>
      </c>
      <c r="G1792" t="s">
        <v>288</v>
      </c>
      <c r="I1792" t="s">
        <v>362</v>
      </c>
      <c r="K1792" t="s">
        <v>361</v>
      </c>
      <c r="M1792" t="s">
        <v>47</v>
      </c>
      <c r="N1792" s="1" t="e">
        <f t="shared" si="390"/>
        <v>#VALUE!</v>
      </c>
      <c r="O1792" s="1" t="e">
        <f t="shared" si="391"/>
        <v>#VALUE!</v>
      </c>
      <c r="P1792" s="1" t="e">
        <f t="shared" si="392"/>
        <v>#VALUE!</v>
      </c>
      <c r="Q1792" s="1" t="e">
        <f t="shared" si="393"/>
        <v>#VALUE!</v>
      </c>
      <c r="R1792" s="1" t="e">
        <f t="shared" si="394"/>
        <v>#VALUE!</v>
      </c>
      <c r="S1792" s="1" t="e">
        <f t="shared" si="395"/>
        <v>#VALUE!</v>
      </c>
      <c r="T1792" s="1" t="e">
        <f t="shared" si="396"/>
        <v>#VALUE!</v>
      </c>
      <c r="U1792" s="26" t="e">
        <f t="shared" si="397"/>
        <v>#VALUE!</v>
      </c>
      <c r="V1792" s="26" t="e">
        <f t="shared" si="398"/>
        <v>#VALUE!</v>
      </c>
      <c r="W1792" s="1" t="e">
        <f t="shared" si="399"/>
        <v>#VALUE!</v>
      </c>
      <c r="X1792" s="26" t="e">
        <f t="shared" si="400"/>
        <v>#VALUE!</v>
      </c>
      <c r="Y1792" s="26" t="e">
        <f t="shared" si="401"/>
        <v>#VALUE!</v>
      </c>
      <c r="Z1792" s="1" t="e">
        <f t="shared" si="402"/>
        <v>#VALUE!</v>
      </c>
      <c r="AA1792"/>
      <c r="AB1792"/>
    </row>
    <row r="1793" spans="1:28" x14ac:dyDescent="0.55000000000000004">
      <c r="A1793" s="1">
        <f t="shared" si="389"/>
        <v>1793</v>
      </c>
      <c r="B1793" t="s">
        <v>33</v>
      </c>
      <c r="C1793" t="s">
        <v>82</v>
      </c>
      <c r="D1793" t="s">
        <v>42</v>
      </c>
      <c r="E1793" t="s">
        <v>79</v>
      </c>
      <c r="F1793" t="s">
        <v>409</v>
      </c>
      <c r="G1793" t="s">
        <v>296</v>
      </c>
      <c r="I1793" t="s">
        <v>278</v>
      </c>
      <c r="K1793" t="s">
        <v>297</v>
      </c>
      <c r="M1793" t="s">
        <v>47</v>
      </c>
      <c r="N1793" s="1" t="e">
        <f t="shared" si="390"/>
        <v>#VALUE!</v>
      </c>
      <c r="O1793" s="1" t="e">
        <f t="shared" si="391"/>
        <v>#VALUE!</v>
      </c>
      <c r="P1793" s="1" t="e">
        <f t="shared" si="392"/>
        <v>#VALUE!</v>
      </c>
      <c r="Q1793" s="1" t="e">
        <f t="shared" si="393"/>
        <v>#VALUE!</v>
      </c>
      <c r="R1793" s="1" t="e">
        <f t="shared" si="394"/>
        <v>#VALUE!</v>
      </c>
      <c r="S1793" s="1" t="e">
        <f t="shared" si="395"/>
        <v>#VALUE!</v>
      </c>
      <c r="T1793" s="1" t="e">
        <f t="shared" si="396"/>
        <v>#VALUE!</v>
      </c>
      <c r="U1793" s="26" t="e">
        <f t="shared" si="397"/>
        <v>#VALUE!</v>
      </c>
      <c r="V1793" s="26" t="e">
        <f t="shared" si="398"/>
        <v>#VALUE!</v>
      </c>
      <c r="W1793" s="1" t="e">
        <f t="shared" si="399"/>
        <v>#VALUE!</v>
      </c>
      <c r="X1793" s="26" t="e">
        <f t="shared" si="400"/>
        <v>#VALUE!</v>
      </c>
      <c r="Y1793" s="26" t="e">
        <f t="shared" si="401"/>
        <v>#VALUE!</v>
      </c>
      <c r="Z1793" s="1" t="e">
        <f t="shared" si="402"/>
        <v>#VALUE!</v>
      </c>
      <c r="AA1793"/>
      <c r="AB1793"/>
    </row>
    <row r="1794" spans="1:28" x14ac:dyDescent="0.55000000000000004">
      <c r="A1794" s="1">
        <f t="shared" si="389"/>
        <v>1794</v>
      </c>
      <c r="B1794" t="s">
        <v>33</v>
      </c>
      <c r="C1794" t="s">
        <v>82</v>
      </c>
      <c r="D1794" t="s">
        <v>42</v>
      </c>
      <c r="E1794" t="s">
        <v>79</v>
      </c>
      <c r="F1794" t="s">
        <v>409</v>
      </c>
      <c r="G1794" t="s">
        <v>279</v>
      </c>
      <c r="I1794" t="s">
        <v>299</v>
      </c>
      <c r="K1794" t="s">
        <v>294</v>
      </c>
      <c r="M1794" t="s">
        <v>47</v>
      </c>
      <c r="N1794" s="1" t="e">
        <f t="shared" si="390"/>
        <v>#VALUE!</v>
      </c>
      <c r="O1794" s="1" t="e">
        <f t="shared" si="391"/>
        <v>#VALUE!</v>
      </c>
      <c r="P1794" s="1" t="e">
        <f t="shared" si="392"/>
        <v>#VALUE!</v>
      </c>
      <c r="Q1794" s="1" t="e">
        <f t="shared" si="393"/>
        <v>#VALUE!</v>
      </c>
      <c r="R1794" s="1" t="e">
        <f t="shared" si="394"/>
        <v>#VALUE!</v>
      </c>
      <c r="S1794" s="1" t="e">
        <f t="shared" si="395"/>
        <v>#VALUE!</v>
      </c>
      <c r="T1794" s="1" t="e">
        <f t="shared" si="396"/>
        <v>#VALUE!</v>
      </c>
      <c r="U1794" s="26" t="e">
        <f t="shared" si="397"/>
        <v>#VALUE!</v>
      </c>
      <c r="V1794" s="26" t="e">
        <f t="shared" si="398"/>
        <v>#VALUE!</v>
      </c>
      <c r="W1794" s="1" t="e">
        <f t="shared" si="399"/>
        <v>#VALUE!</v>
      </c>
      <c r="X1794" s="26" t="e">
        <f t="shared" si="400"/>
        <v>#VALUE!</v>
      </c>
      <c r="Y1794" s="26" t="e">
        <f t="shared" si="401"/>
        <v>#VALUE!</v>
      </c>
      <c r="Z1794" s="1" t="e">
        <f t="shared" si="402"/>
        <v>#VALUE!</v>
      </c>
      <c r="AA1794"/>
      <c r="AB1794"/>
    </row>
    <row r="1795" spans="1:28" x14ac:dyDescent="0.55000000000000004">
      <c r="A1795" s="1">
        <f t="shared" ref="A1795:A1858" si="403">A1794+1</f>
        <v>1795</v>
      </c>
      <c r="B1795" t="s">
        <v>33</v>
      </c>
      <c r="C1795" t="s">
        <v>82</v>
      </c>
      <c r="D1795" t="s">
        <v>42</v>
      </c>
      <c r="E1795" t="s">
        <v>79</v>
      </c>
      <c r="F1795" t="s">
        <v>409</v>
      </c>
      <c r="G1795" t="s">
        <v>365</v>
      </c>
      <c r="I1795" t="s">
        <v>287</v>
      </c>
      <c r="K1795" t="s">
        <v>369</v>
      </c>
      <c r="M1795" t="s">
        <v>47</v>
      </c>
      <c r="N1795" s="1" t="e">
        <f t="shared" ref="N1795:N1858" si="404">VALUE(LEFT(H1795,1))</f>
        <v>#VALUE!</v>
      </c>
      <c r="O1795" s="1" t="e">
        <f t="shared" ref="O1795:O1858" si="405">VALUE(RIGHT(H1795,1))</f>
        <v>#VALUE!</v>
      </c>
      <c r="P1795" s="1" t="e">
        <f t="shared" ref="P1795:P1858" si="406">SUM(N1795,O1795)</f>
        <v>#VALUE!</v>
      </c>
      <c r="Q1795" s="1" t="e">
        <f t="shared" ref="Q1795:Q1858" si="407">IF(N1795&lt;&gt;O1795, 1, 0)</f>
        <v>#VALUE!</v>
      </c>
      <c r="R1795" s="1" t="e">
        <f t="shared" ref="R1795:R1858" si="408">IF(P1795&lt;=4,1,0)</f>
        <v>#VALUE!</v>
      </c>
      <c r="S1795" s="1" t="e">
        <f t="shared" ref="S1795:S1858" si="409">IF(AND(Q1795=1,R1795=1),1,0)</f>
        <v>#VALUE!</v>
      </c>
      <c r="T1795" s="1" t="e">
        <f t="shared" ref="T1795:T1858" si="410">IF(N1795&lt;=2,1,0)</f>
        <v>#VALUE!</v>
      </c>
      <c r="U1795" s="26" t="e">
        <f t="shared" ref="U1795:U1858" si="411">IF(AND(N1795&gt;=1,N1795&lt;=3),1,0)</f>
        <v>#VALUE!</v>
      </c>
      <c r="V1795" s="26" t="e">
        <f t="shared" ref="V1795:V1858" si="412">IF(AND(N1795&gt;=2,N1795&lt;=5),1,0)</f>
        <v>#VALUE!</v>
      </c>
      <c r="W1795" s="1" t="e">
        <f t="shared" ref="W1795:W1858" si="413">IF(O1795&lt;=2,1,0)</f>
        <v>#VALUE!</v>
      </c>
      <c r="X1795" s="26" t="e">
        <f t="shared" ref="X1795:X1858" si="414">IF(AND(O1795&gt;=1,O1795&lt;=3),1,0)</f>
        <v>#VALUE!</v>
      </c>
      <c r="Y1795" s="26" t="e">
        <f t="shared" ref="Y1795:Y1858" si="415">IF(AND(O1795&gt;=2,O1795&lt;=5),1,0)</f>
        <v>#VALUE!</v>
      </c>
      <c r="Z1795" s="1" t="e">
        <f t="shared" ref="Z1795:Z1858" si="416">IF(P1795&gt;=2,1,0)</f>
        <v>#VALUE!</v>
      </c>
      <c r="AA1795"/>
      <c r="AB1795"/>
    </row>
    <row r="1796" spans="1:28" x14ac:dyDescent="0.55000000000000004">
      <c r="A1796" s="1">
        <f t="shared" si="403"/>
        <v>1796</v>
      </c>
      <c r="B1796" t="s">
        <v>33</v>
      </c>
      <c r="C1796" t="s">
        <v>82</v>
      </c>
      <c r="D1796" t="s">
        <v>42</v>
      </c>
      <c r="E1796" t="s">
        <v>79</v>
      </c>
      <c r="F1796" t="s">
        <v>409</v>
      </c>
      <c r="G1796" t="s">
        <v>284</v>
      </c>
      <c r="I1796" t="s">
        <v>367</v>
      </c>
      <c r="K1796" t="s">
        <v>286</v>
      </c>
      <c r="M1796" t="s">
        <v>47</v>
      </c>
      <c r="N1796" s="1" t="e">
        <f t="shared" si="404"/>
        <v>#VALUE!</v>
      </c>
      <c r="O1796" s="1" t="e">
        <f t="shared" si="405"/>
        <v>#VALUE!</v>
      </c>
      <c r="P1796" s="1" t="e">
        <f t="shared" si="406"/>
        <v>#VALUE!</v>
      </c>
      <c r="Q1796" s="1" t="e">
        <f t="shared" si="407"/>
        <v>#VALUE!</v>
      </c>
      <c r="R1796" s="1" t="e">
        <f t="shared" si="408"/>
        <v>#VALUE!</v>
      </c>
      <c r="S1796" s="1" t="e">
        <f t="shared" si="409"/>
        <v>#VALUE!</v>
      </c>
      <c r="T1796" s="1" t="e">
        <f t="shared" si="410"/>
        <v>#VALUE!</v>
      </c>
      <c r="U1796" s="26" t="e">
        <f t="shared" si="411"/>
        <v>#VALUE!</v>
      </c>
      <c r="V1796" s="26" t="e">
        <f t="shared" si="412"/>
        <v>#VALUE!</v>
      </c>
      <c r="W1796" s="1" t="e">
        <f t="shared" si="413"/>
        <v>#VALUE!</v>
      </c>
      <c r="X1796" s="26" t="e">
        <f t="shared" si="414"/>
        <v>#VALUE!</v>
      </c>
      <c r="Y1796" s="26" t="e">
        <f t="shared" si="415"/>
        <v>#VALUE!</v>
      </c>
      <c r="Z1796" s="1" t="e">
        <f t="shared" si="416"/>
        <v>#VALUE!</v>
      </c>
      <c r="AA1796"/>
      <c r="AB1796"/>
    </row>
    <row r="1797" spans="1:28" x14ac:dyDescent="0.55000000000000004">
      <c r="A1797" s="1">
        <f t="shared" si="403"/>
        <v>1797</v>
      </c>
      <c r="B1797" t="s">
        <v>35</v>
      </c>
      <c r="C1797" t="s">
        <v>176</v>
      </c>
      <c r="D1797" t="s">
        <v>42</v>
      </c>
      <c r="E1797" t="s">
        <v>79</v>
      </c>
      <c r="F1797" t="s">
        <v>357</v>
      </c>
      <c r="G1797" t="s">
        <v>205</v>
      </c>
      <c r="I1797" t="s">
        <v>213</v>
      </c>
      <c r="K1797" t="s">
        <v>417</v>
      </c>
      <c r="M1797" t="s">
        <v>47</v>
      </c>
      <c r="N1797" s="1" t="e">
        <f t="shared" si="404"/>
        <v>#VALUE!</v>
      </c>
      <c r="O1797" s="1" t="e">
        <f t="shared" si="405"/>
        <v>#VALUE!</v>
      </c>
      <c r="P1797" s="1" t="e">
        <f t="shared" si="406"/>
        <v>#VALUE!</v>
      </c>
      <c r="Q1797" s="1" t="e">
        <f t="shared" si="407"/>
        <v>#VALUE!</v>
      </c>
      <c r="R1797" s="1" t="e">
        <f t="shared" si="408"/>
        <v>#VALUE!</v>
      </c>
      <c r="S1797" s="1" t="e">
        <f t="shared" si="409"/>
        <v>#VALUE!</v>
      </c>
      <c r="T1797" s="1" t="e">
        <f t="shared" si="410"/>
        <v>#VALUE!</v>
      </c>
      <c r="U1797" s="26" t="e">
        <f t="shared" si="411"/>
        <v>#VALUE!</v>
      </c>
      <c r="V1797" s="26" t="e">
        <f t="shared" si="412"/>
        <v>#VALUE!</v>
      </c>
      <c r="W1797" s="1" t="e">
        <f t="shared" si="413"/>
        <v>#VALUE!</v>
      </c>
      <c r="X1797" s="26" t="e">
        <f t="shared" si="414"/>
        <v>#VALUE!</v>
      </c>
      <c r="Y1797" s="26" t="e">
        <f t="shared" si="415"/>
        <v>#VALUE!</v>
      </c>
      <c r="Z1797" s="1" t="e">
        <f t="shared" si="416"/>
        <v>#VALUE!</v>
      </c>
      <c r="AA1797"/>
      <c r="AB1797"/>
    </row>
    <row r="1798" spans="1:28" x14ac:dyDescent="0.55000000000000004">
      <c r="A1798" s="1">
        <f t="shared" si="403"/>
        <v>1798</v>
      </c>
      <c r="B1798" t="s">
        <v>35</v>
      </c>
      <c r="C1798" t="s">
        <v>176</v>
      </c>
      <c r="D1798" t="s">
        <v>42</v>
      </c>
      <c r="E1798" t="s">
        <v>79</v>
      </c>
      <c r="F1798" t="s">
        <v>357</v>
      </c>
      <c r="G1798" t="s">
        <v>386</v>
      </c>
      <c r="I1798" t="s">
        <v>204</v>
      </c>
      <c r="K1798" t="s">
        <v>418</v>
      </c>
      <c r="M1798" t="s">
        <v>47</v>
      </c>
      <c r="N1798" s="1" t="e">
        <f t="shared" si="404"/>
        <v>#VALUE!</v>
      </c>
      <c r="O1798" s="1" t="e">
        <f t="shared" si="405"/>
        <v>#VALUE!</v>
      </c>
      <c r="P1798" s="1" t="e">
        <f t="shared" si="406"/>
        <v>#VALUE!</v>
      </c>
      <c r="Q1798" s="1" t="e">
        <f t="shared" si="407"/>
        <v>#VALUE!</v>
      </c>
      <c r="R1798" s="1" t="e">
        <f t="shared" si="408"/>
        <v>#VALUE!</v>
      </c>
      <c r="S1798" s="1" t="e">
        <f t="shared" si="409"/>
        <v>#VALUE!</v>
      </c>
      <c r="T1798" s="1" t="e">
        <f t="shared" si="410"/>
        <v>#VALUE!</v>
      </c>
      <c r="U1798" s="26" t="e">
        <f t="shared" si="411"/>
        <v>#VALUE!</v>
      </c>
      <c r="V1798" s="26" t="e">
        <f t="shared" si="412"/>
        <v>#VALUE!</v>
      </c>
      <c r="W1798" s="1" t="e">
        <f t="shared" si="413"/>
        <v>#VALUE!</v>
      </c>
      <c r="X1798" s="26" t="e">
        <f t="shared" si="414"/>
        <v>#VALUE!</v>
      </c>
      <c r="Y1798" s="26" t="e">
        <f t="shared" si="415"/>
        <v>#VALUE!</v>
      </c>
      <c r="Z1798" s="1" t="e">
        <f t="shared" si="416"/>
        <v>#VALUE!</v>
      </c>
      <c r="AA1798"/>
      <c r="AB1798"/>
    </row>
    <row r="1799" spans="1:28" x14ac:dyDescent="0.55000000000000004">
      <c r="A1799" s="1">
        <f t="shared" si="403"/>
        <v>1799</v>
      </c>
      <c r="B1799" t="s">
        <v>35</v>
      </c>
      <c r="C1799" t="s">
        <v>176</v>
      </c>
      <c r="D1799" t="s">
        <v>42</v>
      </c>
      <c r="E1799" t="s">
        <v>79</v>
      </c>
      <c r="F1799" t="s">
        <v>357</v>
      </c>
      <c r="G1799" t="s">
        <v>377</v>
      </c>
      <c r="I1799" t="s">
        <v>214</v>
      </c>
      <c r="K1799" t="s">
        <v>378</v>
      </c>
      <c r="M1799" t="s">
        <v>47</v>
      </c>
      <c r="N1799" s="1" t="e">
        <f t="shared" si="404"/>
        <v>#VALUE!</v>
      </c>
      <c r="O1799" s="1" t="e">
        <f t="shared" si="405"/>
        <v>#VALUE!</v>
      </c>
      <c r="P1799" s="1" t="e">
        <f t="shared" si="406"/>
        <v>#VALUE!</v>
      </c>
      <c r="Q1799" s="1" t="e">
        <f t="shared" si="407"/>
        <v>#VALUE!</v>
      </c>
      <c r="R1799" s="1" t="e">
        <f t="shared" si="408"/>
        <v>#VALUE!</v>
      </c>
      <c r="S1799" s="1" t="e">
        <f t="shared" si="409"/>
        <v>#VALUE!</v>
      </c>
      <c r="T1799" s="1" t="e">
        <f t="shared" si="410"/>
        <v>#VALUE!</v>
      </c>
      <c r="U1799" s="26" t="e">
        <f t="shared" si="411"/>
        <v>#VALUE!</v>
      </c>
      <c r="V1799" s="26" t="e">
        <f t="shared" si="412"/>
        <v>#VALUE!</v>
      </c>
      <c r="W1799" s="1" t="e">
        <f t="shared" si="413"/>
        <v>#VALUE!</v>
      </c>
      <c r="X1799" s="26" t="e">
        <f t="shared" si="414"/>
        <v>#VALUE!</v>
      </c>
      <c r="Y1799" s="26" t="e">
        <f t="shared" si="415"/>
        <v>#VALUE!</v>
      </c>
      <c r="Z1799" s="1" t="e">
        <f t="shared" si="416"/>
        <v>#VALUE!</v>
      </c>
      <c r="AA1799"/>
      <c r="AB1799"/>
    </row>
    <row r="1800" spans="1:28" x14ac:dyDescent="0.55000000000000004">
      <c r="A1800" s="1">
        <f t="shared" si="403"/>
        <v>1800</v>
      </c>
      <c r="B1800" t="s">
        <v>35</v>
      </c>
      <c r="C1800" t="s">
        <v>176</v>
      </c>
      <c r="D1800" t="s">
        <v>42</v>
      </c>
      <c r="E1800" t="s">
        <v>79</v>
      </c>
      <c r="F1800" t="s">
        <v>357</v>
      </c>
      <c r="G1800" t="s">
        <v>210</v>
      </c>
      <c r="I1800" t="s">
        <v>307</v>
      </c>
      <c r="K1800" t="s">
        <v>212</v>
      </c>
      <c r="M1800" t="s">
        <v>47</v>
      </c>
      <c r="N1800" s="1" t="e">
        <f t="shared" si="404"/>
        <v>#VALUE!</v>
      </c>
      <c r="O1800" s="1" t="e">
        <f t="shared" si="405"/>
        <v>#VALUE!</v>
      </c>
      <c r="P1800" s="1" t="e">
        <f t="shared" si="406"/>
        <v>#VALUE!</v>
      </c>
      <c r="Q1800" s="1" t="e">
        <f t="shared" si="407"/>
        <v>#VALUE!</v>
      </c>
      <c r="R1800" s="1" t="e">
        <f t="shared" si="408"/>
        <v>#VALUE!</v>
      </c>
      <c r="S1800" s="1" t="e">
        <f t="shared" si="409"/>
        <v>#VALUE!</v>
      </c>
      <c r="T1800" s="1" t="e">
        <f t="shared" si="410"/>
        <v>#VALUE!</v>
      </c>
      <c r="U1800" s="26" t="e">
        <f t="shared" si="411"/>
        <v>#VALUE!</v>
      </c>
      <c r="V1800" s="26" t="e">
        <f t="shared" si="412"/>
        <v>#VALUE!</v>
      </c>
      <c r="W1800" s="1" t="e">
        <f t="shared" si="413"/>
        <v>#VALUE!</v>
      </c>
      <c r="X1800" s="26" t="e">
        <f t="shared" si="414"/>
        <v>#VALUE!</v>
      </c>
      <c r="Y1800" s="26" t="e">
        <f t="shared" si="415"/>
        <v>#VALUE!</v>
      </c>
      <c r="Z1800" s="1" t="e">
        <f t="shared" si="416"/>
        <v>#VALUE!</v>
      </c>
      <c r="AA1800"/>
      <c r="AB1800"/>
    </row>
    <row r="1801" spans="1:28" x14ac:dyDescent="0.55000000000000004">
      <c r="A1801" s="1">
        <f t="shared" si="403"/>
        <v>1801</v>
      </c>
      <c r="B1801" t="s">
        <v>35</v>
      </c>
      <c r="C1801" t="s">
        <v>176</v>
      </c>
      <c r="D1801" t="s">
        <v>42</v>
      </c>
      <c r="E1801" t="s">
        <v>79</v>
      </c>
      <c r="F1801" t="s">
        <v>357</v>
      </c>
      <c r="G1801" t="s">
        <v>303</v>
      </c>
      <c r="I1801" t="s">
        <v>383</v>
      </c>
      <c r="K1801" t="s">
        <v>305</v>
      </c>
      <c r="M1801" t="s">
        <v>47</v>
      </c>
      <c r="N1801" s="1" t="e">
        <f t="shared" si="404"/>
        <v>#VALUE!</v>
      </c>
      <c r="O1801" s="1" t="e">
        <f t="shared" si="405"/>
        <v>#VALUE!</v>
      </c>
      <c r="P1801" s="1" t="e">
        <f t="shared" si="406"/>
        <v>#VALUE!</v>
      </c>
      <c r="Q1801" s="1" t="e">
        <f t="shared" si="407"/>
        <v>#VALUE!</v>
      </c>
      <c r="R1801" s="1" t="e">
        <f t="shared" si="408"/>
        <v>#VALUE!</v>
      </c>
      <c r="S1801" s="1" t="e">
        <f t="shared" si="409"/>
        <v>#VALUE!</v>
      </c>
      <c r="T1801" s="1" t="e">
        <f t="shared" si="410"/>
        <v>#VALUE!</v>
      </c>
      <c r="U1801" s="26" t="e">
        <f t="shared" si="411"/>
        <v>#VALUE!</v>
      </c>
      <c r="V1801" s="26" t="e">
        <f t="shared" si="412"/>
        <v>#VALUE!</v>
      </c>
      <c r="W1801" s="1" t="e">
        <f t="shared" si="413"/>
        <v>#VALUE!</v>
      </c>
      <c r="X1801" s="26" t="e">
        <f t="shared" si="414"/>
        <v>#VALUE!</v>
      </c>
      <c r="Y1801" s="26" t="e">
        <f t="shared" si="415"/>
        <v>#VALUE!</v>
      </c>
      <c r="Z1801" s="1" t="e">
        <f t="shared" si="416"/>
        <v>#VALUE!</v>
      </c>
      <c r="AA1801"/>
      <c r="AB1801"/>
    </row>
    <row r="1802" spans="1:28" x14ac:dyDescent="0.55000000000000004">
      <c r="A1802" s="1">
        <f t="shared" si="403"/>
        <v>1802</v>
      </c>
      <c r="B1802" t="s">
        <v>35</v>
      </c>
      <c r="C1802" t="s">
        <v>176</v>
      </c>
      <c r="D1802" t="s">
        <v>42</v>
      </c>
      <c r="E1802" t="s">
        <v>79</v>
      </c>
      <c r="F1802" t="s">
        <v>357</v>
      </c>
      <c r="G1802" t="s">
        <v>208</v>
      </c>
      <c r="I1802" t="s">
        <v>304</v>
      </c>
      <c r="K1802" t="s">
        <v>381</v>
      </c>
      <c r="M1802" t="s">
        <v>47</v>
      </c>
      <c r="N1802" s="1" t="e">
        <f t="shared" si="404"/>
        <v>#VALUE!</v>
      </c>
      <c r="O1802" s="1" t="e">
        <f t="shared" si="405"/>
        <v>#VALUE!</v>
      </c>
      <c r="P1802" s="1" t="e">
        <f t="shared" si="406"/>
        <v>#VALUE!</v>
      </c>
      <c r="Q1802" s="1" t="e">
        <f t="shared" si="407"/>
        <v>#VALUE!</v>
      </c>
      <c r="R1802" s="1" t="e">
        <f t="shared" si="408"/>
        <v>#VALUE!</v>
      </c>
      <c r="S1802" s="1" t="e">
        <f t="shared" si="409"/>
        <v>#VALUE!</v>
      </c>
      <c r="T1802" s="1" t="e">
        <f t="shared" si="410"/>
        <v>#VALUE!</v>
      </c>
      <c r="U1802" s="26" t="e">
        <f t="shared" si="411"/>
        <v>#VALUE!</v>
      </c>
      <c r="V1802" s="26" t="e">
        <f t="shared" si="412"/>
        <v>#VALUE!</v>
      </c>
      <c r="W1802" s="1" t="e">
        <f t="shared" si="413"/>
        <v>#VALUE!</v>
      </c>
      <c r="X1802" s="26" t="e">
        <f t="shared" si="414"/>
        <v>#VALUE!</v>
      </c>
      <c r="Y1802" s="26" t="e">
        <f t="shared" si="415"/>
        <v>#VALUE!</v>
      </c>
      <c r="Z1802" s="1" t="e">
        <f t="shared" si="416"/>
        <v>#VALUE!</v>
      </c>
      <c r="AA1802"/>
      <c r="AB1802"/>
    </row>
    <row r="1803" spans="1:28" x14ac:dyDescent="0.55000000000000004">
      <c r="A1803" s="1">
        <f t="shared" si="403"/>
        <v>1803</v>
      </c>
      <c r="B1803" t="s">
        <v>35</v>
      </c>
      <c r="C1803" t="s">
        <v>176</v>
      </c>
      <c r="D1803" t="s">
        <v>42</v>
      </c>
      <c r="E1803" t="s">
        <v>79</v>
      </c>
      <c r="F1803" t="s">
        <v>357</v>
      </c>
      <c r="G1803" t="s">
        <v>207</v>
      </c>
      <c r="I1803" t="s">
        <v>306</v>
      </c>
      <c r="K1803" t="s">
        <v>209</v>
      </c>
      <c r="M1803" t="s">
        <v>47</v>
      </c>
      <c r="N1803" s="1" t="e">
        <f t="shared" si="404"/>
        <v>#VALUE!</v>
      </c>
      <c r="O1803" s="1" t="e">
        <f t="shared" si="405"/>
        <v>#VALUE!</v>
      </c>
      <c r="P1803" s="1" t="e">
        <f t="shared" si="406"/>
        <v>#VALUE!</v>
      </c>
      <c r="Q1803" s="1" t="e">
        <f t="shared" si="407"/>
        <v>#VALUE!</v>
      </c>
      <c r="R1803" s="1" t="e">
        <f t="shared" si="408"/>
        <v>#VALUE!</v>
      </c>
      <c r="S1803" s="1" t="e">
        <f t="shared" si="409"/>
        <v>#VALUE!</v>
      </c>
      <c r="T1803" s="1" t="e">
        <f t="shared" si="410"/>
        <v>#VALUE!</v>
      </c>
      <c r="U1803" s="26" t="e">
        <f t="shared" si="411"/>
        <v>#VALUE!</v>
      </c>
      <c r="V1803" s="26" t="e">
        <f t="shared" si="412"/>
        <v>#VALUE!</v>
      </c>
      <c r="W1803" s="1" t="e">
        <f t="shared" si="413"/>
        <v>#VALUE!</v>
      </c>
      <c r="X1803" s="26" t="e">
        <f t="shared" si="414"/>
        <v>#VALUE!</v>
      </c>
      <c r="Y1803" s="26" t="e">
        <f t="shared" si="415"/>
        <v>#VALUE!</v>
      </c>
      <c r="Z1803" s="1" t="e">
        <f t="shared" si="416"/>
        <v>#VALUE!</v>
      </c>
      <c r="AA1803"/>
      <c r="AB1803"/>
    </row>
    <row r="1804" spans="1:28" x14ac:dyDescent="0.55000000000000004">
      <c r="A1804" s="1">
        <f t="shared" si="403"/>
        <v>1804</v>
      </c>
      <c r="B1804" t="s">
        <v>35</v>
      </c>
      <c r="C1804" t="s">
        <v>176</v>
      </c>
      <c r="D1804" t="s">
        <v>42</v>
      </c>
      <c r="E1804" t="s">
        <v>79</v>
      </c>
      <c r="F1804" t="s">
        <v>357</v>
      </c>
      <c r="G1804" t="s">
        <v>211</v>
      </c>
      <c r="I1804" t="s">
        <v>384</v>
      </c>
      <c r="K1804" t="s">
        <v>309</v>
      </c>
      <c r="M1804" t="s">
        <v>47</v>
      </c>
      <c r="N1804" s="1" t="e">
        <f t="shared" si="404"/>
        <v>#VALUE!</v>
      </c>
      <c r="O1804" s="1" t="e">
        <f t="shared" si="405"/>
        <v>#VALUE!</v>
      </c>
      <c r="P1804" s="1" t="e">
        <f t="shared" si="406"/>
        <v>#VALUE!</v>
      </c>
      <c r="Q1804" s="1" t="e">
        <f t="shared" si="407"/>
        <v>#VALUE!</v>
      </c>
      <c r="R1804" s="1" t="e">
        <f t="shared" si="408"/>
        <v>#VALUE!</v>
      </c>
      <c r="S1804" s="1" t="e">
        <f t="shared" si="409"/>
        <v>#VALUE!</v>
      </c>
      <c r="T1804" s="1" t="e">
        <f t="shared" si="410"/>
        <v>#VALUE!</v>
      </c>
      <c r="U1804" s="26" t="e">
        <f t="shared" si="411"/>
        <v>#VALUE!</v>
      </c>
      <c r="V1804" s="26" t="e">
        <f t="shared" si="412"/>
        <v>#VALUE!</v>
      </c>
      <c r="W1804" s="1" t="e">
        <f t="shared" si="413"/>
        <v>#VALUE!</v>
      </c>
      <c r="X1804" s="26" t="e">
        <f t="shared" si="414"/>
        <v>#VALUE!</v>
      </c>
      <c r="Y1804" s="26" t="e">
        <f t="shared" si="415"/>
        <v>#VALUE!</v>
      </c>
      <c r="Z1804" s="1" t="e">
        <f t="shared" si="416"/>
        <v>#VALUE!</v>
      </c>
      <c r="AA1804"/>
      <c r="AB1804"/>
    </row>
    <row r="1805" spans="1:28" x14ac:dyDescent="0.55000000000000004">
      <c r="A1805" s="1">
        <f t="shared" si="403"/>
        <v>1805</v>
      </c>
      <c r="B1805" t="s">
        <v>31</v>
      </c>
      <c r="C1805" t="s">
        <v>116</v>
      </c>
      <c r="D1805" t="s">
        <v>133</v>
      </c>
      <c r="E1805" t="s">
        <v>164</v>
      </c>
      <c r="G1805" t="s">
        <v>139</v>
      </c>
      <c r="I1805" t="s">
        <v>148</v>
      </c>
      <c r="K1805" t="s">
        <v>143</v>
      </c>
      <c r="M1805" t="s">
        <v>47</v>
      </c>
      <c r="N1805" s="1" t="e">
        <f t="shared" si="404"/>
        <v>#VALUE!</v>
      </c>
      <c r="O1805" s="1" t="e">
        <f t="shared" si="405"/>
        <v>#VALUE!</v>
      </c>
      <c r="P1805" s="1" t="e">
        <f t="shared" si="406"/>
        <v>#VALUE!</v>
      </c>
      <c r="Q1805" s="1" t="e">
        <f t="shared" si="407"/>
        <v>#VALUE!</v>
      </c>
      <c r="R1805" s="1" t="e">
        <f t="shared" si="408"/>
        <v>#VALUE!</v>
      </c>
      <c r="S1805" s="1" t="e">
        <f t="shared" si="409"/>
        <v>#VALUE!</v>
      </c>
      <c r="T1805" s="1" t="e">
        <f t="shared" si="410"/>
        <v>#VALUE!</v>
      </c>
      <c r="U1805" s="26" t="e">
        <f t="shared" si="411"/>
        <v>#VALUE!</v>
      </c>
      <c r="V1805" s="26" t="e">
        <f t="shared" si="412"/>
        <v>#VALUE!</v>
      </c>
      <c r="W1805" s="1" t="e">
        <f t="shared" si="413"/>
        <v>#VALUE!</v>
      </c>
      <c r="X1805" s="26" t="e">
        <f t="shared" si="414"/>
        <v>#VALUE!</v>
      </c>
      <c r="Y1805" s="26" t="e">
        <f t="shared" si="415"/>
        <v>#VALUE!</v>
      </c>
      <c r="Z1805" s="1" t="e">
        <f t="shared" si="416"/>
        <v>#VALUE!</v>
      </c>
      <c r="AA1805"/>
      <c r="AB1805"/>
    </row>
    <row r="1806" spans="1:28" x14ac:dyDescent="0.55000000000000004">
      <c r="A1806" s="1">
        <f t="shared" si="403"/>
        <v>1806</v>
      </c>
      <c r="B1806" t="s">
        <v>31</v>
      </c>
      <c r="C1806" t="s">
        <v>116</v>
      </c>
      <c r="D1806" t="s">
        <v>133</v>
      </c>
      <c r="E1806" t="s">
        <v>164</v>
      </c>
      <c r="G1806" t="s">
        <v>142</v>
      </c>
      <c r="I1806" t="s">
        <v>136</v>
      </c>
      <c r="K1806" t="s">
        <v>160</v>
      </c>
      <c r="M1806" t="s">
        <v>47</v>
      </c>
      <c r="N1806" s="1" t="e">
        <f t="shared" si="404"/>
        <v>#VALUE!</v>
      </c>
      <c r="O1806" s="1" t="e">
        <f t="shared" si="405"/>
        <v>#VALUE!</v>
      </c>
      <c r="P1806" s="1" t="e">
        <f t="shared" si="406"/>
        <v>#VALUE!</v>
      </c>
      <c r="Q1806" s="1" t="e">
        <f t="shared" si="407"/>
        <v>#VALUE!</v>
      </c>
      <c r="R1806" s="1" t="e">
        <f t="shared" si="408"/>
        <v>#VALUE!</v>
      </c>
      <c r="S1806" s="1" t="e">
        <f t="shared" si="409"/>
        <v>#VALUE!</v>
      </c>
      <c r="T1806" s="1" t="e">
        <f t="shared" si="410"/>
        <v>#VALUE!</v>
      </c>
      <c r="U1806" s="26" t="e">
        <f t="shared" si="411"/>
        <v>#VALUE!</v>
      </c>
      <c r="V1806" s="26" t="e">
        <f t="shared" si="412"/>
        <v>#VALUE!</v>
      </c>
      <c r="W1806" s="1" t="e">
        <f t="shared" si="413"/>
        <v>#VALUE!</v>
      </c>
      <c r="X1806" s="26" t="e">
        <f t="shared" si="414"/>
        <v>#VALUE!</v>
      </c>
      <c r="Y1806" s="26" t="e">
        <f t="shared" si="415"/>
        <v>#VALUE!</v>
      </c>
      <c r="Z1806" s="1" t="e">
        <f t="shared" si="416"/>
        <v>#VALUE!</v>
      </c>
      <c r="AA1806"/>
      <c r="AB1806"/>
    </row>
    <row r="1807" spans="1:28" x14ac:dyDescent="0.55000000000000004">
      <c r="A1807" s="1">
        <f t="shared" si="403"/>
        <v>1807</v>
      </c>
      <c r="B1807" t="s">
        <v>31</v>
      </c>
      <c r="C1807" t="s">
        <v>116</v>
      </c>
      <c r="D1807" t="s">
        <v>133</v>
      </c>
      <c r="E1807" t="s">
        <v>164</v>
      </c>
      <c r="G1807" t="s">
        <v>147</v>
      </c>
      <c r="I1807" t="s">
        <v>144</v>
      </c>
      <c r="K1807" t="s">
        <v>149</v>
      </c>
      <c r="M1807" t="s">
        <v>47</v>
      </c>
      <c r="N1807" s="1" t="e">
        <f t="shared" si="404"/>
        <v>#VALUE!</v>
      </c>
      <c r="O1807" s="1" t="e">
        <f t="shared" si="405"/>
        <v>#VALUE!</v>
      </c>
      <c r="P1807" s="1" t="e">
        <f t="shared" si="406"/>
        <v>#VALUE!</v>
      </c>
      <c r="Q1807" s="1" t="e">
        <f t="shared" si="407"/>
        <v>#VALUE!</v>
      </c>
      <c r="R1807" s="1" t="e">
        <f t="shared" si="408"/>
        <v>#VALUE!</v>
      </c>
      <c r="S1807" s="1" t="e">
        <f t="shared" si="409"/>
        <v>#VALUE!</v>
      </c>
      <c r="T1807" s="1" t="e">
        <f t="shared" si="410"/>
        <v>#VALUE!</v>
      </c>
      <c r="U1807" s="26" t="e">
        <f t="shared" si="411"/>
        <v>#VALUE!</v>
      </c>
      <c r="V1807" s="26" t="e">
        <f t="shared" si="412"/>
        <v>#VALUE!</v>
      </c>
      <c r="W1807" s="1" t="e">
        <f t="shared" si="413"/>
        <v>#VALUE!</v>
      </c>
      <c r="X1807" s="26" t="e">
        <f t="shared" si="414"/>
        <v>#VALUE!</v>
      </c>
      <c r="Y1807" s="26" t="e">
        <f t="shared" si="415"/>
        <v>#VALUE!</v>
      </c>
      <c r="Z1807" s="1" t="e">
        <f t="shared" si="416"/>
        <v>#VALUE!</v>
      </c>
      <c r="AA1807"/>
      <c r="AB1807"/>
    </row>
    <row r="1808" spans="1:28" x14ac:dyDescent="0.55000000000000004">
      <c r="A1808" s="1">
        <f t="shared" si="403"/>
        <v>1808</v>
      </c>
      <c r="B1808" t="s">
        <v>31</v>
      </c>
      <c r="C1808" t="s">
        <v>116</v>
      </c>
      <c r="D1808" t="s">
        <v>133</v>
      </c>
      <c r="E1808" t="s">
        <v>164</v>
      </c>
      <c r="G1808" t="s">
        <v>138</v>
      </c>
      <c r="I1808" t="s">
        <v>141</v>
      </c>
      <c r="K1808" t="s">
        <v>140</v>
      </c>
      <c r="M1808" t="s">
        <v>47</v>
      </c>
      <c r="N1808" s="1" t="e">
        <f t="shared" si="404"/>
        <v>#VALUE!</v>
      </c>
      <c r="O1808" s="1" t="e">
        <f t="shared" si="405"/>
        <v>#VALUE!</v>
      </c>
      <c r="P1808" s="1" t="e">
        <f t="shared" si="406"/>
        <v>#VALUE!</v>
      </c>
      <c r="Q1808" s="1" t="e">
        <f t="shared" si="407"/>
        <v>#VALUE!</v>
      </c>
      <c r="R1808" s="1" t="e">
        <f t="shared" si="408"/>
        <v>#VALUE!</v>
      </c>
      <c r="S1808" s="1" t="e">
        <f t="shared" si="409"/>
        <v>#VALUE!</v>
      </c>
      <c r="T1808" s="1" t="e">
        <f t="shared" si="410"/>
        <v>#VALUE!</v>
      </c>
      <c r="U1808" s="26" t="e">
        <f t="shared" si="411"/>
        <v>#VALUE!</v>
      </c>
      <c r="V1808" s="26" t="e">
        <f t="shared" si="412"/>
        <v>#VALUE!</v>
      </c>
      <c r="W1808" s="1" t="e">
        <f t="shared" si="413"/>
        <v>#VALUE!</v>
      </c>
      <c r="X1808" s="26" t="e">
        <f t="shared" si="414"/>
        <v>#VALUE!</v>
      </c>
      <c r="Y1808" s="26" t="e">
        <f t="shared" si="415"/>
        <v>#VALUE!</v>
      </c>
      <c r="Z1808" s="1" t="e">
        <f t="shared" si="416"/>
        <v>#VALUE!</v>
      </c>
      <c r="AA1808"/>
      <c r="AB1808"/>
    </row>
    <row r="1809" spans="1:28" x14ac:dyDescent="0.55000000000000004">
      <c r="A1809" s="1">
        <f t="shared" si="403"/>
        <v>1809</v>
      </c>
      <c r="B1809" t="s">
        <v>31</v>
      </c>
      <c r="C1809" t="s">
        <v>116</v>
      </c>
      <c r="D1809" t="s">
        <v>133</v>
      </c>
      <c r="E1809" t="s">
        <v>164</v>
      </c>
      <c r="G1809" t="s">
        <v>135</v>
      </c>
      <c r="I1809" t="s">
        <v>151</v>
      </c>
      <c r="K1809" t="s">
        <v>137</v>
      </c>
      <c r="M1809" t="s">
        <v>47</v>
      </c>
      <c r="N1809" s="1" t="e">
        <f t="shared" si="404"/>
        <v>#VALUE!</v>
      </c>
      <c r="O1809" s="1" t="e">
        <f t="shared" si="405"/>
        <v>#VALUE!</v>
      </c>
      <c r="P1809" s="1" t="e">
        <f t="shared" si="406"/>
        <v>#VALUE!</v>
      </c>
      <c r="Q1809" s="1" t="e">
        <f t="shared" si="407"/>
        <v>#VALUE!</v>
      </c>
      <c r="R1809" s="1" t="e">
        <f t="shared" si="408"/>
        <v>#VALUE!</v>
      </c>
      <c r="S1809" s="1" t="e">
        <f t="shared" si="409"/>
        <v>#VALUE!</v>
      </c>
      <c r="T1809" s="1" t="e">
        <f t="shared" si="410"/>
        <v>#VALUE!</v>
      </c>
      <c r="U1809" s="26" t="e">
        <f t="shared" si="411"/>
        <v>#VALUE!</v>
      </c>
      <c r="V1809" s="26" t="e">
        <f t="shared" si="412"/>
        <v>#VALUE!</v>
      </c>
      <c r="W1809" s="1" t="e">
        <f t="shared" si="413"/>
        <v>#VALUE!</v>
      </c>
      <c r="X1809" s="26" t="e">
        <f t="shared" si="414"/>
        <v>#VALUE!</v>
      </c>
      <c r="Y1809" s="26" t="e">
        <f t="shared" si="415"/>
        <v>#VALUE!</v>
      </c>
      <c r="Z1809" s="1" t="e">
        <f t="shared" si="416"/>
        <v>#VALUE!</v>
      </c>
      <c r="AA1809"/>
      <c r="AB1809"/>
    </row>
    <row r="1810" spans="1:28" x14ac:dyDescent="0.55000000000000004">
      <c r="A1810" s="1">
        <f t="shared" si="403"/>
        <v>1810</v>
      </c>
      <c r="B1810" t="s">
        <v>31</v>
      </c>
      <c r="C1810" t="s">
        <v>116</v>
      </c>
      <c r="D1810" t="s">
        <v>133</v>
      </c>
      <c r="E1810" t="s">
        <v>164</v>
      </c>
      <c r="G1810" t="s">
        <v>150</v>
      </c>
      <c r="I1810" t="s">
        <v>145</v>
      </c>
      <c r="K1810" t="s">
        <v>152</v>
      </c>
      <c r="M1810" t="s">
        <v>47</v>
      </c>
      <c r="N1810" s="1" t="e">
        <f t="shared" si="404"/>
        <v>#VALUE!</v>
      </c>
      <c r="O1810" s="1" t="e">
        <f t="shared" si="405"/>
        <v>#VALUE!</v>
      </c>
      <c r="P1810" s="1" t="e">
        <f t="shared" si="406"/>
        <v>#VALUE!</v>
      </c>
      <c r="Q1810" s="1" t="e">
        <f t="shared" si="407"/>
        <v>#VALUE!</v>
      </c>
      <c r="R1810" s="1" t="e">
        <f t="shared" si="408"/>
        <v>#VALUE!</v>
      </c>
      <c r="S1810" s="1" t="e">
        <f t="shared" si="409"/>
        <v>#VALUE!</v>
      </c>
      <c r="T1810" s="1" t="e">
        <f t="shared" si="410"/>
        <v>#VALUE!</v>
      </c>
      <c r="U1810" s="26" t="e">
        <f t="shared" si="411"/>
        <v>#VALUE!</v>
      </c>
      <c r="V1810" s="26" t="e">
        <f t="shared" si="412"/>
        <v>#VALUE!</v>
      </c>
      <c r="W1810" s="1" t="e">
        <f t="shared" si="413"/>
        <v>#VALUE!</v>
      </c>
      <c r="X1810" s="26" t="e">
        <f t="shared" si="414"/>
        <v>#VALUE!</v>
      </c>
      <c r="Y1810" s="26" t="e">
        <f t="shared" si="415"/>
        <v>#VALUE!</v>
      </c>
      <c r="Z1810" s="1" t="e">
        <f t="shared" si="416"/>
        <v>#VALUE!</v>
      </c>
      <c r="AA1810"/>
      <c r="AB1810"/>
    </row>
    <row r="1811" spans="1:28" x14ac:dyDescent="0.55000000000000004">
      <c r="A1811" s="1">
        <f t="shared" si="403"/>
        <v>1811</v>
      </c>
      <c r="B1811" t="s">
        <v>30</v>
      </c>
      <c r="C1811" t="s">
        <v>80</v>
      </c>
      <c r="D1811" t="s">
        <v>42</v>
      </c>
      <c r="E1811" t="s">
        <v>81</v>
      </c>
      <c r="G1811" t="s">
        <v>55</v>
      </c>
      <c r="I1811" t="s">
        <v>66</v>
      </c>
      <c r="K1811" t="s">
        <v>75</v>
      </c>
      <c r="M1811" t="s">
        <v>47</v>
      </c>
      <c r="N1811" s="1" t="e">
        <f t="shared" si="404"/>
        <v>#VALUE!</v>
      </c>
      <c r="O1811" s="1" t="e">
        <f t="shared" si="405"/>
        <v>#VALUE!</v>
      </c>
      <c r="P1811" s="1" t="e">
        <f t="shared" si="406"/>
        <v>#VALUE!</v>
      </c>
      <c r="Q1811" s="1" t="e">
        <f t="shared" si="407"/>
        <v>#VALUE!</v>
      </c>
      <c r="R1811" s="1" t="e">
        <f t="shared" si="408"/>
        <v>#VALUE!</v>
      </c>
      <c r="S1811" s="1" t="e">
        <f t="shared" si="409"/>
        <v>#VALUE!</v>
      </c>
      <c r="T1811" s="1" t="e">
        <f t="shared" si="410"/>
        <v>#VALUE!</v>
      </c>
      <c r="U1811" s="26" t="e">
        <f t="shared" si="411"/>
        <v>#VALUE!</v>
      </c>
      <c r="V1811" s="26" t="e">
        <f t="shared" si="412"/>
        <v>#VALUE!</v>
      </c>
      <c r="W1811" s="1" t="e">
        <f t="shared" si="413"/>
        <v>#VALUE!</v>
      </c>
      <c r="X1811" s="26" t="e">
        <f t="shared" si="414"/>
        <v>#VALUE!</v>
      </c>
      <c r="Y1811" s="26" t="e">
        <f t="shared" si="415"/>
        <v>#VALUE!</v>
      </c>
      <c r="Z1811" s="1" t="e">
        <f t="shared" si="416"/>
        <v>#VALUE!</v>
      </c>
      <c r="AA1811"/>
      <c r="AB1811"/>
    </row>
    <row r="1812" spans="1:28" x14ac:dyDescent="0.55000000000000004">
      <c r="A1812" s="1">
        <f t="shared" si="403"/>
        <v>1812</v>
      </c>
      <c r="B1812" t="s">
        <v>30</v>
      </c>
      <c r="C1812" t="s">
        <v>80</v>
      </c>
      <c r="D1812" t="s">
        <v>42</v>
      </c>
      <c r="E1812" t="s">
        <v>81</v>
      </c>
      <c r="G1812" t="s">
        <v>63</v>
      </c>
      <c r="I1812" t="s">
        <v>44</v>
      </c>
      <c r="K1812" t="s">
        <v>65</v>
      </c>
      <c r="M1812" t="s">
        <v>47</v>
      </c>
      <c r="N1812" s="1" t="e">
        <f t="shared" si="404"/>
        <v>#VALUE!</v>
      </c>
      <c r="O1812" s="1" t="e">
        <f t="shared" si="405"/>
        <v>#VALUE!</v>
      </c>
      <c r="P1812" s="1" t="e">
        <f t="shared" si="406"/>
        <v>#VALUE!</v>
      </c>
      <c r="Q1812" s="1" t="e">
        <f t="shared" si="407"/>
        <v>#VALUE!</v>
      </c>
      <c r="R1812" s="1" t="e">
        <f t="shared" si="408"/>
        <v>#VALUE!</v>
      </c>
      <c r="S1812" s="1" t="e">
        <f t="shared" si="409"/>
        <v>#VALUE!</v>
      </c>
      <c r="T1812" s="1" t="e">
        <f t="shared" si="410"/>
        <v>#VALUE!</v>
      </c>
      <c r="U1812" s="26" t="e">
        <f t="shared" si="411"/>
        <v>#VALUE!</v>
      </c>
      <c r="V1812" s="26" t="e">
        <f t="shared" si="412"/>
        <v>#VALUE!</v>
      </c>
      <c r="W1812" s="1" t="e">
        <f t="shared" si="413"/>
        <v>#VALUE!</v>
      </c>
      <c r="X1812" s="26" t="e">
        <f t="shared" si="414"/>
        <v>#VALUE!</v>
      </c>
      <c r="Y1812" s="26" t="e">
        <f t="shared" si="415"/>
        <v>#VALUE!</v>
      </c>
      <c r="Z1812" s="1" t="e">
        <f t="shared" si="416"/>
        <v>#VALUE!</v>
      </c>
      <c r="AA1812"/>
      <c r="AB1812"/>
    </row>
    <row r="1813" spans="1:28" x14ac:dyDescent="0.55000000000000004">
      <c r="A1813" s="1">
        <f t="shared" si="403"/>
        <v>1813</v>
      </c>
      <c r="B1813" t="s">
        <v>30</v>
      </c>
      <c r="C1813" t="s">
        <v>80</v>
      </c>
      <c r="D1813" t="s">
        <v>42</v>
      </c>
      <c r="E1813" t="s">
        <v>81</v>
      </c>
      <c r="G1813" t="s">
        <v>48</v>
      </c>
      <c r="I1813" t="s">
        <v>52</v>
      </c>
      <c r="K1813" t="s">
        <v>50</v>
      </c>
      <c r="M1813" t="s">
        <v>47</v>
      </c>
      <c r="N1813" s="1" t="e">
        <f t="shared" si="404"/>
        <v>#VALUE!</v>
      </c>
      <c r="O1813" s="1" t="e">
        <f t="shared" si="405"/>
        <v>#VALUE!</v>
      </c>
      <c r="P1813" s="1" t="e">
        <f t="shared" si="406"/>
        <v>#VALUE!</v>
      </c>
      <c r="Q1813" s="1" t="e">
        <f t="shared" si="407"/>
        <v>#VALUE!</v>
      </c>
      <c r="R1813" s="1" t="e">
        <f t="shared" si="408"/>
        <v>#VALUE!</v>
      </c>
      <c r="S1813" s="1" t="e">
        <f t="shared" si="409"/>
        <v>#VALUE!</v>
      </c>
      <c r="T1813" s="1" t="e">
        <f t="shared" si="410"/>
        <v>#VALUE!</v>
      </c>
      <c r="U1813" s="26" t="e">
        <f t="shared" si="411"/>
        <v>#VALUE!</v>
      </c>
      <c r="V1813" s="26" t="e">
        <f t="shared" si="412"/>
        <v>#VALUE!</v>
      </c>
      <c r="W1813" s="1" t="e">
        <f t="shared" si="413"/>
        <v>#VALUE!</v>
      </c>
      <c r="X1813" s="26" t="e">
        <f t="shared" si="414"/>
        <v>#VALUE!</v>
      </c>
      <c r="Y1813" s="26" t="e">
        <f t="shared" si="415"/>
        <v>#VALUE!</v>
      </c>
      <c r="Z1813" s="1" t="e">
        <f t="shared" si="416"/>
        <v>#VALUE!</v>
      </c>
      <c r="AA1813"/>
      <c r="AB1813"/>
    </row>
    <row r="1814" spans="1:28" x14ac:dyDescent="0.55000000000000004">
      <c r="A1814" s="1">
        <f t="shared" si="403"/>
        <v>1814</v>
      </c>
      <c r="B1814" t="s">
        <v>30</v>
      </c>
      <c r="C1814" t="s">
        <v>80</v>
      </c>
      <c r="D1814" t="s">
        <v>42</v>
      </c>
      <c r="E1814" t="s">
        <v>81</v>
      </c>
      <c r="G1814" t="s">
        <v>60</v>
      </c>
      <c r="I1814" t="s">
        <v>45</v>
      </c>
      <c r="K1814" t="s">
        <v>62</v>
      </c>
      <c r="M1814" t="s">
        <v>47</v>
      </c>
      <c r="N1814" s="1" t="e">
        <f t="shared" si="404"/>
        <v>#VALUE!</v>
      </c>
      <c r="O1814" s="1" t="e">
        <f t="shared" si="405"/>
        <v>#VALUE!</v>
      </c>
      <c r="P1814" s="1" t="e">
        <f t="shared" si="406"/>
        <v>#VALUE!</v>
      </c>
      <c r="Q1814" s="1" t="e">
        <f t="shared" si="407"/>
        <v>#VALUE!</v>
      </c>
      <c r="R1814" s="1" t="e">
        <f t="shared" si="408"/>
        <v>#VALUE!</v>
      </c>
      <c r="S1814" s="1" t="e">
        <f t="shared" si="409"/>
        <v>#VALUE!</v>
      </c>
      <c r="T1814" s="1" t="e">
        <f t="shared" si="410"/>
        <v>#VALUE!</v>
      </c>
      <c r="U1814" s="26" t="e">
        <f t="shared" si="411"/>
        <v>#VALUE!</v>
      </c>
      <c r="V1814" s="26" t="e">
        <f t="shared" si="412"/>
        <v>#VALUE!</v>
      </c>
      <c r="W1814" s="1" t="e">
        <f t="shared" si="413"/>
        <v>#VALUE!</v>
      </c>
      <c r="X1814" s="26" t="e">
        <f t="shared" si="414"/>
        <v>#VALUE!</v>
      </c>
      <c r="Y1814" s="26" t="e">
        <f t="shared" si="415"/>
        <v>#VALUE!</v>
      </c>
      <c r="Z1814" s="1" t="e">
        <f t="shared" si="416"/>
        <v>#VALUE!</v>
      </c>
      <c r="AA1814"/>
      <c r="AB1814"/>
    </row>
    <row r="1815" spans="1:28" x14ac:dyDescent="0.55000000000000004">
      <c r="A1815" s="1">
        <f t="shared" si="403"/>
        <v>1815</v>
      </c>
      <c r="B1815" t="s">
        <v>30</v>
      </c>
      <c r="C1815" t="s">
        <v>80</v>
      </c>
      <c r="D1815" t="s">
        <v>42</v>
      </c>
      <c r="E1815" t="s">
        <v>81</v>
      </c>
      <c r="G1815" t="s">
        <v>67</v>
      </c>
      <c r="I1815" t="s">
        <v>49</v>
      </c>
      <c r="K1815" t="s">
        <v>73</v>
      </c>
      <c r="M1815" t="s">
        <v>47</v>
      </c>
      <c r="N1815" s="1" t="e">
        <f t="shared" si="404"/>
        <v>#VALUE!</v>
      </c>
      <c r="O1815" s="1" t="e">
        <f t="shared" si="405"/>
        <v>#VALUE!</v>
      </c>
      <c r="P1815" s="1" t="e">
        <f t="shared" si="406"/>
        <v>#VALUE!</v>
      </c>
      <c r="Q1815" s="1" t="e">
        <f t="shared" si="407"/>
        <v>#VALUE!</v>
      </c>
      <c r="R1815" s="1" t="e">
        <f t="shared" si="408"/>
        <v>#VALUE!</v>
      </c>
      <c r="S1815" s="1" t="e">
        <f t="shared" si="409"/>
        <v>#VALUE!</v>
      </c>
      <c r="T1815" s="1" t="e">
        <f t="shared" si="410"/>
        <v>#VALUE!</v>
      </c>
      <c r="U1815" s="26" t="e">
        <f t="shared" si="411"/>
        <v>#VALUE!</v>
      </c>
      <c r="V1815" s="26" t="e">
        <f t="shared" si="412"/>
        <v>#VALUE!</v>
      </c>
      <c r="W1815" s="1" t="e">
        <f t="shared" si="413"/>
        <v>#VALUE!</v>
      </c>
      <c r="X1815" s="26" t="e">
        <f t="shared" si="414"/>
        <v>#VALUE!</v>
      </c>
      <c r="Y1815" s="26" t="e">
        <f t="shared" si="415"/>
        <v>#VALUE!</v>
      </c>
      <c r="Z1815" s="1" t="e">
        <f t="shared" si="416"/>
        <v>#VALUE!</v>
      </c>
      <c r="AA1815"/>
      <c r="AB1815"/>
    </row>
    <row r="1816" spans="1:28" x14ac:dyDescent="0.55000000000000004">
      <c r="A1816" s="1">
        <f t="shared" si="403"/>
        <v>1816</v>
      </c>
      <c r="B1816" t="s">
        <v>30</v>
      </c>
      <c r="C1816" t="s">
        <v>80</v>
      </c>
      <c r="D1816" t="s">
        <v>42</v>
      </c>
      <c r="E1816" t="s">
        <v>81</v>
      </c>
      <c r="G1816" t="s">
        <v>58</v>
      </c>
      <c r="I1816" t="s">
        <v>64</v>
      </c>
      <c r="K1816" t="s">
        <v>71</v>
      </c>
      <c r="M1816" t="s">
        <v>47</v>
      </c>
      <c r="N1816" s="1" t="e">
        <f t="shared" si="404"/>
        <v>#VALUE!</v>
      </c>
      <c r="O1816" s="1" t="e">
        <f t="shared" si="405"/>
        <v>#VALUE!</v>
      </c>
      <c r="P1816" s="1" t="e">
        <f t="shared" si="406"/>
        <v>#VALUE!</v>
      </c>
      <c r="Q1816" s="1" t="e">
        <f t="shared" si="407"/>
        <v>#VALUE!</v>
      </c>
      <c r="R1816" s="1" t="e">
        <f t="shared" si="408"/>
        <v>#VALUE!</v>
      </c>
      <c r="S1816" s="1" t="e">
        <f t="shared" si="409"/>
        <v>#VALUE!</v>
      </c>
      <c r="T1816" s="1" t="e">
        <f t="shared" si="410"/>
        <v>#VALUE!</v>
      </c>
      <c r="U1816" s="26" t="e">
        <f t="shared" si="411"/>
        <v>#VALUE!</v>
      </c>
      <c r="V1816" s="26" t="e">
        <f t="shared" si="412"/>
        <v>#VALUE!</v>
      </c>
      <c r="W1816" s="1" t="e">
        <f t="shared" si="413"/>
        <v>#VALUE!</v>
      </c>
      <c r="X1816" s="26" t="e">
        <f t="shared" si="414"/>
        <v>#VALUE!</v>
      </c>
      <c r="Y1816" s="26" t="e">
        <f t="shared" si="415"/>
        <v>#VALUE!</v>
      </c>
      <c r="Z1816" s="1" t="e">
        <f t="shared" si="416"/>
        <v>#VALUE!</v>
      </c>
      <c r="AA1816"/>
      <c r="AB1816"/>
    </row>
    <row r="1817" spans="1:28" x14ac:dyDescent="0.55000000000000004">
      <c r="A1817" s="1">
        <f t="shared" si="403"/>
        <v>1817</v>
      </c>
      <c r="B1817" t="s">
        <v>30</v>
      </c>
      <c r="C1817" t="s">
        <v>80</v>
      </c>
      <c r="D1817" t="s">
        <v>42</v>
      </c>
      <c r="E1817" t="s">
        <v>81</v>
      </c>
      <c r="G1817" t="s">
        <v>61</v>
      </c>
      <c r="I1817" t="s">
        <v>54</v>
      </c>
      <c r="K1817" t="s">
        <v>62</v>
      </c>
      <c r="M1817" t="s">
        <v>47</v>
      </c>
      <c r="N1817" s="1" t="e">
        <f t="shared" si="404"/>
        <v>#VALUE!</v>
      </c>
      <c r="O1817" s="1" t="e">
        <f t="shared" si="405"/>
        <v>#VALUE!</v>
      </c>
      <c r="P1817" s="1" t="e">
        <f t="shared" si="406"/>
        <v>#VALUE!</v>
      </c>
      <c r="Q1817" s="1" t="e">
        <f t="shared" si="407"/>
        <v>#VALUE!</v>
      </c>
      <c r="R1817" s="1" t="e">
        <f t="shared" si="408"/>
        <v>#VALUE!</v>
      </c>
      <c r="S1817" s="1" t="e">
        <f t="shared" si="409"/>
        <v>#VALUE!</v>
      </c>
      <c r="T1817" s="1" t="e">
        <f t="shared" si="410"/>
        <v>#VALUE!</v>
      </c>
      <c r="U1817" s="26" t="e">
        <f t="shared" si="411"/>
        <v>#VALUE!</v>
      </c>
      <c r="V1817" s="26" t="e">
        <f t="shared" si="412"/>
        <v>#VALUE!</v>
      </c>
      <c r="W1817" s="1" t="e">
        <f t="shared" si="413"/>
        <v>#VALUE!</v>
      </c>
      <c r="X1817" s="26" t="e">
        <f t="shared" si="414"/>
        <v>#VALUE!</v>
      </c>
      <c r="Y1817" s="26" t="e">
        <f t="shared" si="415"/>
        <v>#VALUE!</v>
      </c>
      <c r="Z1817" s="1" t="e">
        <f t="shared" si="416"/>
        <v>#VALUE!</v>
      </c>
      <c r="AA1817"/>
      <c r="AB1817"/>
    </row>
    <row r="1818" spans="1:28" x14ac:dyDescent="0.55000000000000004">
      <c r="A1818" s="1">
        <f t="shared" si="403"/>
        <v>1818</v>
      </c>
      <c r="B1818" t="s">
        <v>30</v>
      </c>
      <c r="C1818" t="s">
        <v>80</v>
      </c>
      <c r="D1818" t="s">
        <v>42</v>
      </c>
      <c r="E1818" t="s">
        <v>81</v>
      </c>
      <c r="G1818" t="s">
        <v>51</v>
      </c>
      <c r="I1818" t="s">
        <v>57</v>
      </c>
      <c r="K1818" t="s">
        <v>53</v>
      </c>
      <c r="M1818" t="s">
        <v>47</v>
      </c>
      <c r="N1818" s="1" t="e">
        <f t="shared" si="404"/>
        <v>#VALUE!</v>
      </c>
      <c r="O1818" s="1" t="e">
        <f t="shared" si="405"/>
        <v>#VALUE!</v>
      </c>
      <c r="P1818" s="1" t="e">
        <f t="shared" si="406"/>
        <v>#VALUE!</v>
      </c>
      <c r="Q1818" s="1" t="e">
        <f t="shared" si="407"/>
        <v>#VALUE!</v>
      </c>
      <c r="R1818" s="1" t="e">
        <f t="shared" si="408"/>
        <v>#VALUE!</v>
      </c>
      <c r="S1818" s="1" t="e">
        <f t="shared" si="409"/>
        <v>#VALUE!</v>
      </c>
      <c r="T1818" s="1" t="e">
        <f t="shared" si="410"/>
        <v>#VALUE!</v>
      </c>
      <c r="U1818" s="26" t="e">
        <f t="shared" si="411"/>
        <v>#VALUE!</v>
      </c>
      <c r="V1818" s="26" t="e">
        <f t="shared" si="412"/>
        <v>#VALUE!</v>
      </c>
      <c r="W1818" s="1" t="e">
        <f t="shared" si="413"/>
        <v>#VALUE!</v>
      </c>
      <c r="X1818" s="26" t="e">
        <f t="shared" si="414"/>
        <v>#VALUE!</v>
      </c>
      <c r="Y1818" s="26" t="e">
        <f t="shared" si="415"/>
        <v>#VALUE!</v>
      </c>
      <c r="Z1818" s="1" t="e">
        <f t="shared" si="416"/>
        <v>#VALUE!</v>
      </c>
      <c r="AA1818"/>
      <c r="AB1818"/>
    </row>
    <row r="1819" spans="1:28" x14ac:dyDescent="0.55000000000000004">
      <c r="A1819" s="1">
        <f t="shared" si="403"/>
        <v>1819</v>
      </c>
      <c r="B1819" t="s">
        <v>34</v>
      </c>
      <c r="C1819" t="s">
        <v>118</v>
      </c>
      <c r="D1819" t="s">
        <v>42</v>
      </c>
      <c r="E1819" t="s">
        <v>81</v>
      </c>
      <c r="G1819" t="s">
        <v>87</v>
      </c>
      <c r="I1819" t="s">
        <v>98</v>
      </c>
      <c r="K1819" t="s">
        <v>109</v>
      </c>
      <c r="M1819" t="s">
        <v>47</v>
      </c>
      <c r="N1819" s="1" t="e">
        <f t="shared" si="404"/>
        <v>#VALUE!</v>
      </c>
      <c r="O1819" s="1" t="e">
        <f t="shared" si="405"/>
        <v>#VALUE!</v>
      </c>
      <c r="P1819" s="1" t="e">
        <f t="shared" si="406"/>
        <v>#VALUE!</v>
      </c>
      <c r="Q1819" s="1" t="e">
        <f t="shared" si="407"/>
        <v>#VALUE!</v>
      </c>
      <c r="R1819" s="1" t="e">
        <f t="shared" si="408"/>
        <v>#VALUE!</v>
      </c>
      <c r="S1819" s="1" t="e">
        <f t="shared" si="409"/>
        <v>#VALUE!</v>
      </c>
      <c r="T1819" s="1" t="e">
        <f t="shared" si="410"/>
        <v>#VALUE!</v>
      </c>
      <c r="U1819" s="26" t="e">
        <f t="shared" si="411"/>
        <v>#VALUE!</v>
      </c>
      <c r="V1819" s="26" t="e">
        <f t="shared" si="412"/>
        <v>#VALUE!</v>
      </c>
      <c r="W1819" s="1" t="e">
        <f t="shared" si="413"/>
        <v>#VALUE!</v>
      </c>
      <c r="X1819" s="26" t="e">
        <f t="shared" si="414"/>
        <v>#VALUE!</v>
      </c>
      <c r="Y1819" s="26" t="e">
        <f t="shared" si="415"/>
        <v>#VALUE!</v>
      </c>
      <c r="Z1819" s="1" t="e">
        <f t="shared" si="416"/>
        <v>#VALUE!</v>
      </c>
      <c r="AA1819"/>
      <c r="AB1819"/>
    </row>
    <row r="1820" spans="1:28" x14ac:dyDescent="0.55000000000000004">
      <c r="A1820" s="1">
        <f t="shared" si="403"/>
        <v>1820</v>
      </c>
      <c r="B1820" t="s">
        <v>34</v>
      </c>
      <c r="C1820" t="s">
        <v>118</v>
      </c>
      <c r="D1820" t="s">
        <v>42</v>
      </c>
      <c r="E1820" t="s">
        <v>81</v>
      </c>
      <c r="G1820" t="s">
        <v>99</v>
      </c>
      <c r="I1820" t="s">
        <v>101</v>
      </c>
      <c r="K1820" t="s">
        <v>107</v>
      </c>
      <c r="M1820" t="s">
        <v>47</v>
      </c>
      <c r="N1820" s="1" t="e">
        <f t="shared" si="404"/>
        <v>#VALUE!</v>
      </c>
      <c r="O1820" s="1" t="e">
        <f t="shared" si="405"/>
        <v>#VALUE!</v>
      </c>
      <c r="P1820" s="1" t="e">
        <f t="shared" si="406"/>
        <v>#VALUE!</v>
      </c>
      <c r="Q1820" s="1" t="e">
        <f t="shared" si="407"/>
        <v>#VALUE!</v>
      </c>
      <c r="R1820" s="1" t="e">
        <f t="shared" si="408"/>
        <v>#VALUE!</v>
      </c>
      <c r="S1820" s="1" t="e">
        <f t="shared" si="409"/>
        <v>#VALUE!</v>
      </c>
      <c r="T1820" s="1" t="e">
        <f t="shared" si="410"/>
        <v>#VALUE!</v>
      </c>
      <c r="U1820" s="26" t="e">
        <f t="shared" si="411"/>
        <v>#VALUE!</v>
      </c>
      <c r="V1820" s="26" t="e">
        <f t="shared" si="412"/>
        <v>#VALUE!</v>
      </c>
      <c r="W1820" s="1" t="e">
        <f t="shared" si="413"/>
        <v>#VALUE!</v>
      </c>
      <c r="X1820" s="26" t="e">
        <f t="shared" si="414"/>
        <v>#VALUE!</v>
      </c>
      <c r="Y1820" s="26" t="e">
        <f t="shared" si="415"/>
        <v>#VALUE!</v>
      </c>
      <c r="Z1820" s="1" t="e">
        <f t="shared" si="416"/>
        <v>#VALUE!</v>
      </c>
      <c r="AA1820"/>
      <c r="AB1820"/>
    </row>
    <row r="1821" spans="1:28" x14ac:dyDescent="0.55000000000000004">
      <c r="A1821" s="1">
        <f t="shared" si="403"/>
        <v>1821</v>
      </c>
      <c r="B1821" t="s">
        <v>34</v>
      </c>
      <c r="C1821" t="s">
        <v>118</v>
      </c>
      <c r="D1821" t="s">
        <v>42</v>
      </c>
      <c r="E1821" t="s">
        <v>81</v>
      </c>
      <c r="G1821" t="s">
        <v>96</v>
      </c>
      <c r="I1821" t="s">
        <v>102</v>
      </c>
      <c r="K1821" t="s">
        <v>110</v>
      </c>
      <c r="M1821" t="s">
        <v>47</v>
      </c>
      <c r="N1821" s="1" t="e">
        <f t="shared" si="404"/>
        <v>#VALUE!</v>
      </c>
      <c r="O1821" s="1" t="e">
        <f t="shared" si="405"/>
        <v>#VALUE!</v>
      </c>
      <c r="P1821" s="1" t="e">
        <f t="shared" si="406"/>
        <v>#VALUE!</v>
      </c>
      <c r="Q1821" s="1" t="e">
        <f t="shared" si="407"/>
        <v>#VALUE!</v>
      </c>
      <c r="R1821" s="1" t="e">
        <f t="shared" si="408"/>
        <v>#VALUE!</v>
      </c>
      <c r="S1821" s="1" t="e">
        <f t="shared" si="409"/>
        <v>#VALUE!</v>
      </c>
      <c r="T1821" s="1" t="e">
        <f t="shared" si="410"/>
        <v>#VALUE!</v>
      </c>
      <c r="U1821" s="26" t="e">
        <f t="shared" si="411"/>
        <v>#VALUE!</v>
      </c>
      <c r="V1821" s="26" t="e">
        <f t="shared" si="412"/>
        <v>#VALUE!</v>
      </c>
      <c r="W1821" s="1" t="e">
        <f t="shared" si="413"/>
        <v>#VALUE!</v>
      </c>
      <c r="X1821" s="26" t="e">
        <f t="shared" si="414"/>
        <v>#VALUE!</v>
      </c>
      <c r="Y1821" s="26" t="e">
        <f t="shared" si="415"/>
        <v>#VALUE!</v>
      </c>
      <c r="Z1821" s="1" t="e">
        <f t="shared" si="416"/>
        <v>#VALUE!</v>
      </c>
      <c r="AA1821"/>
      <c r="AB1821"/>
    </row>
    <row r="1822" spans="1:28" x14ac:dyDescent="0.55000000000000004">
      <c r="A1822" s="1">
        <f t="shared" si="403"/>
        <v>1822</v>
      </c>
      <c r="B1822" t="s">
        <v>34</v>
      </c>
      <c r="C1822" t="s">
        <v>118</v>
      </c>
      <c r="D1822" t="s">
        <v>42</v>
      </c>
      <c r="E1822" t="s">
        <v>81</v>
      </c>
      <c r="G1822" t="s">
        <v>93</v>
      </c>
      <c r="I1822" t="s">
        <v>95</v>
      </c>
      <c r="K1822" t="s">
        <v>113</v>
      </c>
      <c r="M1822" t="s">
        <v>47</v>
      </c>
      <c r="N1822" s="1" t="e">
        <f t="shared" si="404"/>
        <v>#VALUE!</v>
      </c>
      <c r="O1822" s="1" t="e">
        <f t="shared" si="405"/>
        <v>#VALUE!</v>
      </c>
      <c r="P1822" s="1" t="e">
        <f t="shared" si="406"/>
        <v>#VALUE!</v>
      </c>
      <c r="Q1822" s="1" t="e">
        <f t="shared" si="407"/>
        <v>#VALUE!</v>
      </c>
      <c r="R1822" s="1" t="e">
        <f t="shared" si="408"/>
        <v>#VALUE!</v>
      </c>
      <c r="S1822" s="1" t="e">
        <f t="shared" si="409"/>
        <v>#VALUE!</v>
      </c>
      <c r="T1822" s="1" t="e">
        <f t="shared" si="410"/>
        <v>#VALUE!</v>
      </c>
      <c r="U1822" s="26" t="e">
        <f t="shared" si="411"/>
        <v>#VALUE!</v>
      </c>
      <c r="V1822" s="26" t="e">
        <f t="shared" si="412"/>
        <v>#VALUE!</v>
      </c>
      <c r="W1822" s="1" t="e">
        <f t="shared" si="413"/>
        <v>#VALUE!</v>
      </c>
      <c r="X1822" s="26" t="e">
        <f t="shared" si="414"/>
        <v>#VALUE!</v>
      </c>
      <c r="Y1822" s="26" t="e">
        <f t="shared" si="415"/>
        <v>#VALUE!</v>
      </c>
      <c r="Z1822" s="1" t="e">
        <f t="shared" si="416"/>
        <v>#VALUE!</v>
      </c>
      <c r="AA1822"/>
      <c r="AB1822"/>
    </row>
    <row r="1823" spans="1:28" x14ac:dyDescent="0.55000000000000004">
      <c r="A1823" s="1">
        <f t="shared" si="403"/>
        <v>1823</v>
      </c>
      <c r="B1823" t="s">
        <v>34</v>
      </c>
      <c r="C1823" t="s">
        <v>118</v>
      </c>
      <c r="D1823" t="s">
        <v>42</v>
      </c>
      <c r="E1823" t="s">
        <v>81</v>
      </c>
      <c r="G1823" t="s">
        <v>90</v>
      </c>
      <c r="I1823" t="s">
        <v>89</v>
      </c>
      <c r="K1823" t="s">
        <v>108</v>
      </c>
      <c r="M1823" t="s">
        <v>47</v>
      </c>
      <c r="N1823" s="1" t="e">
        <f t="shared" si="404"/>
        <v>#VALUE!</v>
      </c>
      <c r="O1823" s="1" t="e">
        <f t="shared" si="405"/>
        <v>#VALUE!</v>
      </c>
      <c r="P1823" s="1" t="e">
        <f t="shared" si="406"/>
        <v>#VALUE!</v>
      </c>
      <c r="Q1823" s="1" t="e">
        <f t="shared" si="407"/>
        <v>#VALUE!</v>
      </c>
      <c r="R1823" s="1" t="e">
        <f t="shared" si="408"/>
        <v>#VALUE!</v>
      </c>
      <c r="S1823" s="1" t="e">
        <f t="shared" si="409"/>
        <v>#VALUE!</v>
      </c>
      <c r="T1823" s="1" t="e">
        <f t="shared" si="410"/>
        <v>#VALUE!</v>
      </c>
      <c r="U1823" s="26" t="e">
        <f t="shared" si="411"/>
        <v>#VALUE!</v>
      </c>
      <c r="V1823" s="26" t="e">
        <f t="shared" si="412"/>
        <v>#VALUE!</v>
      </c>
      <c r="W1823" s="1" t="e">
        <f t="shared" si="413"/>
        <v>#VALUE!</v>
      </c>
      <c r="X1823" s="26" t="e">
        <f t="shared" si="414"/>
        <v>#VALUE!</v>
      </c>
      <c r="Y1823" s="26" t="e">
        <f t="shared" si="415"/>
        <v>#VALUE!</v>
      </c>
      <c r="Z1823" s="1" t="e">
        <f t="shared" si="416"/>
        <v>#VALUE!</v>
      </c>
      <c r="AA1823"/>
      <c r="AB1823"/>
    </row>
    <row r="1824" spans="1:28" x14ac:dyDescent="0.55000000000000004">
      <c r="A1824" s="1">
        <f t="shared" si="403"/>
        <v>1824</v>
      </c>
      <c r="B1824" t="s">
        <v>34</v>
      </c>
      <c r="C1824" t="s">
        <v>118</v>
      </c>
      <c r="D1824" t="s">
        <v>42</v>
      </c>
      <c r="E1824" t="s">
        <v>81</v>
      </c>
      <c r="G1824" t="s">
        <v>92</v>
      </c>
      <c r="I1824" t="s">
        <v>86</v>
      </c>
      <c r="K1824" t="s">
        <v>94</v>
      </c>
      <c r="M1824" t="s">
        <v>47</v>
      </c>
      <c r="N1824" s="1" t="e">
        <f t="shared" si="404"/>
        <v>#VALUE!</v>
      </c>
      <c r="O1824" s="1" t="e">
        <f t="shared" si="405"/>
        <v>#VALUE!</v>
      </c>
      <c r="P1824" s="1" t="e">
        <f t="shared" si="406"/>
        <v>#VALUE!</v>
      </c>
      <c r="Q1824" s="1" t="e">
        <f t="shared" si="407"/>
        <v>#VALUE!</v>
      </c>
      <c r="R1824" s="1" t="e">
        <f t="shared" si="408"/>
        <v>#VALUE!</v>
      </c>
      <c r="S1824" s="1" t="e">
        <f t="shared" si="409"/>
        <v>#VALUE!</v>
      </c>
      <c r="T1824" s="1" t="e">
        <f t="shared" si="410"/>
        <v>#VALUE!</v>
      </c>
      <c r="U1824" s="26" t="e">
        <f t="shared" si="411"/>
        <v>#VALUE!</v>
      </c>
      <c r="V1824" s="26" t="e">
        <f t="shared" si="412"/>
        <v>#VALUE!</v>
      </c>
      <c r="W1824" s="1" t="e">
        <f t="shared" si="413"/>
        <v>#VALUE!</v>
      </c>
      <c r="X1824" s="26" t="e">
        <f t="shared" si="414"/>
        <v>#VALUE!</v>
      </c>
      <c r="Y1824" s="26" t="e">
        <f t="shared" si="415"/>
        <v>#VALUE!</v>
      </c>
      <c r="Z1824" s="1" t="e">
        <f t="shared" si="416"/>
        <v>#VALUE!</v>
      </c>
      <c r="AA1824"/>
      <c r="AB1824"/>
    </row>
    <row r="1825" spans="1:28" x14ac:dyDescent="0.55000000000000004">
      <c r="A1825" s="1">
        <f t="shared" si="403"/>
        <v>1825</v>
      </c>
      <c r="B1825" t="s">
        <v>35</v>
      </c>
      <c r="C1825" t="s">
        <v>76</v>
      </c>
      <c r="D1825" t="s">
        <v>42</v>
      </c>
      <c r="E1825" t="s">
        <v>81</v>
      </c>
      <c r="F1825" t="s">
        <v>357</v>
      </c>
      <c r="G1825" t="s">
        <v>213</v>
      </c>
      <c r="I1825" t="s">
        <v>207</v>
      </c>
      <c r="K1825" t="s">
        <v>215</v>
      </c>
      <c r="M1825" t="s">
        <v>47</v>
      </c>
      <c r="N1825" s="1" t="e">
        <f t="shared" si="404"/>
        <v>#VALUE!</v>
      </c>
      <c r="O1825" s="1" t="e">
        <f t="shared" si="405"/>
        <v>#VALUE!</v>
      </c>
      <c r="P1825" s="1" t="e">
        <f t="shared" si="406"/>
        <v>#VALUE!</v>
      </c>
      <c r="Q1825" s="1" t="e">
        <f t="shared" si="407"/>
        <v>#VALUE!</v>
      </c>
      <c r="R1825" s="1" t="e">
        <f t="shared" si="408"/>
        <v>#VALUE!</v>
      </c>
      <c r="S1825" s="1" t="e">
        <f t="shared" si="409"/>
        <v>#VALUE!</v>
      </c>
      <c r="T1825" s="1" t="e">
        <f t="shared" si="410"/>
        <v>#VALUE!</v>
      </c>
      <c r="U1825" s="26" t="e">
        <f t="shared" si="411"/>
        <v>#VALUE!</v>
      </c>
      <c r="V1825" s="26" t="e">
        <f t="shared" si="412"/>
        <v>#VALUE!</v>
      </c>
      <c r="W1825" s="1" t="e">
        <f t="shared" si="413"/>
        <v>#VALUE!</v>
      </c>
      <c r="X1825" s="26" t="e">
        <f t="shared" si="414"/>
        <v>#VALUE!</v>
      </c>
      <c r="Y1825" s="26" t="e">
        <f t="shared" si="415"/>
        <v>#VALUE!</v>
      </c>
      <c r="Z1825" s="1" t="e">
        <f t="shared" si="416"/>
        <v>#VALUE!</v>
      </c>
      <c r="AA1825"/>
      <c r="AB1825"/>
    </row>
    <row r="1826" spans="1:28" x14ac:dyDescent="0.55000000000000004">
      <c r="A1826" s="1">
        <f t="shared" si="403"/>
        <v>1826</v>
      </c>
      <c r="B1826" t="s">
        <v>35</v>
      </c>
      <c r="C1826" t="s">
        <v>76</v>
      </c>
      <c r="D1826" t="s">
        <v>42</v>
      </c>
      <c r="E1826" t="s">
        <v>81</v>
      </c>
      <c r="F1826" t="s">
        <v>357</v>
      </c>
      <c r="G1826" t="s">
        <v>377</v>
      </c>
      <c r="I1826" t="s">
        <v>303</v>
      </c>
      <c r="K1826" t="s">
        <v>378</v>
      </c>
      <c r="M1826" t="s">
        <v>47</v>
      </c>
      <c r="N1826" s="1" t="e">
        <f t="shared" si="404"/>
        <v>#VALUE!</v>
      </c>
      <c r="O1826" s="1" t="e">
        <f t="shared" si="405"/>
        <v>#VALUE!</v>
      </c>
      <c r="P1826" s="1" t="e">
        <f t="shared" si="406"/>
        <v>#VALUE!</v>
      </c>
      <c r="Q1826" s="1" t="e">
        <f t="shared" si="407"/>
        <v>#VALUE!</v>
      </c>
      <c r="R1826" s="1" t="e">
        <f t="shared" si="408"/>
        <v>#VALUE!</v>
      </c>
      <c r="S1826" s="1" t="e">
        <f t="shared" si="409"/>
        <v>#VALUE!</v>
      </c>
      <c r="T1826" s="1" t="e">
        <f t="shared" si="410"/>
        <v>#VALUE!</v>
      </c>
      <c r="U1826" s="26" t="e">
        <f t="shared" si="411"/>
        <v>#VALUE!</v>
      </c>
      <c r="V1826" s="26" t="e">
        <f t="shared" si="412"/>
        <v>#VALUE!</v>
      </c>
      <c r="W1826" s="1" t="e">
        <f t="shared" si="413"/>
        <v>#VALUE!</v>
      </c>
      <c r="X1826" s="26" t="e">
        <f t="shared" si="414"/>
        <v>#VALUE!</v>
      </c>
      <c r="Y1826" s="26" t="e">
        <f t="shared" si="415"/>
        <v>#VALUE!</v>
      </c>
      <c r="Z1826" s="1" t="e">
        <f t="shared" si="416"/>
        <v>#VALUE!</v>
      </c>
      <c r="AA1826"/>
      <c r="AB1826"/>
    </row>
    <row r="1827" spans="1:28" x14ac:dyDescent="0.55000000000000004">
      <c r="A1827" s="1">
        <f t="shared" si="403"/>
        <v>1827</v>
      </c>
      <c r="B1827" t="s">
        <v>35</v>
      </c>
      <c r="C1827" t="s">
        <v>76</v>
      </c>
      <c r="D1827" t="s">
        <v>42</v>
      </c>
      <c r="E1827" t="s">
        <v>81</v>
      </c>
      <c r="F1827" t="s">
        <v>357</v>
      </c>
      <c r="G1827" t="s">
        <v>205</v>
      </c>
      <c r="I1827" t="s">
        <v>211</v>
      </c>
      <c r="K1827" t="s">
        <v>417</v>
      </c>
      <c r="M1827" t="s">
        <v>47</v>
      </c>
      <c r="N1827" s="1" t="e">
        <f t="shared" si="404"/>
        <v>#VALUE!</v>
      </c>
      <c r="O1827" s="1" t="e">
        <f t="shared" si="405"/>
        <v>#VALUE!</v>
      </c>
      <c r="P1827" s="1" t="e">
        <f t="shared" si="406"/>
        <v>#VALUE!</v>
      </c>
      <c r="Q1827" s="1" t="e">
        <f t="shared" si="407"/>
        <v>#VALUE!</v>
      </c>
      <c r="R1827" s="1" t="e">
        <f t="shared" si="408"/>
        <v>#VALUE!</v>
      </c>
      <c r="S1827" s="1" t="e">
        <f t="shared" si="409"/>
        <v>#VALUE!</v>
      </c>
      <c r="T1827" s="1" t="e">
        <f t="shared" si="410"/>
        <v>#VALUE!</v>
      </c>
      <c r="U1827" s="26" t="e">
        <f t="shared" si="411"/>
        <v>#VALUE!</v>
      </c>
      <c r="V1827" s="26" t="e">
        <f t="shared" si="412"/>
        <v>#VALUE!</v>
      </c>
      <c r="W1827" s="1" t="e">
        <f t="shared" si="413"/>
        <v>#VALUE!</v>
      </c>
      <c r="X1827" s="26" t="e">
        <f t="shared" si="414"/>
        <v>#VALUE!</v>
      </c>
      <c r="Y1827" s="26" t="e">
        <f t="shared" si="415"/>
        <v>#VALUE!</v>
      </c>
      <c r="Z1827" s="1" t="e">
        <f t="shared" si="416"/>
        <v>#VALUE!</v>
      </c>
      <c r="AA1827"/>
      <c r="AB1827"/>
    </row>
    <row r="1828" spans="1:28" x14ac:dyDescent="0.55000000000000004">
      <c r="A1828" s="1">
        <f t="shared" si="403"/>
        <v>1828</v>
      </c>
      <c r="B1828" t="s">
        <v>35</v>
      </c>
      <c r="C1828" t="s">
        <v>76</v>
      </c>
      <c r="D1828" t="s">
        <v>42</v>
      </c>
      <c r="E1828" t="s">
        <v>81</v>
      </c>
      <c r="F1828" t="s">
        <v>357</v>
      </c>
      <c r="G1828" t="s">
        <v>304</v>
      </c>
      <c r="I1828" t="s">
        <v>384</v>
      </c>
      <c r="K1828" t="s">
        <v>382</v>
      </c>
      <c r="M1828" t="s">
        <v>47</v>
      </c>
      <c r="N1828" s="1" t="e">
        <f t="shared" si="404"/>
        <v>#VALUE!</v>
      </c>
      <c r="O1828" s="1" t="e">
        <f t="shared" si="405"/>
        <v>#VALUE!</v>
      </c>
      <c r="P1828" s="1" t="e">
        <f t="shared" si="406"/>
        <v>#VALUE!</v>
      </c>
      <c r="Q1828" s="1" t="e">
        <f t="shared" si="407"/>
        <v>#VALUE!</v>
      </c>
      <c r="R1828" s="1" t="e">
        <f t="shared" si="408"/>
        <v>#VALUE!</v>
      </c>
      <c r="S1828" s="1" t="e">
        <f t="shared" si="409"/>
        <v>#VALUE!</v>
      </c>
      <c r="T1828" s="1" t="e">
        <f t="shared" si="410"/>
        <v>#VALUE!</v>
      </c>
      <c r="U1828" s="26" t="e">
        <f t="shared" si="411"/>
        <v>#VALUE!</v>
      </c>
      <c r="V1828" s="26" t="e">
        <f t="shared" si="412"/>
        <v>#VALUE!</v>
      </c>
      <c r="W1828" s="1" t="e">
        <f t="shared" si="413"/>
        <v>#VALUE!</v>
      </c>
      <c r="X1828" s="26" t="e">
        <f t="shared" si="414"/>
        <v>#VALUE!</v>
      </c>
      <c r="Y1828" s="26" t="e">
        <f t="shared" si="415"/>
        <v>#VALUE!</v>
      </c>
      <c r="Z1828" s="1" t="e">
        <f t="shared" si="416"/>
        <v>#VALUE!</v>
      </c>
      <c r="AA1828"/>
      <c r="AB1828"/>
    </row>
    <row r="1829" spans="1:28" x14ac:dyDescent="0.55000000000000004">
      <c r="A1829" s="1">
        <f t="shared" si="403"/>
        <v>1829</v>
      </c>
      <c r="B1829" t="s">
        <v>35</v>
      </c>
      <c r="C1829" t="s">
        <v>76</v>
      </c>
      <c r="D1829" t="s">
        <v>42</v>
      </c>
      <c r="E1829" t="s">
        <v>81</v>
      </c>
      <c r="F1829" t="s">
        <v>357</v>
      </c>
      <c r="G1829" t="s">
        <v>383</v>
      </c>
      <c r="I1829" t="s">
        <v>204</v>
      </c>
      <c r="K1829" t="s">
        <v>387</v>
      </c>
      <c r="M1829" t="s">
        <v>47</v>
      </c>
      <c r="N1829" s="1" t="e">
        <f t="shared" si="404"/>
        <v>#VALUE!</v>
      </c>
      <c r="O1829" s="1" t="e">
        <f t="shared" si="405"/>
        <v>#VALUE!</v>
      </c>
      <c r="P1829" s="1" t="e">
        <f t="shared" si="406"/>
        <v>#VALUE!</v>
      </c>
      <c r="Q1829" s="1" t="e">
        <f t="shared" si="407"/>
        <v>#VALUE!</v>
      </c>
      <c r="R1829" s="1" t="e">
        <f t="shared" si="408"/>
        <v>#VALUE!</v>
      </c>
      <c r="S1829" s="1" t="e">
        <f t="shared" si="409"/>
        <v>#VALUE!</v>
      </c>
      <c r="T1829" s="1" t="e">
        <f t="shared" si="410"/>
        <v>#VALUE!</v>
      </c>
      <c r="U1829" s="26" t="e">
        <f t="shared" si="411"/>
        <v>#VALUE!</v>
      </c>
      <c r="V1829" s="26" t="e">
        <f t="shared" si="412"/>
        <v>#VALUE!</v>
      </c>
      <c r="W1829" s="1" t="e">
        <f t="shared" si="413"/>
        <v>#VALUE!</v>
      </c>
      <c r="X1829" s="26" t="e">
        <f t="shared" si="414"/>
        <v>#VALUE!</v>
      </c>
      <c r="Y1829" s="26" t="e">
        <f t="shared" si="415"/>
        <v>#VALUE!</v>
      </c>
      <c r="Z1829" s="1" t="e">
        <f t="shared" si="416"/>
        <v>#VALUE!</v>
      </c>
      <c r="AA1829"/>
      <c r="AB1829"/>
    </row>
    <row r="1830" spans="1:28" x14ac:dyDescent="0.55000000000000004">
      <c r="A1830" s="1">
        <f t="shared" si="403"/>
        <v>1830</v>
      </c>
      <c r="B1830" t="s">
        <v>35</v>
      </c>
      <c r="C1830" t="s">
        <v>76</v>
      </c>
      <c r="D1830" t="s">
        <v>42</v>
      </c>
      <c r="E1830" t="s">
        <v>81</v>
      </c>
      <c r="F1830" t="s">
        <v>357</v>
      </c>
      <c r="G1830" t="s">
        <v>306</v>
      </c>
      <c r="I1830" t="s">
        <v>210</v>
      </c>
      <c r="K1830" t="s">
        <v>308</v>
      </c>
      <c r="M1830" t="s">
        <v>47</v>
      </c>
      <c r="N1830" s="1" t="e">
        <f t="shared" si="404"/>
        <v>#VALUE!</v>
      </c>
      <c r="O1830" s="1" t="e">
        <f t="shared" si="405"/>
        <v>#VALUE!</v>
      </c>
      <c r="P1830" s="1" t="e">
        <f t="shared" si="406"/>
        <v>#VALUE!</v>
      </c>
      <c r="Q1830" s="1" t="e">
        <f t="shared" si="407"/>
        <v>#VALUE!</v>
      </c>
      <c r="R1830" s="1" t="e">
        <f t="shared" si="408"/>
        <v>#VALUE!</v>
      </c>
      <c r="S1830" s="1" t="e">
        <f t="shared" si="409"/>
        <v>#VALUE!</v>
      </c>
      <c r="T1830" s="1" t="e">
        <f t="shared" si="410"/>
        <v>#VALUE!</v>
      </c>
      <c r="U1830" s="26" t="e">
        <f t="shared" si="411"/>
        <v>#VALUE!</v>
      </c>
      <c r="V1830" s="26" t="e">
        <f t="shared" si="412"/>
        <v>#VALUE!</v>
      </c>
      <c r="W1830" s="1" t="e">
        <f t="shared" si="413"/>
        <v>#VALUE!</v>
      </c>
      <c r="X1830" s="26" t="e">
        <f t="shared" si="414"/>
        <v>#VALUE!</v>
      </c>
      <c r="Y1830" s="26" t="e">
        <f t="shared" si="415"/>
        <v>#VALUE!</v>
      </c>
      <c r="Z1830" s="1" t="e">
        <f t="shared" si="416"/>
        <v>#VALUE!</v>
      </c>
      <c r="AA1830"/>
      <c r="AB1830"/>
    </row>
    <row r="1831" spans="1:28" x14ac:dyDescent="0.55000000000000004">
      <c r="A1831" s="1">
        <f t="shared" si="403"/>
        <v>1831</v>
      </c>
      <c r="B1831" t="s">
        <v>35</v>
      </c>
      <c r="C1831" t="s">
        <v>76</v>
      </c>
      <c r="D1831" t="s">
        <v>42</v>
      </c>
      <c r="E1831" t="s">
        <v>81</v>
      </c>
      <c r="F1831" t="s">
        <v>357</v>
      </c>
      <c r="G1831" t="s">
        <v>386</v>
      </c>
      <c r="I1831" t="s">
        <v>208</v>
      </c>
      <c r="K1831" t="s">
        <v>418</v>
      </c>
      <c r="M1831" t="s">
        <v>47</v>
      </c>
      <c r="N1831" s="1" t="e">
        <f t="shared" si="404"/>
        <v>#VALUE!</v>
      </c>
      <c r="O1831" s="1" t="e">
        <f t="shared" si="405"/>
        <v>#VALUE!</v>
      </c>
      <c r="P1831" s="1" t="e">
        <f t="shared" si="406"/>
        <v>#VALUE!</v>
      </c>
      <c r="Q1831" s="1" t="e">
        <f t="shared" si="407"/>
        <v>#VALUE!</v>
      </c>
      <c r="R1831" s="1" t="e">
        <f t="shared" si="408"/>
        <v>#VALUE!</v>
      </c>
      <c r="S1831" s="1" t="e">
        <f t="shared" si="409"/>
        <v>#VALUE!</v>
      </c>
      <c r="T1831" s="1" t="e">
        <f t="shared" si="410"/>
        <v>#VALUE!</v>
      </c>
      <c r="U1831" s="26" t="e">
        <f t="shared" si="411"/>
        <v>#VALUE!</v>
      </c>
      <c r="V1831" s="26" t="e">
        <f t="shared" si="412"/>
        <v>#VALUE!</v>
      </c>
      <c r="W1831" s="1" t="e">
        <f t="shared" si="413"/>
        <v>#VALUE!</v>
      </c>
      <c r="X1831" s="26" t="e">
        <f t="shared" si="414"/>
        <v>#VALUE!</v>
      </c>
      <c r="Y1831" s="26" t="e">
        <f t="shared" si="415"/>
        <v>#VALUE!</v>
      </c>
      <c r="Z1831" s="1" t="e">
        <f t="shared" si="416"/>
        <v>#VALUE!</v>
      </c>
      <c r="AA1831"/>
      <c r="AB1831"/>
    </row>
    <row r="1832" spans="1:28" x14ac:dyDescent="0.55000000000000004">
      <c r="A1832" s="1">
        <f t="shared" si="403"/>
        <v>1832</v>
      </c>
      <c r="B1832" t="s">
        <v>35</v>
      </c>
      <c r="C1832" t="s">
        <v>76</v>
      </c>
      <c r="D1832" t="s">
        <v>42</v>
      </c>
      <c r="E1832" t="s">
        <v>81</v>
      </c>
      <c r="F1832" t="s">
        <v>357</v>
      </c>
      <c r="G1832" t="s">
        <v>214</v>
      </c>
      <c r="I1832" t="s">
        <v>307</v>
      </c>
      <c r="K1832" t="s">
        <v>301</v>
      </c>
      <c r="M1832" t="s">
        <v>47</v>
      </c>
      <c r="N1832" s="1" t="e">
        <f t="shared" si="404"/>
        <v>#VALUE!</v>
      </c>
      <c r="O1832" s="1" t="e">
        <f t="shared" si="405"/>
        <v>#VALUE!</v>
      </c>
      <c r="P1832" s="1" t="e">
        <f t="shared" si="406"/>
        <v>#VALUE!</v>
      </c>
      <c r="Q1832" s="1" t="e">
        <f t="shared" si="407"/>
        <v>#VALUE!</v>
      </c>
      <c r="R1832" s="1" t="e">
        <f t="shared" si="408"/>
        <v>#VALUE!</v>
      </c>
      <c r="S1832" s="1" t="e">
        <f t="shared" si="409"/>
        <v>#VALUE!</v>
      </c>
      <c r="T1832" s="1" t="e">
        <f t="shared" si="410"/>
        <v>#VALUE!</v>
      </c>
      <c r="U1832" s="26" t="e">
        <f t="shared" si="411"/>
        <v>#VALUE!</v>
      </c>
      <c r="V1832" s="26" t="e">
        <f t="shared" si="412"/>
        <v>#VALUE!</v>
      </c>
      <c r="W1832" s="1" t="e">
        <f t="shared" si="413"/>
        <v>#VALUE!</v>
      </c>
      <c r="X1832" s="26" t="e">
        <f t="shared" si="414"/>
        <v>#VALUE!</v>
      </c>
      <c r="Y1832" s="26" t="e">
        <f t="shared" si="415"/>
        <v>#VALUE!</v>
      </c>
      <c r="Z1832" s="1" t="e">
        <f t="shared" si="416"/>
        <v>#VALUE!</v>
      </c>
      <c r="AA1832"/>
      <c r="AB1832"/>
    </row>
    <row r="1833" spans="1:28" x14ac:dyDescent="0.55000000000000004">
      <c r="A1833" s="1">
        <f t="shared" si="403"/>
        <v>1833</v>
      </c>
      <c r="B1833" t="s">
        <v>31</v>
      </c>
      <c r="C1833" t="s">
        <v>117</v>
      </c>
      <c r="D1833" t="s">
        <v>133</v>
      </c>
      <c r="E1833" t="s">
        <v>165</v>
      </c>
      <c r="G1833" t="s">
        <v>145</v>
      </c>
      <c r="I1833" t="s">
        <v>142</v>
      </c>
      <c r="K1833" t="s">
        <v>155</v>
      </c>
      <c r="M1833" t="s">
        <v>47</v>
      </c>
      <c r="N1833" s="1" t="e">
        <f t="shared" si="404"/>
        <v>#VALUE!</v>
      </c>
      <c r="O1833" s="1" t="e">
        <f t="shared" si="405"/>
        <v>#VALUE!</v>
      </c>
      <c r="P1833" s="1" t="e">
        <f t="shared" si="406"/>
        <v>#VALUE!</v>
      </c>
      <c r="Q1833" s="1" t="e">
        <f t="shared" si="407"/>
        <v>#VALUE!</v>
      </c>
      <c r="R1833" s="1" t="e">
        <f t="shared" si="408"/>
        <v>#VALUE!</v>
      </c>
      <c r="S1833" s="1" t="e">
        <f t="shared" si="409"/>
        <v>#VALUE!</v>
      </c>
      <c r="T1833" s="1" t="e">
        <f t="shared" si="410"/>
        <v>#VALUE!</v>
      </c>
      <c r="U1833" s="26" t="e">
        <f t="shared" si="411"/>
        <v>#VALUE!</v>
      </c>
      <c r="V1833" s="26" t="e">
        <f t="shared" si="412"/>
        <v>#VALUE!</v>
      </c>
      <c r="W1833" s="1" t="e">
        <f t="shared" si="413"/>
        <v>#VALUE!</v>
      </c>
      <c r="X1833" s="26" t="e">
        <f t="shared" si="414"/>
        <v>#VALUE!</v>
      </c>
      <c r="Y1833" s="26" t="e">
        <f t="shared" si="415"/>
        <v>#VALUE!</v>
      </c>
      <c r="Z1833" s="1" t="e">
        <f t="shared" si="416"/>
        <v>#VALUE!</v>
      </c>
      <c r="AA1833"/>
      <c r="AB1833"/>
    </row>
    <row r="1834" spans="1:28" x14ac:dyDescent="0.55000000000000004">
      <c r="A1834" s="1">
        <f t="shared" si="403"/>
        <v>1834</v>
      </c>
      <c r="B1834" t="s">
        <v>31</v>
      </c>
      <c r="C1834" t="s">
        <v>117</v>
      </c>
      <c r="D1834" t="s">
        <v>133</v>
      </c>
      <c r="E1834" t="s">
        <v>165</v>
      </c>
      <c r="G1834" t="s">
        <v>150</v>
      </c>
      <c r="I1834" t="s">
        <v>147</v>
      </c>
      <c r="K1834" t="s">
        <v>152</v>
      </c>
      <c r="M1834" t="s">
        <v>47</v>
      </c>
      <c r="N1834" s="1" t="e">
        <f t="shared" si="404"/>
        <v>#VALUE!</v>
      </c>
      <c r="O1834" s="1" t="e">
        <f t="shared" si="405"/>
        <v>#VALUE!</v>
      </c>
      <c r="P1834" s="1" t="e">
        <f t="shared" si="406"/>
        <v>#VALUE!</v>
      </c>
      <c r="Q1834" s="1" t="e">
        <f t="shared" si="407"/>
        <v>#VALUE!</v>
      </c>
      <c r="R1834" s="1" t="e">
        <f t="shared" si="408"/>
        <v>#VALUE!</v>
      </c>
      <c r="S1834" s="1" t="e">
        <f t="shared" si="409"/>
        <v>#VALUE!</v>
      </c>
      <c r="T1834" s="1" t="e">
        <f t="shared" si="410"/>
        <v>#VALUE!</v>
      </c>
      <c r="U1834" s="26" t="e">
        <f t="shared" si="411"/>
        <v>#VALUE!</v>
      </c>
      <c r="V1834" s="26" t="e">
        <f t="shared" si="412"/>
        <v>#VALUE!</v>
      </c>
      <c r="W1834" s="1" t="e">
        <f t="shared" si="413"/>
        <v>#VALUE!</v>
      </c>
      <c r="X1834" s="26" t="e">
        <f t="shared" si="414"/>
        <v>#VALUE!</v>
      </c>
      <c r="Y1834" s="26" t="e">
        <f t="shared" si="415"/>
        <v>#VALUE!</v>
      </c>
      <c r="Z1834" s="1" t="e">
        <f t="shared" si="416"/>
        <v>#VALUE!</v>
      </c>
      <c r="AA1834"/>
      <c r="AB1834"/>
    </row>
    <row r="1835" spans="1:28" x14ac:dyDescent="0.55000000000000004">
      <c r="A1835" s="1">
        <f t="shared" si="403"/>
        <v>1835</v>
      </c>
      <c r="B1835" t="s">
        <v>31</v>
      </c>
      <c r="C1835" t="s">
        <v>117</v>
      </c>
      <c r="D1835" t="s">
        <v>133</v>
      </c>
      <c r="E1835" t="s">
        <v>165</v>
      </c>
      <c r="G1835" t="s">
        <v>144</v>
      </c>
      <c r="I1835" t="s">
        <v>136</v>
      </c>
      <c r="K1835" t="s">
        <v>146</v>
      </c>
      <c r="M1835" t="s">
        <v>47</v>
      </c>
      <c r="N1835" s="1" t="e">
        <f t="shared" si="404"/>
        <v>#VALUE!</v>
      </c>
      <c r="O1835" s="1" t="e">
        <f t="shared" si="405"/>
        <v>#VALUE!</v>
      </c>
      <c r="P1835" s="1" t="e">
        <f t="shared" si="406"/>
        <v>#VALUE!</v>
      </c>
      <c r="Q1835" s="1" t="e">
        <f t="shared" si="407"/>
        <v>#VALUE!</v>
      </c>
      <c r="R1835" s="1" t="e">
        <f t="shared" si="408"/>
        <v>#VALUE!</v>
      </c>
      <c r="S1835" s="1" t="e">
        <f t="shared" si="409"/>
        <v>#VALUE!</v>
      </c>
      <c r="T1835" s="1" t="e">
        <f t="shared" si="410"/>
        <v>#VALUE!</v>
      </c>
      <c r="U1835" s="26" t="e">
        <f t="shared" si="411"/>
        <v>#VALUE!</v>
      </c>
      <c r="V1835" s="26" t="e">
        <f t="shared" si="412"/>
        <v>#VALUE!</v>
      </c>
      <c r="W1835" s="1" t="e">
        <f t="shared" si="413"/>
        <v>#VALUE!</v>
      </c>
      <c r="X1835" s="26" t="e">
        <f t="shared" si="414"/>
        <v>#VALUE!</v>
      </c>
      <c r="Y1835" s="26" t="e">
        <f t="shared" si="415"/>
        <v>#VALUE!</v>
      </c>
      <c r="Z1835" s="1" t="e">
        <f t="shared" si="416"/>
        <v>#VALUE!</v>
      </c>
      <c r="AA1835"/>
      <c r="AB1835"/>
    </row>
    <row r="1836" spans="1:28" x14ac:dyDescent="0.55000000000000004">
      <c r="A1836" s="1">
        <f t="shared" si="403"/>
        <v>1836</v>
      </c>
      <c r="B1836" t="s">
        <v>31</v>
      </c>
      <c r="C1836" t="s">
        <v>117</v>
      </c>
      <c r="D1836" t="s">
        <v>133</v>
      </c>
      <c r="E1836" t="s">
        <v>165</v>
      </c>
      <c r="G1836" t="s">
        <v>141</v>
      </c>
      <c r="I1836" t="s">
        <v>135</v>
      </c>
      <c r="K1836" t="s">
        <v>143</v>
      </c>
      <c r="M1836" t="s">
        <v>47</v>
      </c>
      <c r="N1836" s="1" t="e">
        <f t="shared" si="404"/>
        <v>#VALUE!</v>
      </c>
      <c r="O1836" s="1" t="e">
        <f t="shared" si="405"/>
        <v>#VALUE!</v>
      </c>
      <c r="P1836" s="1" t="e">
        <f t="shared" si="406"/>
        <v>#VALUE!</v>
      </c>
      <c r="Q1836" s="1" t="e">
        <f t="shared" si="407"/>
        <v>#VALUE!</v>
      </c>
      <c r="R1836" s="1" t="e">
        <f t="shared" si="408"/>
        <v>#VALUE!</v>
      </c>
      <c r="S1836" s="1" t="e">
        <f t="shared" si="409"/>
        <v>#VALUE!</v>
      </c>
      <c r="T1836" s="1" t="e">
        <f t="shared" si="410"/>
        <v>#VALUE!</v>
      </c>
      <c r="U1836" s="26" t="e">
        <f t="shared" si="411"/>
        <v>#VALUE!</v>
      </c>
      <c r="V1836" s="26" t="e">
        <f t="shared" si="412"/>
        <v>#VALUE!</v>
      </c>
      <c r="W1836" s="1" t="e">
        <f t="shared" si="413"/>
        <v>#VALUE!</v>
      </c>
      <c r="X1836" s="26" t="e">
        <f t="shared" si="414"/>
        <v>#VALUE!</v>
      </c>
      <c r="Y1836" s="26" t="e">
        <f t="shared" si="415"/>
        <v>#VALUE!</v>
      </c>
      <c r="Z1836" s="1" t="e">
        <f t="shared" si="416"/>
        <v>#VALUE!</v>
      </c>
      <c r="AA1836"/>
      <c r="AB1836"/>
    </row>
    <row r="1837" spans="1:28" x14ac:dyDescent="0.55000000000000004">
      <c r="A1837" s="1">
        <f t="shared" si="403"/>
        <v>1837</v>
      </c>
      <c r="B1837" t="s">
        <v>31</v>
      </c>
      <c r="C1837" t="s">
        <v>117</v>
      </c>
      <c r="D1837" t="s">
        <v>133</v>
      </c>
      <c r="E1837" t="s">
        <v>165</v>
      </c>
      <c r="G1837" t="s">
        <v>139</v>
      </c>
      <c r="I1837" t="s">
        <v>138</v>
      </c>
      <c r="K1837" t="s">
        <v>143</v>
      </c>
      <c r="M1837" t="s">
        <v>47</v>
      </c>
      <c r="N1837" s="1" t="e">
        <f t="shared" si="404"/>
        <v>#VALUE!</v>
      </c>
      <c r="O1837" s="1" t="e">
        <f t="shared" si="405"/>
        <v>#VALUE!</v>
      </c>
      <c r="P1837" s="1" t="e">
        <f t="shared" si="406"/>
        <v>#VALUE!</v>
      </c>
      <c r="Q1837" s="1" t="e">
        <f t="shared" si="407"/>
        <v>#VALUE!</v>
      </c>
      <c r="R1837" s="1" t="e">
        <f t="shared" si="408"/>
        <v>#VALUE!</v>
      </c>
      <c r="S1837" s="1" t="e">
        <f t="shared" si="409"/>
        <v>#VALUE!</v>
      </c>
      <c r="T1837" s="1" t="e">
        <f t="shared" si="410"/>
        <v>#VALUE!</v>
      </c>
      <c r="U1837" s="26" t="e">
        <f t="shared" si="411"/>
        <v>#VALUE!</v>
      </c>
      <c r="V1837" s="26" t="e">
        <f t="shared" si="412"/>
        <v>#VALUE!</v>
      </c>
      <c r="W1837" s="1" t="e">
        <f t="shared" si="413"/>
        <v>#VALUE!</v>
      </c>
      <c r="X1837" s="26" t="e">
        <f t="shared" si="414"/>
        <v>#VALUE!</v>
      </c>
      <c r="Y1837" s="26" t="e">
        <f t="shared" si="415"/>
        <v>#VALUE!</v>
      </c>
      <c r="Z1837" s="1" t="e">
        <f t="shared" si="416"/>
        <v>#VALUE!</v>
      </c>
      <c r="AA1837"/>
      <c r="AB1837"/>
    </row>
    <row r="1838" spans="1:28" x14ac:dyDescent="0.55000000000000004">
      <c r="A1838" s="1">
        <f t="shared" si="403"/>
        <v>1838</v>
      </c>
      <c r="B1838" t="s">
        <v>31</v>
      </c>
      <c r="C1838" t="s">
        <v>117</v>
      </c>
      <c r="D1838" t="s">
        <v>133</v>
      </c>
      <c r="E1838" t="s">
        <v>165</v>
      </c>
      <c r="G1838" t="s">
        <v>151</v>
      </c>
      <c r="I1838" t="s">
        <v>148</v>
      </c>
      <c r="K1838" t="s">
        <v>156</v>
      </c>
      <c r="M1838" t="s">
        <v>47</v>
      </c>
      <c r="N1838" s="1" t="e">
        <f t="shared" si="404"/>
        <v>#VALUE!</v>
      </c>
      <c r="O1838" s="1" t="e">
        <f t="shared" si="405"/>
        <v>#VALUE!</v>
      </c>
      <c r="P1838" s="1" t="e">
        <f t="shared" si="406"/>
        <v>#VALUE!</v>
      </c>
      <c r="Q1838" s="1" t="e">
        <f t="shared" si="407"/>
        <v>#VALUE!</v>
      </c>
      <c r="R1838" s="1" t="e">
        <f t="shared" si="408"/>
        <v>#VALUE!</v>
      </c>
      <c r="S1838" s="1" t="e">
        <f t="shared" si="409"/>
        <v>#VALUE!</v>
      </c>
      <c r="T1838" s="1" t="e">
        <f t="shared" si="410"/>
        <v>#VALUE!</v>
      </c>
      <c r="U1838" s="26" t="e">
        <f t="shared" si="411"/>
        <v>#VALUE!</v>
      </c>
      <c r="V1838" s="26" t="e">
        <f t="shared" si="412"/>
        <v>#VALUE!</v>
      </c>
      <c r="W1838" s="1" t="e">
        <f t="shared" si="413"/>
        <v>#VALUE!</v>
      </c>
      <c r="X1838" s="26" t="e">
        <f t="shared" si="414"/>
        <v>#VALUE!</v>
      </c>
      <c r="Y1838" s="26" t="e">
        <f t="shared" si="415"/>
        <v>#VALUE!</v>
      </c>
      <c r="Z1838" s="1" t="e">
        <f t="shared" si="416"/>
        <v>#VALUE!</v>
      </c>
      <c r="AA1838"/>
      <c r="AB1838"/>
    </row>
    <row r="1839" spans="1:28" x14ac:dyDescent="0.55000000000000004">
      <c r="A1839" s="1">
        <f t="shared" si="403"/>
        <v>1839</v>
      </c>
      <c r="B1839" t="s">
        <v>30</v>
      </c>
      <c r="C1839" t="s">
        <v>82</v>
      </c>
      <c r="D1839" t="s">
        <v>42</v>
      </c>
      <c r="E1839" t="s">
        <v>83</v>
      </c>
      <c r="G1839" t="s">
        <v>66</v>
      </c>
      <c r="I1839" t="s">
        <v>51</v>
      </c>
      <c r="K1839" t="s">
        <v>68</v>
      </c>
      <c r="M1839" t="s">
        <v>47</v>
      </c>
      <c r="N1839" s="1" t="e">
        <f t="shared" si="404"/>
        <v>#VALUE!</v>
      </c>
      <c r="O1839" s="1" t="e">
        <f t="shared" si="405"/>
        <v>#VALUE!</v>
      </c>
      <c r="P1839" s="1" t="e">
        <f t="shared" si="406"/>
        <v>#VALUE!</v>
      </c>
      <c r="Q1839" s="1" t="e">
        <f t="shared" si="407"/>
        <v>#VALUE!</v>
      </c>
      <c r="R1839" s="1" t="e">
        <f t="shared" si="408"/>
        <v>#VALUE!</v>
      </c>
      <c r="S1839" s="1" t="e">
        <f t="shared" si="409"/>
        <v>#VALUE!</v>
      </c>
      <c r="T1839" s="1" t="e">
        <f t="shared" si="410"/>
        <v>#VALUE!</v>
      </c>
      <c r="U1839" s="26" t="e">
        <f t="shared" si="411"/>
        <v>#VALUE!</v>
      </c>
      <c r="V1839" s="26" t="e">
        <f t="shared" si="412"/>
        <v>#VALUE!</v>
      </c>
      <c r="W1839" s="1" t="e">
        <f t="shared" si="413"/>
        <v>#VALUE!</v>
      </c>
      <c r="X1839" s="26" t="e">
        <f t="shared" si="414"/>
        <v>#VALUE!</v>
      </c>
      <c r="Y1839" s="26" t="e">
        <f t="shared" si="415"/>
        <v>#VALUE!</v>
      </c>
      <c r="Z1839" s="1" t="e">
        <f t="shared" si="416"/>
        <v>#VALUE!</v>
      </c>
      <c r="AA1839"/>
      <c r="AB1839"/>
    </row>
    <row r="1840" spans="1:28" x14ac:dyDescent="0.55000000000000004">
      <c r="A1840" s="1">
        <f t="shared" si="403"/>
        <v>1840</v>
      </c>
      <c r="B1840" t="s">
        <v>30</v>
      </c>
      <c r="C1840" t="s">
        <v>82</v>
      </c>
      <c r="D1840" t="s">
        <v>42</v>
      </c>
      <c r="E1840" t="s">
        <v>83</v>
      </c>
      <c r="G1840" t="s">
        <v>52</v>
      </c>
      <c r="I1840" t="s">
        <v>67</v>
      </c>
      <c r="K1840" t="s">
        <v>71</v>
      </c>
      <c r="M1840" t="s">
        <v>47</v>
      </c>
      <c r="N1840" s="1" t="e">
        <f t="shared" si="404"/>
        <v>#VALUE!</v>
      </c>
      <c r="O1840" s="1" t="e">
        <f t="shared" si="405"/>
        <v>#VALUE!</v>
      </c>
      <c r="P1840" s="1" t="e">
        <f t="shared" si="406"/>
        <v>#VALUE!</v>
      </c>
      <c r="Q1840" s="1" t="e">
        <f t="shared" si="407"/>
        <v>#VALUE!</v>
      </c>
      <c r="R1840" s="1" t="e">
        <f t="shared" si="408"/>
        <v>#VALUE!</v>
      </c>
      <c r="S1840" s="1" t="e">
        <f t="shared" si="409"/>
        <v>#VALUE!</v>
      </c>
      <c r="T1840" s="1" t="e">
        <f t="shared" si="410"/>
        <v>#VALUE!</v>
      </c>
      <c r="U1840" s="26" t="e">
        <f t="shared" si="411"/>
        <v>#VALUE!</v>
      </c>
      <c r="V1840" s="26" t="e">
        <f t="shared" si="412"/>
        <v>#VALUE!</v>
      </c>
      <c r="W1840" s="1" t="e">
        <f t="shared" si="413"/>
        <v>#VALUE!</v>
      </c>
      <c r="X1840" s="26" t="e">
        <f t="shared" si="414"/>
        <v>#VALUE!</v>
      </c>
      <c r="Y1840" s="26" t="e">
        <f t="shared" si="415"/>
        <v>#VALUE!</v>
      </c>
      <c r="Z1840" s="1" t="e">
        <f t="shared" si="416"/>
        <v>#VALUE!</v>
      </c>
      <c r="AA1840"/>
      <c r="AB1840"/>
    </row>
    <row r="1841" spans="1:28" x14ac:dyDescent="0.55000000000000004">
      <c r="A1841" s="1">
        <f t="shared" si="403"/>
        <v>1841</v>
      </c>
      <c r="B1841" t="s">
        <v>30</v>
      </c>
      <c r="C1841" t="s">
        <v>82</v>
      </c>
      <c r="D1841" t="s">
        <v>42</v>
      </c>
      <c r="E1841" t="s">
        <v>83</v>
      </c>
      <c r="G1841" t="s">
        <v>64</v>
      </c>
      <c r="I1841" t="s">
        <v>48</v>
      </c>
      <c r="K1841" t="s">
        <v>62</v>
      </c>
      <c r="M1841" t="s">
        <v>47</v>
      </c>
      <c r="N1841" s="1" t="e">
        <f t="shared" si="404"/>
        <v>#VALUE!</v>
      </c>
      <c r="O1841" s="1" t="e">
        <f t="shared" si="405"/>
        <v>#VALUE!</v>
      </c>
      <c r="P1841" s="1" t="e">
        <f t="shared" si="406"/>
        <v>#VALUE!</v>
      </c>
      <c r="Q1841" s="1" t="e">
        <f t="shared" si="407"/>
        <v>#VALUE!</v>
      </c>
      <c r="R1841" s="1" t="e">
        <f t="shared" si="408"/>
        <v>#VALUE!</v>
      </c>
      <c r="S1841" s="1" t="e">
        <f t="shared" si="409"/>
        <v>#VALUE!</v>
      </c>
      <c r="T1841" s="1" t="e">
        <f t="shared" si="410"/>
        <v>#VALUE!</v>
      </c>
      <c r="U1841" s="26" t="e">
        <f t="shared" si="411"/>
        <v>#VALUE!</v>
      </c>
      <c r="V1841" s="26" t="e">
        <f t="shared" si="412"/>
        <v>#VALUE!</v>
      </c>
      <c r="W1841" s="1" t="e">
        <f t="shared" si="413"/>
        <v>#VALUE!</v>
      </c>
      <c r="X1841" s="26" t="e">
        <f t="shared" si="414"/>
        <v>#VALUE!</v>
      </c>
      <c r="Y1841" s="26" t="e">
        <f t="shared" si="415"/>
        <v>#VALUE!</v>
      </c>
      <c r="Z1841" s="1" t="e">
        <f t="shared" si="416"/>
        <v>#VALUE!</v>
      </c>
      <c r="AA1841"/>
      <c r="AB1841"/>
    </row>
    <row r="1842" spans="1:28" x14ac:dyDescent="0.55000000000000004">
      <c r="A1842" s="1">
        <f t="shared" si="403"/>
        <v>1842</v>
      </c>
      <c r="B1842" t="s">
        <v>30</v>
      </c>
      <c r="C1842" t="s">
        <v>82</v>
      </c>
      <c r="D1842" t="s">
        <v>42</v>
      </c>
      <c r="E1842" t="s">
        <v>83</v>
      </c>
      <c r="G1842" t="s">
        <v>49</v>
      </c>
      <c r="I1842" t="s">
        <v>61</v>
      </c>
      <c r="K1842" t="s">
        <v>72</v>
      </c>
      <c r="M1842" t="s">
        <v>47</v>
      </c>
      <c r="N1842" s="1" t="e">
        <f t="shared" si="404"/>
        <v>#VALUE!</v>
      </c>
      <c r="O1842" s="1" t="e">
        <f t="shared" si="405"/>
        <v>#VALUE!</v>
      </c>
      <c r="P1842" s="1" t="e">
        <f t="shared" si="406"/>
        <v>#VALUE!</v>
      </c>
      <c r="Q1842" s="1" t="e">
        <f t="shared" si="407"/>
        <v>#VALUE!</v>
      </c>
      <c r="R1842" s="1" t="e">
        <f t="shared" si="408"/>
        <v>#VALUE!</v>
      </c>
      <c r="S1842" s="1" t="e">
        <f t="shared" si="409"/>
        <v>#VALUE!</v>
      </c>
      <c r="T1842" s="1" t="e">
        <f t="shared" si="410"/>
        <v>#VALUE!</v>
      </c>
      <c r="U1842" s="26" t="e">
        <f t="shared" si="411"/>
        <v>#VALUE!</v>
      </c>
      <c r="V1842" s="26" t="e">
        <f t="shared" si="412"/>
        <v>#VALUE!</v>
      </c>
      <c r="W1842" s="1" t="e">
        <f t="shared" si="413"/>
        <v>#VALUE!</v>
      </c>
      <c r="X1842" s="26" t="e">
        <f t="shared" si="414"/>
        <v>#VALUE!</v>
      </c>
      <c r="Y1842" s="26" t="e">
        <f t="shared" si="415"/>
        <v>#VALUE!</v>
      </c>
      <c r="Z1842" s="1" t="e">
        <f t="shared" si="416"/>
        <v>#VALUE!</v>
      </c>
      <c r="AA1842"/>
      <c r="AB1842"/>
    </row>
    <row r="1843" spans="1:28" x14ac:dyDescent="0.55000000000000004">
      <c r="A1843" s="1">
        <f t="shared" si="403"/>
        <v>1843</v>
      </c>
      <c r="B1843" t="s">
        <v>30</v>
      </c>
      <c r="C1843" t="s">
        <v>82</v>
      </c>
      <c r="D1843" t="s">
        <v>42</v>
      </c>
      <c r="E1843" t="s">
        <v>83</v>
      </c>
      <c r="G1843" t="s">
        <v>57</v>
      </c>
      <c r="I1843" t="s">
        <v>55</v>
      </c>
      <c r="K1843" t="s">
        <v>59</v>
      </c>
      <c r="M1843" t="s">
        <v>47</v>
      </c>
      <c r="N1843" s="1" t="e">
        <f t="shared" si="404"/>
        <v>#VALUE!</v>
      </c>
      <c r="O1843" s="1" t="e">
        <f t="shared" si="405"/>
        <v>#VALUE!</v>
      </c>
      <c r="P1843" s="1" t="e">
        <f t="shared" si="406"/>
        <v>#VALUE!</v>
      </c>
      <c r="Q1843" s="1" t="e">
        <f t="shared" si="407"/>
        <v>#VALUE!</v>
      </c>
      <c r="R1843" s="1" t="e">
        <f t="shared" si="408"/>
        <v>#VALUE!</v>
      </c>
      <c r="S1843" s="1" t="e">
        <f t="shared" si="409"/>
        <v>#VALUE!</v>
      </c>
      <c r="T1843" s="1" t="e">
        <f t="shared" si="410"/>
        <v>#VALUE!</v>
      </c>
      <c r="U1843" s="26" t="e">
        <f t="shared" si="411"/>
        <v>#VALUE!</v>
      </c>
      <c r="V1843" s="26" t="e">
        <f t="shared" si="412"/>
        <v>#VALUE!</v>
      </c>
      <c r="W1843" s="1" t="e">
        <f t="shared" si="413"/>
        <v>#VALUE!</v>
      </c>
      <c r="X1843" s="26" t="e">
        <f t="shared" si="414"/>
        <v>#VALUE!</v>
      </c>
      <c r="Y1843" s="26" t="e">
        <f t="shared" si="415"/>
        <v>#VALUE!</v>
      </c>
      <c r="Z1843" s="1" t="e">
        <f t="shared" si="416"/>
        <v>#VALUE!</v>
      </c>
      <c r="AA1843"/>
      <c r="AB1843"/>
    </row>
    <row r="1844" spans="1:28" x14ac:dyDescent="0.55000000000000004">
      <c r="A1844" s="1">
        <f t="shared" si="403"/>
        <v>1844</v>
      </c>
      <c r="B1844" t="s">
        <v>30</v>
      </c>
      <c r="C1844" t="s">
        <v>82</v>
      </c>
      <c r="D1844" t="s">
        <v>42</v>
      </c>
      <c r="E1844" t="s">
        <v>83</v>
      </c>
      <c r="G1844" t="s">
        <v>54</v>
      </c>
      <c r="I1844" t="s">
        <v>58</v>
      </c>
      <c r="K1844" t="s">
        <v>56</v>
      </c>
      <c r="M1844" t="s">
        <v>47</v>
      </c>
      <c r="N1844" s="1" t="e">
        <f t="shared" si="404"/>
        <v>#VALUE!</v>
      </c>
      <c r="O1844" s="1" t="e">
        <f t="shared" si="405"/>
        <v>#VALUE!</v>
      </c>
      <c r="P1844" s="1" t="e">
        <f t="shared" si="406"/>
        <v>#VALUE!</v>
      </c>
      <c r="Q1844" s="1" t="e">
        <f t="shared" si="407"/>
        <v>#VALUE!</v>
      </c>
      <c r="R1844" s="1" t="e">
        <f t="shared" si="408"/>
        <v>#VALUE!</v>
      </c>
      <c r="S1844" s="1" t="e">
        <f t="shared" si="409"/>
        <v>#VALUE!</v>
      </c>
      <c r="T1844" s="1" t="e">
        <f t="shared" si="410"/>
        <v>#VALUE!</v>
      </c>
      <c r="U1844" s="26" t="e">
        <f t="shared" si="411"/>
        <v>#VALUE!</v>
      </c>
      <c r="V1844" s="26" t="e">
        <f t="shared" si="412"/>
        <v>#VALUE!</v>
      </c>
      <c r="W1844" s="1" t="e">
        <f t="shared" si="413"/>
        <v>#VALUE!</v>
      </c>
      <c r="X1844" s="26" t="e">
        <f t="shared" si="414"/>
        <v>#VALUE!</v>
      </c>
      <c r="Y1844" s="26" t="e">
        <f t="shared" si="415"/>
        <v>#VALUE!</v>
      </c>
      <c r="Z1844" s="1" t="e">
        <f t="shared" si="416"/>
        <v>#VALUE!</v>
      </c>
      <c r="AA1844"/>
      <c r="AB1844"/>
    </row>
    <row r="1845" spans="1:28" x14ac:dyDescent="0.55000000000000004">
      <c r="A1845" s="1">
        <f t="shared" si="403"/>
        <v>1845</v>
      </c>
      <c r="B1845" t="s">
        <v>30</v>
      </c>
      <c r="C1845" t="s">
        <v>82</v>
      </c>
      <c r="D1845" t="s">
        <v>42</v>
      </c>
      <c r="E1845" t="s">
        <v>83</v>
      </c>
      <c r="G1845" t="s">
        <v>45</v>
      </c>
      <c r="I1845" t="s">
        <v>63</v>
      </c>
      <c r="K1845" t="s">
        <v>74</v>
      </c>
      <c r="M1845" t="s">
        <v>47</v>
      </c>
      <c r="N1845" s="1" t="e">
        <f t="shared" si="404"/>
        <v>#VALUE!</v>
      </c>
      <c r="O1845" s="1" t="e">
        <f t="shared" si="405"/>
        <v>#VALUE!</v>
      </c>
      <c r="P1845" s="1" t="e">
        <f t="shared" si="406"/>
        <v>#VALUE!</v>
      </c>
      <c r="Q1845" s="1" t="e">
        <f t="shared" si="407"/>
        <v>#VALUE!</v>
      </c>
      <c r="R1845" s="1" t="e">
        <f t="shared" si="408"/>
        <v>#VALUE!</v>
      </c>
      <c r="S1845" s="1" t="e">
        <f t="shared" si="409"/>
        <v>#VALUE!</v>
      </c>
      <c r="T1845" s="1" t="e">
        <f t="shared" si="410"/>
        <v>#VALUE!</v>
      </c>
      <c r="U1845" s="26" t="e">
        <f t="shared" si="411"/>
        <v>#VALUE!</v>
      </c>
      <c r="V1845" s="26" t="e">
        <f t="shared" si="412"/>
        <v>#VALUE!</v>
      </c>
      <c r="W1845" s="1" t="e">
        <f t="shared" si="413"/>
        <v>#VALUE!</v>
      </c>
      <c r="X1845" s="26" t="e">
        <f t="shared" si="414"/>
        <v>#VALUE!</v>
      </c>
      <c r="Y1845" s="26" t="e">
        <f t="shared" si="415"/>
        <v>#VALUE!</v>
      </c>
      <c r="Z1845" s="1" t="e">
        <f t="shared" si="416"/>
        <v>#VALUE!</v>
      </c>
      <c r="AA1845"/>
      <c r="AB1845"/>
    </row>
    <row r="1846" spans="1:28" x14ac:dyDescent="0.55000000000000004">
      <c r="A1846" s="1">
        <f t="shared" si="403"/>
        <v>1846</v>
      </c>
      <c r="B1846" t="s">
        <v>30</v>
      </c>
      <c r="C1846" t="s">
        <v>82</v>
      </c>
      <c r="D1846" t="s">
        <v>42</v>
      </c>
      <c r="E1846" t="s">
        <v>83</v>
      </c>
      <c r="G1846" t="s">
        <v>44</v>
      </c>
      <c r="I1846" t="s">
        <v>60</v>
      </c>
      <c r="K1846" t="s">
        <v>46</v>
      </c>
      <c r="M1846" t="s">
        <v>47</v>
      </c>
      <c r="N1846" s="1" t="e">
        <f t="shared" si="404"/>
        <v>#VALUE!</v>
      </c>
      <c r="O1846" s="1" t="e">
        <f t="shared" si="405"/>
        <v>#VALUE!</v>
      </c>
      <c r="P1846" s="1" t="e">
        <f t="shared" si="406"/>
        <v>#VALUE!</v>
      </c>
      <c r="Q1846" s="1" t="e">
        <f t="shared" si="407"/>
        <v>#VALUE!</v>
      </c>
      <c r="R1846" s="1" t="e">
        <f t="shared" si="408"/>
        <v>#VALUE!</v>
      </c>
      <c r="S1846" s="1" t="e">
        <f t="shared" si="409"/>
        <v>#VALUE!</v>
      </c>
      <c r="T1846" s="1" t="e">
        <f t="shared" si="410"/>
        <v>#VALUE!</v>
      </c>
      <c r="U1846" s="26" t="e">
        <f t="shared" si="411"/>
        <v>#VALUE!</v>
      </c>
      <c r="V1846" s="26" t="e">
        <f t="shared" si="412"/>
        <v>#VALUE!</v>
      </c>
      <c r="W1846" s="1" t="e">
        <f t="shared" si="413"/>
        <v>#VALUE!</v>
      </c>
      <c r="X1846" s="26" t="e">
        <f t="shared" si="414"/>
        <v>#VALUE!</v>
      </c>
      <c r="Y1846" s="26" t="e">
        <f t="shared" si="415"/>
        <v>#VALUE!</v>
      </c>
      <c r="Z1846" s="1" t="e">
        <f t="shared" si="416"/>
        <v>#VALUE!</v>
      </c>
      <c r="AA1846"/>
      <c r="AB1846"/>
    </row>
    <row r="1847" spans="1:28" x14ac:dyDescent="0.55000000000000004">
      <c r="A1847" s="1">
        <f t="shared" si="403"/>
        <v>1847</v>
      </c>
      <c r="B1847" t="s">
        <v>34</v>
      </c>
      <c r="C1847" t="s">
        <v>119</v>
      </c>
      <c r="D1847" t="s">
        <v>42</v>
      </c>
      <c r="E1847" t="s">
        <v>83</v>
      </c>
      <c r="G1847" t="s">
        <v>98</v>
      </c>
      <c r="I1847" t="s">
        <v>93</v>
      </c>
      <c r="K1847" t="s">
        <v>100</v>
      </c>
      <c r="M1847" t="s">
        <v>47</v>
      </c>
      <c r="N1847" s="1" t="e">
        <f t="shared" si="404"/>
        <v>#VALUE!</v>
      </c>
      <c r="O1847" s="1" t="e">
        <f t="shared" si="405"/>
        <v>#VALUE!</v>
      </c>
      <c r="P1847" s="1" t="e">
        <f t="shared" si="406"/>
        <v>#VALUE!</v>
      </c>
      <c r="Q1847" s="1" t="e">
        <f t="shared" si="407"/>
        <v>#VALUE!</v>
      </c>
      <c r="R1847" s="1" t="e">
        <f t="shared" si="408"/>
        <v>#VALUE!</v>
      </c>
      <c r="S1847" s="1" t="e">
        <f t="shared" si="409"/>
        <v>#VALUE!</v>
      </c>
      <c r="T1847" s="1" t="e">
        <f t="shared" si="410"/>
        <v>#VALUE!</v>
      </c>
      <c r="U1847" s="26" t="e">
        <f t="shared" si="411"/>
        <v>#VALUE!</v>
      </c>
      <c r="V1847" s="26" t="e">
        <f t="shared" si="412"/>
        <v>#VALUE!</v>
      </c>
      <c r="W1847" s="1" t="e">
        <f t="shared" si="413"/>
        <v>#VALUE!</v>
      </c>
      <c r="X1847" s="26" t="e">
        <f t="shared" si="414"/>
        <v>#VALUE!</v>
      </c>
      <c r="Y1847" s="26" t="e">
        <f t="shared" si="415"/>
        <v>#VALUE!</v>
      </c>
      <c r="Z1847" s="1" t="e">
        <f t="shared" si="416"/>
        <v>#VALUE!</v>
      </c>
      <c r="AA1847"/>
      <c r="AB1847"/>
    </row>
    <row r="1848" spans="1:28" x14ac:dyDescent="0.55000000000000004">
      <c r="A1848" s="1">
        <f t="shared" si="403"/>
        <v>1848</v>
      </c>
      <c r="B1848" t="s">
        <v>34</v>
      </c>
      <c r="C1848" t="s">
        <v>119</v>
      </c>
      <c r="D1848" t="s">
        <v>42</v>
      </c>
      <c r="E1848" t="s">
        <v>83</v>
      </c>
      <c r="G1848" t="s">
        <v>102</v>
      </c>
      <c r="I1848" t="s">
        <v>92</v>
      </c>
      <c r="K1848" t="s">
        <v>106</v>
      </c>
      <c r="M1848" t="s">
        <v>47</v>
      </c>
      <c r="N1848" s="1" t="e">
        <f t="shared" si="404"/>
        <v>#VALUE!</v>
      </c>
      <c r="O1848" s="1" t="e">
        <f t="shared" si="405"/>
        <v>#VALUE!</v>
      </c>
      <c r="P1848" s="1" t="e">
        <f t="shared" si="406"/>
        <v>#VALUE!</v>
      </c>
      <c r="Q1848" s="1" t="e">
        <f t="shared" si="407"/>
        <v>#VALUE!</v>
      </c>
      <c r="R1848" s="1" t="e">
        <f t="shared" si="408"/>
        <v>#VALUE!</v>
      </c>
      <c r="S1848" s="1" t="e">
        <f t="shared" si="409"/>
        <v>#VALUE!</v>
      </c>
      <c r="T1848" s="1" t="e">
        <f t="shared" si="410"/>
        <v>#VALUE!</v>
      </c>
      <c r="U1848" s="26" t="e">
        <f t="shared" si="411"/>
        <v>#VALUE!</v>
      </c>
      <c r="V1848" s="26" t="e">
        <f t="shared" si="412"/>
        <v>#VALUE!</v>
      </c>
      <c r="W1848" s="1" t="e">
        <f t="shared" si="413"/>
        <v>#VALUE!</v>
      </c>
      <c r="X1848" s="26" t="e">
        <f t="shared" si="414"/>
        <v>#VALUE!</v>
      </c>
      <c r="Y1848" s="26" t="e">
        <f t="shared" si="415"/>
        <v>#VALUE!</v>
      </c>
      <c r="Z1848" s="1" t="e">
        <f t="shared" si="416"/>
        <v>#VALUE!</v>
      </c>
      <c r="AA1848"/>
      <c r="AB1848"/>
    </row>
    <row r="1849" spans="1:28" x14ac:dyDescent="0.55000000000000004">
      <c r="A1849" s="1">
        <f t="shared" si="403"/>
        <v>1849</v>
      </c>
      <c r="B1849" t="s">
        <v>34</v>
      </c>
      <c r="C1849" t="s">
        <v>119</v>
      </c>
      <c r="D1849" t="s">
        <v>42</v>
      </c>
      <c r="E1849" t="s">
        <v>83</v>
      </c>
      <c r="G1849" t="s">
        <v>95</v>
      </c>
      <c r="I1849" t="s">
        <v>99</v>
      </c>
      <c r="K1849" t="s">
        <v>97</v>
      </c>
      <c r="M1849" t="s">
        <v>47</v>
      </c>
      <c r="N1849" s="1" t="e">
        <f t="shared" si="404"/>
        <v>#VALUE!</v>
      </c>
      <c r="O1849" s="1" t="e">
        <f t="shared" si="405"/>
        <v>#VALUE!</v>
      </c>
      <c r="P1849" s="1" t="e">
        <f t="shared" si="406"/>
        <v>#VALUE!</v>
      </c>
      <c r="Q1849" s="1" t="e">
        <f t="shared" si="407"/>
        <v>#VALUE!</v>
      </c>
      <c r="R1849" s="1" t="e">
        <f t="shared" si="408"/>
        <v>#VALUE!</v>
      </c>
      <c r="S1849" s="1" t="e">
        <f t="shared" si="409"/>
        <v>#VALUE!</v>
      </c>
      <c r="T1849" s="1" t="e">
        <f t="shared" si="410"/>
        <v>#VALUE!</v>
      </c>
      <c r="U1849" s="26" t="e">
        <f t="shared" si="411"/>
        <v>#VALUE!</v>
      </c>
      <c r="V1849" s="26" t="e">
        <f t="shared" si="412"/>
        <v>#VALUE!</v>
      </c>
      <c r="W1849" s="1" t="e">
        <f t="shared" si="413"/>
        <v>#VALUE!</v>
      </c>
      <c r="X1849" s="26" t="e">
        <f t="shared" si="414"/>
        <v>#VALUE!</v>
      </c>
      <c r="Y1849" s="26" t="e">
        <f t="shared" si="415"/>
        <v>#VALUE!</v>
      </c>
      <c r="Z1849" s="1" t="e">
        <f t="shared" si="416"/>
        <v>#VALUE!</v>
      </c>
      <c r="AA1849"/>
      <c r="AB1849"/>
    </row>
    <row r="1850" spans="1:28" x14ac:dyDescent="0.55000000000000004">
      <c r="A1850" s="1">
        <f t="shared" si="403"/>
        <v>1850</v>
      </c>
      <c r="B1850" t="s">
        <v>34</v>
      </c>
      <c r="C1850" t="s">
        <v>119</v>
      </c>
      <c r="D1850" t="s">
        <v>42</v>
      </c>
      <c r="E1850" t="s">
        <v>83</v>
      </c>
      <c r="G1850" t="s">
        <v>86</v>
      </c>
      <c r="I1850" t="s">
        <v>89</v>
      </c>
      <c r="K1850" t="s">
        <v>88</v>
      </c>
      <c r="M1850" t="s">
        <v>47</v>
      </c>
      <c r="N1850" s="1" t="e">
        <f t="shared" si="404"/>
        <v>#VALUE!</v>
      </c>
      <c r="O1850" s="1" t="e">
        <f t="shared" si="405"/>
        <v>#VALUE!</v>
      </c>
      <c r="P1850" s="1" t="e">
        <f t="shared" si="406"/>
        <v>#VALUE!</v>
      </c>
      <c r="Q1850" s="1" t="e">
        <f t="shared" si="407"/>
        <v>#VALUE!</v>
      </c>
      <c r="R1850" s="1" t="e">
        <f t="shared" si="408"/>
        <v>#VALUE!</v>
      </c>
      <c r="S1850" s="1" t="e">
        <f t="shared" si="409"/>
        <v>#VALUE!</v>
      </c>
      <c r="T1850" s="1" t="e">
        <f t="shared" si="410"/>
        <v>#VALUE!</v>
      </c>
      <c r="U1850" s="26" t="e">
        <f t="shared" si="411"/>
        <v>#VALUE!</v>
      </c>
      <c r="V1850" s="26" t="e">
        <f t="shared" si="412"/>
        <v>#VALUE!</v>
      </c>
      <c r="W1850" s="1" t="e">
        <f t="shared" si="413"/>
        <v>#VALUE!</v>
      </c>
      <c r="X1850" s="26" t="e">
        <f t="shared" si="414"/>
        <v>#VALUE!</v>
      </c>
      <c r="Y1850" s="26" t="e">
        <f t="shared" si="415"/>
        <v>#VALUE!</v>
      </c>
      <c r="Z1850" s="1" t="e">
        <f t="shared" si="416"/>
        <v>#VALUE!</v>
      </c>
      <c r="AA1850"/>
      <c r="AB1850"/>
    </row>
    <row r="1851" spans="1:28" x14ac:dyDescent="0.55000000000000004">
      <c r="A1851" s="1">
        <f t="shared" si="403"/>
        <v>1851</v>
      </c>
      <c r="B1851" t="s">
        <v>34</v>
      </c>
      <c r="C1851" t="s">
        <v>119</v>
      </c>
      <c r="D1851" t="s">
        <v>42</v>
      </c>
      <c r="E1851" t="s">
        <v>83</v>
      </c>
      <c r="G1851" t="s">
        <v>101</v>
      </c>
      <c r="I1851" t="s">
        <v>87</v>
      </c>
      <c r="K1851" t="s">
        <v>103</v>
      </c>
      <c r="M1851" t="s">
        <v>47</v>
      </c>
      <c r="N1851" s="1" t="e">
        <f t="shared" si="404"/>
        <v>#VALUE!</v>
      </c>
      <c r="O1851" s="1" t="e">
        <f t="shared" si="405"/>
        <v>#VALUE!</v>
      </c>
      <c r="P1851" s="1" t="e">
        <f t="shared" si="406"/>
        <v>#VALUE!</v>
      </c>
      <c r="Q1851" s="1" t="e">
        <f t="shared" si="407"/>
        <v>#VALUE!</v>
      </c>
      <c r="R1851" s="1" t="e">
        <f t="shared" si="408"/>
        <v>#VALUE!</v>
      </c>
      <c r="S1851" s="1" t="e">
        <f t="shared" si="409"/>
        <v>#VALUE!</v>
      </c>
      <c r="T1851" s="1" t="e">
        <f t="shared" si="410"/>
        <v>#VALUE!</v>
      </c>
      <c r="U1851" s="26" t="e">
        <f t="shared" si="411"/>
        <v>#VALUE!</v>
      </c>
      <c r="V1851" s="26" t="e">
        <f t="shared" si="412"/>
        <v>#VALUE!</v>
      </c>
      <c r="W1851" s="1" t="e">
        <f t="shared" si="413"/>
        <v>#VALUE!</v>
      </c>
      <c r="X1851" s="26" t="e">
        <f t="shared" si="414"/>
        <v>#VALUE!</v>
      </c>
      <c r="Y1851" s="26" t="e">
        <f t="shared" si="415"/>
        <v>#VALUE!</v>
      </c>
      <c r="Z1851" s="1" t="e">
        <f t="shared" si="416"/>
        <v>#VALUE!</v>
      </c>
      <c r="AA1851"/>
      <c r="AB1851"/>
    </row>
    <row r="1852" spans="1:28" x14ac:dyDescent="0.55000000000000004">
      <c r="A1852" s="1">
        <f t="shared" si="403"/>
        <v>1852</v>
      </c>
      <c r="B1852" t="s">
        <v>34</v>
      </c>
      <c r="C1852" t="s">
        <v>119</v>
      </c>
      <c r="D1852" t="s">
        <v>42</v>
      </c>
      <c r="E1852" t="s">
        <v>83</v>
      </c>
      <c r="G1852" t="s">
        <v>96</v>
      </c>
      <c r="I1852" t="s">
        <v>90</v>
      </c>
      <c r="K1852" t="s">
        <v>110</v>
      </c>
      <c r="M1852" t="s">
        <v>47</v>
      </c>
      <c r="N1852" s="1" t="e">
        <f t="shared" si="404"/>
        <v>#VALUE!</v>
      </c>
      <c r="O1852" s="1" t="e">
        <f t="shared" si="405"/>
        <v>#VALUE!</v>
      </c>
      <c r="P1852" s="1" t="e">
        <f t="shared" si="406"/>
        <v>#VALUE!</v>
      </c>
      <c r="Q1852" s="1" t="e">
        <f t="shared" si="407"/>
        <v>#VALUE!</v>
      </c>
      <c r="R1852" s="1" t="e">
        <f t="shared" si="408"/>
        <v>#VALUE!</v>
      </c>
      <c r="S1852" s="1" t="e">
        <f t="shared" si="409"/>
        <v>#VALUE!</v>
      </c>
      <c r="T1852" s="1" t="e">
        <f t="shared" si="410"/>
        <v>#VALUE!</v>
      </c>
      <c r="U1852" s="26" t="e">
        <f t="shared" si="411"/>
        <v>#VALUE!</v>
      </c>
      <c r="V1852" s="26" t="e">
        <f t="shared" si="412"/>
        <v>#VALUE!</v>
      </c>
      <c r="W1852" s="1" t="e">
        <f t="shared" si="413"/>
        <v>#VALUE!</v>
      </c>
      <c r="X1852" s="26" t="e">
        <f t="shared" si="414"/>
        <v>#VALUE!</v>
      </c>
      <c r="Y1852" s="26" t="e">
        <f t="shared" si="415"/>
        <v>#VALUE!</v>
      </c>
      <c r="Z1852" s="1" t="e">
        <f t="shared" si="416"/>
        <v>#VALUE!</v>
      </c>
      <c r="AA1852"/>
      <c r="AB1852"/>
    </row>
    <row r="1853" spans="1:28" x14ac:dyDescent="0.55000000000000004">
      <c r="A1853" s="1">
        <f t="shared" si="403"/>
        <v>1853</v>
      </c>
      <c r="B1853" t="s">
        <v>35</v>
      </c>
      <c r="C1853" t="s">
        <v>78</v>
      </c>
      <c r="D1853" t="s">
        <v>42</v>
      </c>
      <c r="E1853" t="s">
        <v>83</v>
      </c>
      <c r="F1853" t="s">
        <v>357</v>
      </c>
      <c r="G1853" t="s">
        <v>207</v>
      </c>
      <c r="I1853" t="s">
        <v>205</v>
      </c>
      <c r="K1853" t="s">
        <v>209</v>
      </c>
      <c r="M1853" t="s">
        <v>47</v>
      </c>
      <c r="N1853" s="1" t="e">
        <f t="shared" si="404"/>
        <v>#VALUE!</v>
      </c>
      <c r="O1853" s="1" t="e">
        <f t="shared" si="405"/>
        <v>#VALUE!</v>
      </c>
      <c r="P1853" s="1" t="e">
        <f t="shared" si="406"/>
        <v>#VALUE!</v>
      </c>
      <c r="Q1853" s="1" t="e">
        <f t="shared" si="407"/>
        <v>#VALUE!</v>
      </c>
      <c r="R1853" s="1" t="e">
        <f t="shared" si="408"/>
        <v>#VALUE!</v>
      </c>
      <c r="S1853" s="1" t="e">
        <f t="shared" si="409"/>
        <v>#VALUE!</v>
      </c>
      <c r="T1853" s="1" t="e">
        <f t="shared" si="410"/>
        <v>#VALUE!</v>
      </c>
      <c r="U1853" s="26" t="e">
        <f t="shared" si="411"/>
        <v>#VALUE!</v>
      </c>
      <c r="V1853" s="26" t="e">
        <f t="shared" si="412"/>
        <v>#VALUE!</v>
      </c>
      <c r="W1853" s="1" t="e">
        <f t="shared" si="413"/>
        <v>#VALUE!</v>
      </c>
      <c r="X1853" s="26" t="e">
        <f t="shared" si="414"/>
        <v>#VALUE!</v>
      </c>
      <c r="Y1853" s="26" t="e">
        <f t="shared" si="415"/>
        <v>#VALUE!</v>
      </c>
      <c r="Z1853" s="1" t="e">
        <f t="shared" si="416"/>
        <v>#VALUE!</v>
      </c>
      <c r="AA1853"/>
      <c r="AB1853"/>
    </row>
    <row r="1854" spans="1:28" x14ac:dyDescent="0.55000000000000004">
      <c r="A1854" s="1">
        <f t="shared" si="403"/>
        <v>1854</v>
      </c>
      <c r="B1854" t="s">
        <v>35</v>
      </c>
      <c r="C1854" t="s">
        <v>78</v>
      </c>
      <c r="D1854" t="s">
        <v>42</v>
      </c>
      <c r="E1854" t="s">
        <v>83</v>
      </c>
      <c r="F1854" t="s">
        <v>357</v>
      </c>
      <c r="G1854" t="s">
        <v>211</v>
      </c>
      <c r="I1854" t="s">
        <v>306</v>
      </c>
      <c r="K1854" t="s">
        <v>309</v>
      </c>
      <c r="M1854" t="s">
        <v>47</v>
      </c>
      <c r="N1854" s="1" t="e">
        <f t="shared" si="404"/>
        <v>#VALUE!</v>
      </c>
      <c r="O1854" s="1" t="e">
        <f t="shared" si="405"/>
        <v>#VALUE!</v>
      </c>
      <c r="P1854" s="1" t="e">
        <f t="shared" si="406"/>
        <v>#VALUE!</v>
      </c>
      <c r="Q1854" s="1" t="e">
        <f t="shared" si="407"/>
        <v>#VALUE!</v>
      </c>
      <c r="R1854" s="1" t="e">
        <f t="shared" si="408"/>
        <v>#VALUE!</v>
      </c>
      <c r="S1854" s="1" t="e">
        <f t="shared" si="409"/>
        <v>#VALUE!</v>
      </c>
      <c r="T1854" s="1" t="e">
        <f t="shared" si="410"/>
        <v>#VALUE!</v>
      </c>
      <c r="U1854" s="26" t="e">
        <f t="shared" si="411"/>
        <v>#VALUE!</v>
      </c>
      <c r="V1854" s="26" t="e">
        <f t="shared" si="412"/>
        <v>#VALUE!</v>
      </c>
      <c r="W1854" s="1" t="e">
        <f t="shared" si="413"/>
        <v>#VALUE!</v>
      </c>
      <c r="X1854" s="26" t="e">
        <f t="shared" si="414"/>
        <v>#VALUE!</v>
      </c>
      <c r="Y1854" s="26" t="e">
        <f t="shared" si="415"/>
        <v>#VALUE!</v>
      </c>
      <c r="Z1854" s="1" t="e">
        <f t="shared" si="416"/>
        <v>#VALUE!</v>
      </c>
      <c r="AA1854"/>
      <c r="AB1854"/>
    </row>
    <row r="1855" spans="1:28" x14ac:dyDescent="0.55000000000000004">
      <c r="A1855" s="1">
        <f t="shared" si="403"/>
        <v>1855</v>
      </c>
      <c r="B1855" t="s">
        <v>35</v>
      </c>
      <c r="C1855" t="s">
        <v>78</v>
      </c>
      <c r="D1855" t="s">
        <v>42</v>
      </c>
      <c r="E1855" t="s">
        <v>83</v>
      </c>
      <c r="F1855" t="s">
        <v>357</v>
      </c>
      <c r="G1855" t="s">
        <v>303</v>
      </c>
      <c r="I1855" t="s">
        <v>386</v>
      </c>
      <c r="K1855" t="s">
        <v>305</v>
      </c>
      <c r="M1855" t="s">
        <v>47</v>
      </c>
      <c r="N1855" s="1" t="e">
        <f t="shared" si="404"/>
        <v>#VALUE!</v>
      </c>
      <c r="O1855" s="1" t="e">
        <f t="shared" si="405"/>
        <v>#VALUE!</v>
      </c>
      <c r="P1855" s="1" t="e">
        <f t="shared" si="406"/>
        <v>#VALUE!</v>
      </c>
      <c r="Q1855" s="1" t="e">
        <f t="shared" si="407"/>
        <v>#VALUE!</v>
      </c>
      <c r="R1855" s="1" t="e">
        <f t="shared" si="408"/>
        <v>#VALUE!</v>
      </c>
      <c r="S1855" s="1" t="e">
        <f t="shared" si="409"/>
        <v>#VALUE!</v>
      </c>
      <c r="T1855" s="1" t="e">
        <f t="shared" si="410"/>
        <v>#VALUE!</v>
      </c>
      <c r="U1855" s="26" t="e">
        <f t="shared" si="411"/>
        <v>#VALUE!</v>
      </c>
      <c r="V1855" s="26" t="e">
        <f t="shared" si="412"/>
        <v>#VALUE!</v>
      </c>
      <c r="W1855" s="1" t="e">
        <f t="shared" si="413"/>
        <v>#VALUE!</v>
      </c>
      <c r="X1855" s="26" t="e">
        <f t="shared" si="414"/>
        <v>#VALUE!</v>
      </c>
      <c r="Y1855" s="26" t="e">
        <f t="shared" si="415"/>
        <v>#VALUE!</v>
      </c>
      <c r="Z1855" s="1" t="e">
        <f t="shared" si="416"/>
        <v>#VALUE!</v>
      </c>
      <c r="AA1855"/>
      <c r="AB1855"/>
    </row>
    <row r="1856" spans="1:28" x14ac:dyDescent="0.55000000000000004">
      <c r="A1856" s="1">
        <f t="shared" si="403"/>
        <v>1856</v>
      </c>
      <c r="B1856" t="s">
        <v>35</v>
      </c>
      <c r="C1856" t="s">
        <v>78</v>
      </c>
      <c r="D1856" t="s">
        <v>42</v>
      </c>
      <c r="E1856" t="s">
        <v>83</v>
      </c>
      <c r="F1856" t="s">
        <v>357</v>
      </c>
      <c r="G1856" t="s">
        <v>208</v>
      </c>
      <c r="I1856" t="s">
        <v>214</v>
      </c>
      <c r="K1856" t="s">
        <v>381</v>
      </c>
      <c r="M1856" t="s">
        <v>47</v>
      </c>
      <c r="N1856" s="1" t="e">
        <f t="shared" si="404"/>
        <v>#VALUE!</v>
      </c>
      <c r="O1856" s="1" t="e">
        <f t="shared" si="405"/>
        <v>#VALUE!</v>
      </c>
      <c r="P1856" s="1" t="e">
        <f t="shared" si="406"/>
        <v>#VALUE!</v>
      </c>
      <c r="Q1856" s="1" t="e">
        <f t="shared" si="407"/>
        <v>#VALUE!</v>
      </c>
      <c r="R1856" s="1" t="e">
        <f t="shared" si="408"/>
        <v>#VALUE!</v>
      </c>
      <c r="S1856" s="1" t="e">
        <f t="shared" si="409"/>
        <v>#VALUE!</v>
      </c>
      <c r="T1856" s="1" t="e">
        <f t="shared" si="410"/>
        <v>#VALUE!</v>
      </c>
      <c r="U1856" s="26" t="e">
        <f t="shared" si="411"/>
        <v>#VALUE!</v>
      </c>
      <c r="V1856" s="26" t="e">
        <f t="shared" si="412"/>
        <v>#VALUE!</v>
      </c>
      <c r="W1856" s="1" t="e">
        <f t="shared" si="413"/>
        <v>#VALUE!</v>
      </c>
      <c r="X1856" s="26" t="e">
        <f t="shared" si="414"/>
        <v>#VALUE!</v>
      </c>
      <c r="Y1856" s="26" t="e">
        <f t="shared" si="415"/>
        <v>#VALUE!</v>
      </c>
      <c r="Z1856" s="1" t="e">
        <f t="shared" si="416"/>
        <v>#VALUE!</v>
      </c>
      <c r="AA1856"/>
      <c r="AB1856"/>
    </row>
    <row r="1857" spans="1:28" x14ac:dyDescent="0.55000000000000004">
      <c r="A1857" s="1">
        <f t="shared" si="403"/>
        <v>1857</v>
      </c>
      <c r="B1857" t="s">
        <v>35</v>
      </c>
      <c r="C1857" t="s">
        <v>78</v>
      </c>
      <c r="D1857" t="s">
        <v>42</v>
      </c>
      <c r="E1857" t="s">
        <v>83</v>
      </c>
      <c r="F1857" t="s">
        <v>357</v>
      </c>
      <c r="G1857" t="s">
        <v>204</v>
      </c>
      <c r="I1857" t="s">
        <v>304</v>
      </c>
      <c r="K1857" t="s">
        <v>206</v>
      </c>
      <c r="M1857" t="s">
        <v>47</v>
      </c>
      <c r="N1857" s="1" t="e">
        <f t="shared" si="404"/>
        <v>#VALUE!</v>
      </c>
      <c r="O1857" s="1" t="e">
        <f t="shared" si="405"/>
        <v>#VALUE!</v>
      </c>
      <c r="P1857" s="1" t="e">
        <f t="shared" si="406"/>
        <v>#VALUE!</v>
      </c>
      <c r="Q1857" s="1" t="e">
        <f t="shared" si="407"/>
        <v>#VALUE!</v>
      </c>
      <c r="R1857" s="1" t="e">
        <f t="shared" si="408"/>
        <v>#VALUE!</v>
      </c>
      <c r="S1857" s="1" t="e">
        <f t="shared" si="409"/>
        <v>#VALUE!</v>
      </c>
      <c r="T1857" s="1" t="e">
        <f t="shared" si="410"/>
        <v>#VALUE!</v>
      </c>
      <c r="U1857" s="26" t="e">
        <f t="shared" si="411"/>
        <v>#VALUE!</v>
      </c>
      <c r="V1857" s="26" t="e">
        <f t="shared" si="412"/>
        <v>#VALUE!</v>
      </c>
      <c r="W1857" s="1" t="e">
        <f t="shared" si="413"/>
        <v>#VALUE!</v>
      </c>
      <c r="X1857" s="26" t="e">
        <f t="shared" si="414"/>
        <v>#VALUE!</v>
      </c>
      <c r="Y1857" s="26" t="e">
        <f t="shared" si="415"/>
        <v>#VALUE!</v>
      </c>
      <c r="Z1857" s="1" t="e">
        <f t="shared" si="416"/>
        <v>#VALUE!</v>
      </c>
      <c r="AA1857"/>
      <c r="AB1857"/>
    </row>
    <row r="1858" spans="1:28" x14ac:dyDescent="0.55000000000000004">
      <c r="A1858" s="1">
        <f t="shared" si="403"/>
        <v>1858</v>
      </c>
      <c r="B1858" t="s">
        <v>35</v>
      </c>
      <c r="C1858" t="s">
        <v>78</v>
      </c>
      <c r="D1858" t="s">
        <v>42</v>
      </c>
      <c r="E1858" t="s">
        <v>83</v>
      </c>
      <c r="F1858" t="s">
        <v>357</v>
      </c>
      <c r="G1858" t="s">
        <v>307</v>
      </c>
      <c r="I1858" t="s">
        <v>213</v>
      </c>
      <c r="K1858" t="s">
        <v>379</v>
      </c>
      <c r="M1858" t="s">
        <v>47</v>
      </c>
      <c r="N1858" s="1" t="e">
        <f t="shared" si="404"/>
        <v>#VALUE!</v>
      </c>
      <c r="O1858" s="1" t="e">
        <f t="shared" si="405"/>
        <v>#VALUE!</v>
      </c>
      <c r="P1858" s="1" t="e">
        <f t="shared" si="406"/>
        <v>#VALUE!</v>
      </c>
      <c r="Q1858" s="1" t="e">
        <f t="shared" si="407"/>
        <v>#VALUE!</v>
      </c>
      <c r="R1858" s="1" t="e">
        <f t="shared" si="408"/>
        <v>#VALUE!</v>
      </c>
      <c r="S1858" s="1" t="e">
        <f t="shared" si="409"/>
        <v>#VALUE!</v>
      </c>
      <c r="T1858" s="1" t="e">
        <f t="shared" si="410"/>
        <v>#VALUE!</v>
      </c>
      <c r="U1858" s="26" t="e">
        <f t="shared" si="411"/>
        <v>#VALUE!</v>
      </c>
      <c r="V1858" s="26" t="e">
        <f t="shared" si="412"/>
        <v>#VALUE!</v>
      </c>
      <c r="W1858" s="1" t="e">
        <f t="shared" si="413"/>
        <v>#VALUE!</v>
      </c>
      <c r="X1858" s="26" t="e">
        <f t="shared" si="414"/>
        <v>#VALUE!</v>
      </c>
      <c r="Y1858" s="26" t="e">
        <f t="shared" si="415"/>
        <v>#VALUE!</v>
      </c>
      <c r="Z1858" s="1" t="e">
        <f t="shared" si="416"/>
        <v>#VALUE!</v>
      </c>
      <c r="AA1858"/>
      <c r="AB1858"/>
    </row>
    <row r="1859" spans="1:28" x14ac:dyDescent="0.55000000000000004">
      <c r="A1859" s="1">
        <f t="shared" ref="A1859:A1922" si="417">A1858+1</f>
        <v>1859</v>
      </c>
      <c r="B1859" t="s">
        <v>35</v>
      </c>
      <c r="C1859" t="s">
        <v>78</v>
      </c>
      <c r="D1859" t="s">
        <v>42</v>
      </c>
      <c r="E1859" t="s">
        <v>83</v>
      </c>
      <c r="F1859" t="s">
        <v>357</v>
      </c>
      <c r="G1859" t="s">
        <v>384</v>
      </c>
      <c r="I1859" t="s">
        <v>377</v>
      </c>
      <c r="K1859" t="s">
        <v>385</v>
      </c>
      <c r="M1859" t="s">
        <v>47</v>
      </c>
      <c r="N1859" s="1" t="e">
        <f t="shared" ref="N1859:N1922" si="418">VALUE(LEFT(H1859,1))</f>
        <v>#VALUE!</v>
      </c>
      <c r="O1859" s="1" t="e">
        <f t="shared" ref="O1859:O1922" si="419">VALUE(RIGHT(H1859,1))</f>
        <v>#VALUE!</v>
      </c>
      <c r="P1859" s="1" t="e">
        <f t="shared" ref="P1859:P1922" si="420">SUM(N1859,O1859)</f>
        <v>#VALUE!</v>
      </c>
      <c r="Q1859" s="1" t="e">
        <f t="shared" ref="Q1859:Q1922" si="421">IF(N1859&lt;&gt;O1859, 1, 0)</f>
        <v>#VALUE!</v>
      </c>
      <c r="R1859" s="1" t="e">
        <f t="shared" ref="R1859:R1922" si="422">IF(P1859&lt;=4,1,0)</f>
        <v>#VALUE!</v>
      </c>
      <c r="S1859" s="1" t="e">
        <f t="shared" ref="S1859:S1922" si="423">IF(AND(Q1859=1,R1859=1),1,0)</f>
        <v>#VALUE!</v>
      </c>
      <c r="T1859" s="1" t="e">
        <f t="shared" ref="T1859:T1922" si="424">IF(N1859&lt;=2,1,0)</f>
        <v>#VALUE!</v>
      </c>
      <c r="U1859" s="26" t="e">
        <f t="shared" ref="U1859:U1922" si="425">IF(AND(N1859&gt;=1,N1859&lt;=3),1,0)</f>
        <v>#VALUE!</v>
      </c>
      <c r="V1859" s="26" t="e">
        <f t="shared" ref="V1859:V1922" si="426">IF(AND(N1859&gt;=2,N1859&lt;=5),1,0)</f>
        <v>#VALUE!</v>
      </c>
      <c r="W1859" s="1" t="e">
        <f t="shared" ref="W1859:W1922" si="427">IF(O1859&lt;=2,1,0)</f>
        <v>#VALUE!</v>
      </c>
      <c r="X1859" s="26" t="e">
        <f t="shared" ref="X1859:X1922" si="428">IF(AND(O1859&gt;=1,O1859&lt;=3),1,0)</f>
        <v>#VALUE!</v>
      </c>
      <c r="Y1859" s="26" t="e">
        <f t="shared" ref="Y1859:Y1922" si="429">IF(AND(O1859&gt;=2,O1859&lt;=5),1,0)</f>
        <v>#VALUE!</v>
      </c>
      <c r="Z1859" s="1" t="e">
        <f t="shared" ref="Z1859:Z1922" si="430">IF(P1859&gt;=2,1,0)</f>
        <v>#VALUE!</v>
      </c>
      <c r="AA1859"/>
      <c r="AB1859"/>
    </row>
    <row r="1860" spans="1:28" x14ac:dyDescent="0.55000000000000004">
      <c r="A1860" s="1">
        <f t="shared" si="417"/>
        <v>1860</v>
      </c>
      <c r="B1860" t="s">
        <v>35</v>
      </c>
      <c r="C1860" t="s">
        <v>78</v>
      </c>
      <c r="D1860" t="s">
        <v>42</v>
      </c>
      <c r="E1860" t="s">
        <v>83</v>
      </c>
      <c r="F1860" t="s">
        <v>357</v>
      </c>
      <c r="G1860" t="s">
        <v>210</v>
      </c>
      <c r="I1860" t="s">
        <v>383</v>
      </c>
      <c r="K1860" t="s">
        <v>212</v>
      </c>
      <c r="M1860" t="s">
        <v>47</v>
      </c>
      <c r="N1860" s="1" t="e">
        <f t="shared" si="418"/>
        <v>#VALUE!</v>
      </c>
      <c r="O1860" s="1" t="e">
        <f t="shared" si="419"/>
        <v>#VALUE!</v>
      </c>
      <c r="P1860" s="1" t="e">
        <f t="shared" si="420"/>
        <v>#VALUE!</v>
      </c>
      <c r="Q1860" s="1" t="e">
        <f t="shared" si="421"/>
        <v>#VALUE!</v>
      </c>
      <c r="R1860" s="1" t="e">
        <f t="shared" si="422"/>
        <v>#VALUE!</v>
      </c>
      <c r="S1860" s="1" t="e">
        <f t="shared" si="423"/>
        <v>#VALUE!</v>
      </c>
      <c r="T1860" s="1" t="e">
        <f t="shared" si="424"/>
        <v>#VALUE!</v>
      </c>
      <c r="U1860" s="26" t="e">
        <f t="shared" si="425"/>
        <v>#VALUE!</v>
      </c>
      <c r="V1860" s="26" t="e">
        <f t="shared" si="426"/>
        <v>#VALUE!</v>
      </c>
      <c r="W1860" s="1" t="e">
        <f t="shared" si="427"/>
        <v>#VALUE!</v>
      </c>
      <c r="X1860" s="26" t="e">
        <f t="shared" si="428"/>
        <v>#VALUE!</v>
      </c>
      <c r="Y1860" s="26" t="e">
        <f t="shared" si="429"/>
        <v>#VALUE!</v>
      </c>
      <c r="Z1860" s="1" t="e">
        <f t="shared" si="430"/>
        <v>#VALUE!</v>
      </c>
      <c r="AA1860"/>
      <c r="AB1860"/>
    </row>
    <row r="1861" spans="1:28" x14ac:dyDescent="0.55000000000000004">
      <c r="A1861" s="1">
        <f t="shared" si="417"/>
        <v>1861</v>
      </c>
      <c r="B1861" t="s">
        <v>31</v>
      </c>
      <c r="C1861" t="s">
        <v>118</v>
      </c>
      <c r="D1861" t="s">
        <v>133</v>
      </c>
      <c r="E1861" t="s">
        <v>166</v>
      </c>
      <c r="G1861" t="s">
        <v>147</v>
      </c>
      <c r="I1861" t="s">
        <v>151</v>
      </c>
      <c r="K1861" t="s">
        <v>149</v>
      </c>
      <c r="M1861" t="s">
        <v>47</v>
      </c>
      <c r="N1861" s="1" t="e">
        <f t="shared" si="418"/>
        <v>#VALUE!</v>
      </c>
      <c r="O1861" s="1" t="e">
        <f t="shared" si="419"/>
        <v>#VALUE!</v>
      </c>
      <c r="P1861" s="1" t="e">
        <f t="shared" si="420"/>
        <v>#VALUE!</v>
      </c>
      <c r="Q1861" s="1" t="e">
        <f t="shared" si="421"/>
        <v>#VALUE!</v>
      </c>
      <c r="R1861" s="1" t="e">
        <f t="shared" si="422"/>
        <v>#VALUE!</v>
      </c>
      <c r="S1861" s="1" t="e">
        <f t="shared" si="423"/>
        <v>#VALUE!</v>
      </c>
      <c r="T1861" s="1" t="e">
        <f t="shared" si="424"/>
        <v>#VALUE!</v>
      </c>
      <c r="U1861" s="26" t="e">
        <f t="shared" si="425"/>
        <v>#VALUE!</v>
      </c>
      <c r="V1861" s="26" t="e">
        <f t="shared" si="426"/>
        <v>#VALUE!</v>
      </c>
      <c r="W1861" s="1" t="e">
        <f t="shared" si="427"/>
        <v>#VALUE!</v>
      </c>
      <c r="X1861" s="26" t="e">
        <f t="shared" si="428"/>
        <v>#VALUE!</v>
      </c>
      <c r="Y1861" s="26" t="e">
        <f t="shared" si="429"/>
        <v>#VALUE!</v>
      </c>
      <c r="Z1861" s="1" t="e">
        <f t="shared" si="430"/>
        <v>#VALUE!</v>
      </c>
      <c r="AA1861"/>
      <c r="AB1861"/>
    </row>
    <row r="1862" spans="1:28" x14ac:dyDescent="0.55000000000000004">
      <c r="A1862" s="1">
        <f t="shared" si="417"/>
        <v>1862</v>
      </c>
      <c r="B1862" t="s">
        <v>31</v>
      </c>
      <c r="C1862" t="s">
        <v>118</v>
      </c>
      <c r="D1862" t="s">
        <v>133</v>
      </c>
      <c r="E1862" t="s">
        <v>166</v>
      </c>
      <c r="G1862" t="s">
        <v>141</v>
      </c>
      <c r="I1862" t="s">
        <v>150</v>
      </c>
      <c r="K1862" t="s">
        <v>143</v>
      </c>
      <c r="M1862" t="s">
        <v>47</v>
      </c>
      <c r="N1862" s="1" t="e">
        <f t="shared" si="418"/>
        <v>#VALUE!</v>
      </c>
      <c r="O1862" s="1" t="e">
        <f t="shared" si="419"/>
        <v>#VALUE!</v>
      </c>
      <c r="P1862" s="1" t="e">
        <f t="shared" si="420"/>
        <v>#VALUE!</v>
      </c>
      <c r="Q1862" s="1" t="e">
        <f t="shared" si="421"/>
        <v>#VALUE!</v>
      </c>
      <c r="R1862" s="1" t="e">
        <f t="shared" si="422"/>
        <v>#VALUE!</v>
      </c>
      <c r="S1862" s="1" t="e">
        <f t="shared" si="423"/>
        <v>#VALUE!</v>
      </c>
      <c r="T1862" s="1" t="e">
        <f t="shared" si="424"/>
        <v>#VALUE!</v>
      </c>
      <c r="U1862" s="26" t="e">
        <f t="shared" si="425"/>
        <v>#VALUE!</v>
      </c>
      <c r="V1862" s="26" t="e">
        <f t="shared" si="426"/>
        <v>#VALUE!</v>
      </c>
      <c r="W1862" s="1" t="e">
        <f t="shared" si="427"/>
        <v>#VALUE!</v>
      </c>
      <c r="X1862" s="26" t="e">
        <f t="shared" si="428"/>
        <v>#VALUE!</v>
      </c>
      <c r="Y1862" s="26" t="e">
        <f t="shared" si="429"/>
        <v>#VALUE!</v>
      </c>
      <c r="Z1862" s="1" t="e">
        <f t="shared" si="430"/>
        <v>#VALUE!</v>
      </c>
      <c r="AA1862"/>
      <c r="AB1862"/>
    </row>
    <row r="1863" spans="1:28" x14ac:dyDescent="0.55000000000000004">
      <c r="A1863" s="1">
        <f t="shared" si="417"/>
        <v>1863</v>
      </c>
      <c r="B1863" t="s">
        <v>31</v>
      </c>
      <c r="C1863" t="s">
        <v>118</v>
      </c>
      <c r="D1863" t="s">
        <v>133</v>
      </c>
      <c r="E1863" t="s">
        <v>166</v>
      </c>
      <c r="G1863" t="s">
        <v>148</v>
      </c>
      <c r="I1863" t="s">
        <v>142</v>
      </c>
      <c r="K1863" t="s">
        <v>157</v>
      </c>
      <c r="M1863" t="s">
        <v>47</v>
      </c>
      <c r="N1863" s="1" t="e">
        <f t="shared" si="418"/>
        <v>#VALUE!</v>
      </c>
      <c r="O1863" s="1" t="e">
        <f t="shared" si="419"/>
        <v>#VALUE!</v>
      </c>
      <c r="P1863" s="1" t="e">
        <f t="shared" si="420"/>
        <v>#VALUE!</v>
      </c>
      <c r="Q1863" s="1" t="e">
        <f t="shared" si="421"/>
        <v>#VALUE!</v>
      </c>
      <c r="R1863" s="1" t="e">
        <f t="shared" si="422"/>
        <v>#VALUE!</v>
      </c>
      <c r="S1863" s="1" t="e">
        <f t="shared" si="423"/>
        <v>#VALUE!</v>
      </c>
      <c r="T1863" s="1" t="e">
        <f t="shared" si="424"/>
        <v>#VALUE!</v>
      </c>
      <c r="U1863" s="26" t="e">
        <f t="shared" si="425"/>
        <v>#VALUE!</v>
      </c>
      <c r="V1863" s="26" t="e">
        <f t="shared" si="426"/>
        <v>#VALUE!</v>
      </c>
      <c r="W1863" s="1" t="e">
        <f t="shared" si="427"/>
        <v>#VALUE!</v>
      </c>
      <c r="X1863" s="26" t="e">
        <f t="shared" si="428"/>
        <v>#VALUE!</v>
      </c>
      <c r="Y1863" s="26" t="e">
        <f t="shared" si="429"/>
        <v>#VALUE!</v>
      </c>
      <c r="Z1863" s="1" t="e">
        <f t="shared" si="430"/>
        <v>#VALUE!</v>
      </c>
      <c r="AA1863"/>
      <c r="AB1863"/>
    </row>
    <row r="1864" spans="1:28" x14ac:dyDescent="0.55000000000000004">
      <c r="A1864" s="1">
        <f t="shared" si="417"/>
        <v>1864</v>
      </c>
      <c r="B1864" t="s">
        <v>31</v>
      </c>
      <c r="C1864" t="s">
        <v>118</v>
      </c>
      <c r="D1864" t="s">
        <v>133</v>
      </c>
      <c r="E1864" t="s">
        <v>166</v>
      </c>
      <c r="G1864" t="s">
        <v>138</v>
      </c>
      <c r="I1864" t="s">
        <v>145</v>
      </c>
      <c r="K1864" t="s">
        <v>140</v>
      </c>
      <c r="M1864" t="s">
        <v>47</v>
      </c>
      <c r="N1864" s="1" t="e">
        <f t="shared" si="418"/>
        <v>#VALUE!</v>
      </c>
      <c r="O1864" s="1" t="e">
        <f t="shared" si="419"/>
        <v>#VALUE!</v>
      </c>
      <c r="P1864" s="1" t="e">
        <f t="shared" si="420"/>
        <v>#VALUE!</v>
      </c>
      <c r="Q1864" s="1" t="e">
        <f t="shared" si="421"/>
        <v>#VALUE!</v>
      </c>
      <c r="R1864" s="1" t="e">
        <f t="shared" si="422"/>
        <v>#VALUE!</v>
      </c>
      <c r="S1864" s="1" t="e">
        <f t="shared" si="423"/>
        <v>#VALUE!</v>
      </c>
      <c r="T1864" s="1" t="e">
        <f t="shared" si="424"/>
        <v>#VALUE!</v>
      </c>
      <c r="U1864" s="26" t="e">
        <f t="shared" si="425"/>
        <v>#VALUE!</v>
      </c>
      <c r="V1864" s="26" t="e">
        <f t="shared" si="426"/>
        <v>#VALUE!</v>
      </c>
      <c r="W1864" s="1" t="e">
        <f t="shared" si="427"/>
        <v>#VALUE!</v>
      </c>
      <c r="X1864" s="26" t="e">
        <f t="shared" si="428"/>
        <v>#VALUE!</v>
      </c>
      <c r="Y1864" s="26" t="e">
        <f t="shared" si="429"/>
        <v>#VALUE!</v>
      </c>
      <c r="Z1864" s="1" t="e">
        <f t="shared" si="430"/>
        <v>#VALUE!</v>
      </c>
      <c r="AA1864"/>
      <c r="AB1864"/>
    </row>
    <row r="1865" spans="1:28" x14ac:dyDescent="0.55000000000000004">
      <c r="A1865" s="1">
        <f t="shared" si="417"/>
        <v>1865</v>
      </c>
      <c r="B1865" t="s">
        <v>31</v>
      </c>
      <c r="C1865" t="s">
        <v>118</v>
      </c>
      <c r="D1865" t="s">
        <v>133</v>
      </c>
      <c r="E1865" t="s">
        <v>166</v>
      </c>
      <c r="G1865" t="s">
        <v>136</v>
      </c>
      <c r="I1865" t="s">
        <v>139</v>
      </c>
      <c r="K1865" t="s">
        <v>158</v>
      </c>
      <c r="M1865" t="s">
        <v>47</v>
      </c>
      <c r="N1865" s="1" t="e">
        <f t="shared" si="418"/>
        <v>#VALUE!</v>
      </c>
      <c r="O1865" s="1" t="e">
        <f t="shared" si="419"/>
        <v>#VALUE!</v>
      </c>
      <c r="P1865" s="1" t="e">
        <f t="shared" si="420"/>
        <v>#VALUE!</v>
      </c>
      <c r="Q1865" s="1" t="e">
        <f t="shared" si="421"/>
        <v>#VALUE!</v>
      </c>
      <c r="R1865" s="1" t="e">
        <f t="shared" si="422"/>
        <v>#VALUE!</v>
      </c>
      <c r="S1865" s="1" t="e">
        <f t="shared" si="423"/>
        <v>#VALUE!</v>
      </c>
      <c r="T1865" s="1" t="e">
        <f t="shared" si="424"/>
        <v>#VALUE!</v>
      </c>
      <c r="U1865" s="26" t="e">
        <f t="shared" si="425"/>
        <v>#VALUE!</v>
      </c>
      <c r="V1865" s="26" t="e">
        <f t="shared" si="426"/>
        <v>#VALUE!</v>
      </c>
      <c r="W1865" s="1" t="e">
        <f t="shared" si="427"/>
        <v>#VALUE!</v>
      </c>
      <c r="X1865" s="26" t="e">
        <f t="shared" si="428"/>
        <v>#VALUE!</v>
      </c>
      <c r="Y1865" s="26" t="e">
        <f t="shared" si="429"/>
        <v>#VALUE!</v>
      </c>
      <c r="Z1865" s="1" t="e">
        <f t="shared" si="430"/>
        <v>#VALUE!</v>
      </c>
      <c r="AA1865"/>
      <c r="AB1865"/>
    </row>
    <row r="1866" spans="1:28" x14ac:dyDescent="0.55000000000000004">
      <c r="A1866" s="1">
        <f t="shared" si="417"/>
        <v>1866</v>
      </c>
      <c r="B1866" t="s">
        <v>31</v>
      </c>
      <c r="C1866" t="s">
        <v>118</v>
      </c>
      <c r="D1866" t="s">
        <v>133</v>
      </c>
      <c r="E1866" t="s">
        <v>166</v>
      </c>
      <c r="G1866" t="s">
        <v>144</v>
      </c>
      <c r="I1866" t="s">
        <v>135</v>
      </c>
      <c r="K1866" t="s">
        <v>146</v>
      </c>
      <c r="M1866" t="s">
        <v>47</v>
      </c>
      <c r="N1866" s="1" t="e">
        <f t="shared" si="418"/>
        <v>#VALUE!</v>
      </c>
      <c r="O1866" s="1" t="e">
        <f t="shared" si="419"/>
        <v>#VALUE!</v>
      </c>
      <c r="P1866" s="1" t="e">
        <f t="shared" si="420"/>
        <v>#VALUE!</v>
      </c>
      <c r="Q1866" s="1" t="e">
        <f t="shared" si="421"/>
        <v>#VALUE!</v>
      </c>
      <c r="R1866" s="1" t="e">
        <f t="shared" si="422"/>
        <v>#VALUE!</v>
      </c>
      <c r="S1866" s="1" t="e">
        <f t="shared" si="423"/>
        <v>#VALUE!</v>
      </c>
      <c r="T1866" s="1" t="e">
        <f t="shared" si="424"/>
        <v>#VALUE!</v>
      </c>
      <c r="U1866" s="26" t="e">
        <f t="shared" si="425"/>
        <v>#VALUE!</v>
      </c>
      <c r="V1866" s="26" t="e">
        <f t="shared" si="426"/>
        <v>#VALUE!</v>
      </c>
      <c r="W1866" s="1" t="e">
        <f t="shared" si="427"/>
        <v>#VALUE!</v>
      </c>
      <c r="X1866" s="26" t="e">
        <f t="shared" si="428"/>
        <v>#VALUE!</v>
      </c>
      <c r="Y1866" s="26" t="e">
        <f t="shared" si="429"/>
        <v>#VALUE!</v>
      </c>
      <c r="Z1866" s="1" t="e">
        <f t="shared" si="430"/>
        <v>#VALUE!</v>
      </c>
      <c r="AA1866"/>
      <c r="AB1866"/>
    </row>
    <row r="1867" spans="1:28" x14ac:dyDescent="0.55000000000000004">
      <c r="A1867" s="1">
        <f t="shared" si="417"/>
        <v>1867</v>
      </c>
      <c r="B1867" t="s">
        <v>34</v>
      </c>
      <c r="C1867" t="s">
        <v>120</v>
      </c>
      <c r="D1867" t="s">
        <v>42</v>
      </c>
      <c r="E1867" t="s">
        <v>121</v>
      </c>
      <c r="G1867" t="s">
        <v>99</v>
      </c>
      <c r="I1867" t="s">
        <v>96</v>
      </c>
      <c r="K1867" t="s">
        <v>107</v>
      </c>
      <c r="M1867" t="s">
        <v>47</v>
      </c>
      <c r="N1867" s="1" t="e">
        <f t="shared" si="418"/>
        <v>#VALUE!</v>
      </c>
      <c r="O1867" s="1" t="e">
        <f t="shared" si="419"/>
        <v>#VALUE!</v>
      </c>
      <c r="P1867" s="1" t="e">
        <f t="shared" si="420"/>
        <v>#VALUE!</v>
      </c>
      <c r="Q1867" s="1" t="e">
        <f t="shared" si="421"/>
        <v>#VALUE!</v>
      </c>
      <c r="R1867" s="1" t="e">
        <f t="shared" si="422"/>
        <v>#VALUE!</v>
      </c>
      <c r="S1867" s="1" t="e">
        <f t="shared" si="423"/>
        <v>#VALUE!</v>
      </c>
      <c r="T1867" s="1" t="e">
        <f t="shared" si="424"/>
        <v>#VALUE!</v>
      </c>
      <c r="U1867" s="26" t="e">
        <f t="shared" si="425"/>
        <v>#VALUE!</v>
      </c>
      <c r="V1867" s="26" t="e">
        <f t="shared" si="426"/>
        <v>#VALUE!</v>
      </c>
      <c r="W1867" s="1" t="e">
        <f t="shared" si="427"/>
        <v>#VALUE!</v>
      </c>
      <c r="X1867" s="26" t="e">
        <f t="shared" si="428"/>
        <v>#VALUE!</v>
      </c>
      <c r="Y1867" s="26" t="e">
        <f t="shared" si="429"/>
        <v>#VALUE!</v>
      </c>
      <c r="Z1867" s="1" t="e">
        <f t="shared" si="430"/>
        <v>#VALUE!</v>
      </c>
      <c r="AA1867"/>
      <c r="AB1867"/>
    </row>
    <row r="1868" spans="1:28" x14ac:dyDescent="0.55000000000000004">
      <c r="A1868" s="1">
        <f t="shared" si="417"/>
        <v>1868</v>
      </c>
      <c r="B1868" t="s">
        <v>34</v>
      </c>
      <c r="C1868" t="s">
        <v>120</v>
      </c>
      <c r="D1868" t="s">
        <v>42</v>
      </c>
      <c r="E1868" t="s">
        <v>121</v>
      </c>
      <c r="G1868" t="s">
        <v>92</v>
      </c>
      <c r="I1868" t="s">
        <v>95</v>
      </c>
      <c r="K1868" t="s">
        <v>94</v>
      </c>
      <c r="M1868" t="s">
        <v>47</v>
      </c>
      <c r="N1868" s="1" t="e">
        <f t="shared" si="418"/>
        <v>#VALUE!</v>
      </c>
      <c r="O1868" s="1" t="e">
        <f t="shared" si="419"/>
        <v>#VALUE!</v>
      </c>
      <c r="P1868" s="1" t="e">
        <f t="shared" si="420"/>
        <v>#VALUE!</v>
      </c>
      <c r="Q1868" s="1" t="e">
        <f t="shared" si="421"/>
        <v>#VALUE!</v>
      </c>
      <c r="R1868" s="1" t="e">
        <f t="shared" si="422"/>
        <v>#VALUE!</v>
      </c>
      <c r="S1868" s="1" t="e">
        <f t="shared" si="423"/>
        <v>#VALUE!</v>
      </c>
      <c r="T1868" s="1" t="e">
        <f t="shared" si="424"/>
        <v>#VALUE!</v>
      </c>
      <c r="U1868" s="26" t="e">
        <f t="shared" si="425"/>
        <v>#VALUE!</v>
      </c>
      <c r="V1868" s="26" t="e">
        <f t="shared" si="426"/>
        <v>#VALUE!</v>
      </c>
      <c r="W1868" s="1" t="e">
        <f t="shared" si="427"/>
        <v>#VALUE!</v>
      </c>
      <c r="X1868" s="26" t="e">
        <f t="shared" si="428"/>
        <v>#VALUE!</v>
      </c>
      <c r="Y1868" s="26" t="e">
        <f t="shared" si="429"/>
        <v>#VALUE!</v>
      </c>
      <c r="Z1868" s="1" t="e">
        <f t="shared" si="430"/>
        <v>#VALUE!</v>
      </c>
      <c r="AA1868"/>
      <c r="AB1868"/>
    </row>
    <row r="1869" spans="1:28" x14ac:dyDescent="0.55000000000000004">
      <c r="A1869" s="1">
        <f t="shared" si="417"/>
        <v>1869</v>
      </c>
      <c r="B1869" t="s">
        <v>34</v>
      </c>
      <c r="C1869" t="s">
        <v>120</v>
      </c>
      <c r="D1869" t="s">
        <v>42</v>
      </c>
      <c r="E1869" t="s">
        <v>121</v>
      </c>
      <c r="G1869" t="s">
        <v>87</v>
      </c>
      <c r="I1869" t="s">
        <v>86</v>
      </c>
      <c r="K1869" t="s">
        <v>109</v>
      </c>
      <c r="M1869" t="s">
        <v>47</v>
      </c>
      <c r="N1869" s="1" t="e">
        <f t="shared" si="418"/>
        <v>#VALUE!</v>
      </c>
      <c r="O1869" s="1" t="e">
        <f t="shared" si="419"/>
        <v>#VALUE!</v>
      </c>
      <c r="P1869" s="1" t="e">
        <f t="shared" si="420"/>
        <v>#VALUE!</v>
      </c>
      <c r="Q1869" s="1" t="e">
        <f t="shared" si="421"/>
        <v>#VALUE!</v>
      </c>
      <c r="R1869" s="1" t="e">
        <f t="shared" si="422"/>
        <v>#VALUE!</v>
      </c>
      <c r="S1869" s="1" t="e">
        <f t="shared" si="423"/>
        <v>#VALUE!</v>
      </c>
      <c r="T1869" s="1" t="e">
        <f t="shared" si="424"/>
        <v>#VALUE!</v>
      </c>
      <c r="U1869" s="26" t="e">
        <f t="shared" si="425"/>
        <v>#VALUE!</v>
      </c>
      <c r="V1869" s="26" t="e">
        <f t="shared" si="426"/>
        <v>#VALUE!</v>
      </c>
      <c r="W1869" s="1" t="e">
        <f t="shared" si="427"/>
        <v>#VALUE!</v>
      </c>
      <c r="X1869" s="26" t="e">
        <f t="shared" si="428"/>
        <v>#VALUE!</v>
      </c>
      <c r="Y1869" s="26" t="e">
        <f t="shared" si="429"/>
        <v>#VALUE!</v>
      </c>
      <c r="Z1869" s="1" t="e">
        <f t="shared" si="430"/>
        <v>#VALUE!</v>
      </c>
      <c r="AA1869"/>
      <c r="AB1869"/>
    </row>
    <row r="1870" spans="1:28" x14ac:dyDescent="0.55000000000000004">
      <c r="A1870" s="1">
        <f t="shared" si="417"/>
        <v>1870</v>
      </c>
      <c r="B1870" t="s">
        <v>34</v>
      </c>
      <c r="C1870" t="s">
        <v>120</v>
      </c>
      <c r="D1870" t="s">
        <v>42</v>
      </c>
      <c r="E1870" t="s">
        <v>121</v>
      </c>
      <c r="G1870" t="s">
        <v>93</v>
      </c>
      <c r="I1870" t="s">
        <v>101</v>
      </c>
      <c r="K1870" t="s">
        <v>113</v>
      </c>
      <c r="M1870" t="s">
        <v>47</v>
      </c>
      <c r="N1870" s="1" t="e">
        <f t="shared" si="418"/>
        <v>#VALUE!</v>
      </c>
      <c r="O1870" s="1" t="e">
        <f t="shared" si="419"/>
        <v>#VALUE!</v>
      </c>
      <c r="P1870" s="1" t="e">
        <f t="shared" si="420"/>
        <v>#VALUE!</v>
      </c>
      <c r="Q1870" s="1" t="e">
        <f t="shared" si="421"/>
        <v>#VALUE!</v>
      </c>
      <c r="R1870" s="1" t="e">
        <f t="shared" si="422"/>
        <v>#VALUE!</v>
      </c>
      <c r="S1870" s="1" t="e">
        <f t="shared" si="423"/>
        <v>#VALUE!</v>
      </c>
      <c r="T1870" s="1" t="e">
        <f t="shared" si="424"/>
        <v>#VALUE!</v>
      </c>
      <c r="U1870" s="26" t="e">
        <f t="shared" si="425"/>
        <v>#VALUE!</v>
      </c>
      <c r="V1870" s="26" t="e">
        <f t="shared" si="426"/>
        <v>#VALUE!</v>
      </c>
      <c r="W1870" s="1" t="e">
        <f t="shared" si="427"/>
        <v>#VALUE!</v>
      </c>
      <c r="X1870" s="26" t="e">
        <f t="shared" si="428"/>
        <v>#VALUE!</v>
      </c>
      <c r="Y1870" s="26" t="e">
        <f t="shared" si="429"/>
        <v>#VALUE!</v>
      </c>
      <c r="Z1870" s="1" t="e">
        <f t="shared" si="430"/>
        <v>#VALUE!</v>
      </c>
      <c r="AA1870"/>
      <c r="AB1870"/>
    </row>
    <row r="1871" spans="1:28" x14ac:dyDescent="0.55000000000000004">
      <c r="A1871" s="1">
        <f t="shared" si="417"/>
        <v>1871</v>
      </c>
      <c r="B1871" t="s">
        <v>34</v>
      </c>
      <c r="C1871" t="s">
        <v>120</v>
      </c>
      <c r="D1871" t="s">
        <v>42</v>
      </c>
      <c r="E1871" t="s">
        <v>121</v>
      </c>
      <c r="G1871" t="s">
        <v>90</v>
      </c>
      <c r="I1871" t="s">
        <v>102</v>
      </c>
      <c r="K1871" t="s">
        <v>108</v>
      </c>
      <c r="M1871" t="s">
        <v>47</v>
      </c>
      <c r="N1871" s="1" t="e">
        <f t="shared" si="418"/>
        <v>#VALUE!</v>
      </c>
      <c r="O1871" s="1" t="e">
        <f t="shared" si="419"/>
        <v>#VALUE!</v>
      </c>
      <c r="P1871" s="1" t="e">
        <f t="shared" si="420"/>
        <v>#VALUE!</v>
      </c>
      <c r="Q1871" s="1" t="e">
        <f t="shared" si="421"/>
        <v>#VALUE!</v>
      </c>
      <c r="R1871" s="1" t="e">
        <f t="shared" si="422"/>
        <v>#VALUE!</v>
      </c>
      <c r="S1871" s="1" t="e">
        <f t="shared" si="423"/>
        <v>#VALUE!</v>
      </c>
      <c r="T1871" s="1" t="e">
        <f t="shared" si="424"/>
        <v>#VALUE!</v>
      </c>
      <c r="U1871" s="26" t="e">
        <f t="shared" si="425"/>
        <v>#VALUE!</v>
      </c>
      <c r="V1871" s="26" t="e">
        <f t="shared" si="426"/>
        <v>#VALUE!</v>
      </c>
      <c r="W1871" s="1" t="e">
        <f t="shared" si="427"/>
        <v>#VALUE!</v>
      </c>
      <c r="X1871" s="26" t="e">
        <f t="shared" si="428"/>
        <v>#VALUE!</v>
      </c>
      <c r="Y1871" s="26" t="e">
        <f t="shared" si="429"/>
        <v>#VALUE!</v>
      </c>
      <c r="Z1871" s="1" t="e">
        <f t="shared" si="430"/>
        <v>#VALUE!</v>
      </c>
      <c r="AA1871"/>
      <c r="AB1871"/>
    </row>
    <row r="1872" spans="1:28" x14ac:dyDescent="0.55000000000000004">
      <c r="A1872" s="1">
        <f t="shared" si="417"/>
        <v>1872</v>
      </c>
      <c r="B1872" t="s">
        <v>34</v>
      </c>
      <c r="C1872" t="s">
        <v>120</v>
      </c>
      <c r="D1872" t="s">
        <v>42</v>
      </c>
      <c r="E1872" t="s">
        <v>121</v>
      </c>
      <c r="G1872" t="s">
        <v>89</v>
      </c>
      <c r="I1872" t="s">
        <v>98</v>
      </c>
      <c r="K1872" t="s">
        <v>91</v>
      </c>
      <c r="M1872" t="s">
        <v>47</v>
      </c>
      <c r="N1872" s="1" t="e">
        <f t="shared" si="418"/>
        <v>#VALUE!</v>
      </c>
      <c r="O1872" s="1" t="e">
        <f t="shared" si="419"/>
        <v>#VALUE!</v>
      </c>
      <c r="P1872" s="1" t="e">
        <f t="shared" si="420"/>
        <v>#VALUE!</v>
      </c>
      <c r="Q1872" s="1" t="e">
        <f t="shared" si="421"/>
        <v>#VALUE!</v>
      </c>
      <c r="R1872" s="1" t="e">
        <f t="shared" si="422"/>
        <v>#VALUE!</v>
      </c>
      <c r="S1872" s="1" t="e">
        <f t="shared" si="423"/>
        <v>#VALUE!</v>
      </c>
      <c r="T1872" s="1" t="e">
        <f t="shared" si="424"/>
        <v>#VALUE!</v>
      </c>
      <c r="U1872" s="26" t="e">
        <f t="shared" si="425"/>
        <v>#VALUE!</v>
      </c>
      <c r="V1872" s="26" t="e">
        <f t="shared" si="426"/>
        <v>#VALUE!</v>
      </c>
      <c r="W1872" s="1" t="e">
        <f t="shared" si="427"/>
        <v>#VALUE!</v>
      </c>
      <c r="X1872" s="26" t="e">
        <f t="shared" si="428"/>
        <v>#VALUE!</v>
      </c>
      <c r="Y1872" s="26" t="e">
        <f t="shared" si="429"/>
        <v>#VALUE!</v>
      </c>
      <c r="Z1872" s="1" t="e">
        <f t="shared" si="430"/>
        <v>#VALUE!</v>
      </c>
      <c r="AA1872"/>
      <c r="AB1872"/>
    </row>
    <row r="1873" spans="1:28" x14ac:dyDescent="0.55000000000000004">
      <c r="A1873" s="1">
        <f t="shared" si="417"/>
        <v>1873</v>
      </c>
      <c r="B1873" t="s">
        <v>35</v>
      </c>
      <c r="C1873" t="s">
        <v>80</v>
      </c>
      <c r="D1873" t="s">
        <v>42</v>
      </c>
      <c r="E1873" t="s">
        <v>121</v>
      </c>
      <c r="F1873" t="s">
        <v>357</v>
      </c>
      <c r="G1873" t="s">
        <v>214</v>
      </c>
      <c r="I1873" t="s">
        <v>210</v>
      </c>
      <c r="K1873" t="s">
        <v>301</v>
      </c>
      <c r="M1873" t="s">
        <v>47</v>
      </c>
      <c r="N1873" s="1" t="e">
        <f t="shared" si="418"/>
        <v>#VALUE!</v>
      </c>
      <c r="O1873" s="1" t="e">
        <f t="shared" si="419"/>
        <v>#VALUE!</v>
      </c>
      <c r="P1873" s="1" t="e">
        <f t="shared" si="420"/>
        <v>#VALUE!</v>
      </c>
      <c r="Q1873" s="1" t="e">
        <f t="shared" si="421"/>
        <v>#VALUE!</v>
      </c>
      <c r="R1873" s="1" t="e">
        <f t="shared" si="422"/>
        <v>#VALUE!</v>
      </c>
      <c r="S1873" s="1" t="e">
        <f t="shared" si="423"/>
        <v>#VALUE!</v>
      </c>
      <c r="T1873" s="1" t="e">
        <f t="shared" si="424"/>
        <v>#VALUE!</v>
      </c>
      <c r="U1873" s="26" t="e">
        <f t="shared" si="425"/>
        <v>#VALUE!</v>
      </c>
      <c r="V1873" s="26" t="e">
        <f t="shared" si="426"/>
        <v>#VALUE!</v>
      </c>
      <c r="W1873" s="1" t="e">
        <f t="shared" si="427"/>
        <v>#VALUE!</v>
      </c>
      <c r="X1873" s="26" t="e">
        <f t="shared" si="428"/>
        <v>#VALUE!</v>
      </c>
      <c r="Y1873" s="26" t="e">
        <f t="shared" si="429"/>
        <v>#VALUE!</v>
      </c>
      <c r="Z1873" s="1" t="e">
        <f t="shared" si="430"/>
        <v>#VALUE!</v>
      </c>
      <c r="AA1873"/>
      <c r="AB1873"/>
    </row>
    <row r="1874" spans="1:28" x14ac:dyDescent="0.55000000000000004">
      <c r="A1874" s="1">
        <f t="shared" si="417"/>
        <v>1874</v>
      </c>
      <c r="B1874" t="s">
        <v>35</v>
      </c>
      <c r="C1874" t="s">
        <v>80</v>
      </c>
      <c r="D1874" t="s">
        <v>42</v>
      </c>
      <c r="E1874" t="s">
        <v>121</v>
      </c>
      <c r="F1874" t="s">
        <v>357</v>
      </c>
      <c r="G1874" t="s">
        <v>304</v>
      </c>
      <c r="I1874" t="s">
        <v>211</v>
      </c>
      <c r="K1874" t="s">
        <v>382</v>
      </c>
      <c r="M1874" t="s">
        <v>47</v>
      </c>
      <c r="N1874" s="1" t="e">
        <f t="shared" si="418"/>
        <v>#VALUE!</v>
      </c>
      <c r="O1874" s="1" t="e">
        <f t="shared" si="419"/>
        <v>#VALUE!</v>
      </c>
      <c r="P1874" s="1" t="e">
        <f t="shared" si="420"/>
        <v>#VALUE!</v>
      </c>
      <c r="Q1874" s="1" t="e">
        <f t="shared" si="421"/>
        <v>#VALUE!</v>
      </c>
      <c r="R1874" s="1" t="e">
        <f t="shared" si="422"/>
        <v>#VALUE!</v>
      </c>
      <c r="S1874" s="1" t="e">
        <f t="shared" si="423"/>
        <v>#VALUE!</v>
      </c>
      <c r="T1874" s="1" t="e">
        <f t="shared" si="424"/>
        <v>#VALUE!</v>
      </c>
      <c r="U1874" s="26" t="e">
        <f t="shared" si="425"/>
        <v>#VALUE!</v>
      </c>
      <c r="V1874" s="26" t="e">
        <f t="shared" si="426"/>
        <v>#VALUE!</v>
      </c>
      <c r="W1874" s="1" t="e">
        <f t="shared" si="427"/>
        <v>#VALUE!</v>
      </c>
      <c r="X1874" s="26" t="e">
        <f t="shared" si="428"/>
        <v>#VALUE!</v>
      </c>
      <c r="Y1874" s="26" t="e">
        <f t="shared" si="429"/>
        <v>#VALUE!</v>
      </c>
      <c r="Z1874" s="1" t="e">
        <f t="shared" si="430"/>
        <v>#VALUE!</v>
      </c>
      <c r="AA1874"/>
      <c r="AB1874"/>
    </row>
    <row r="1875" spans="1:28" x14ac:dyDescent="0.55000000000000004">
      <c r="A1875" s="1">
        <f t="shared" si="417"/>
        <v>1875</v>
      </c>
      <c r="B1875" t="s">
        <v>35</v>
      </c>
      <c r="C1875" t="s">
        <v>80</v>
      </c>
      <c r="D1875" t="s">
        <v>42</v>
      </c>
      <c r="E1875" t="s">
        <v>121</v>
      </c>
      <c r="F1875" t="s">
        <v>357</v>
      </c>
      <c r="G1875" t="s">
        <v>213</v>
      </c>
      <c r="I1875" t="s">
        <v>384</v>
      </c>
      <c r="K1875" t="s">
        <v>215</v>
      </c>
      <c r="M1875" t="s">
        <v>47</v>
      </c>
      <c r="N1875" s="1" t="e">
        <f t="shared" si="418"/>
        <v>#VALUE!</v>
      </c>
      <c r="O1875" s="1" t="e">
        <f t="shared" si="419"/>
        <v>#VALUE!</v>
      </c>
      <c r="P1875" s="1" t="e">
        <f t="shared" si="420"/>
        <v>#VALUE!</v>
      </c>
      <c r="Q1875" s="1" t="e">
        <f t="shared" si="421"/>
        <v>#VALUE!</v>
      </c>
      <c r="R1875" s="1" t="e">
        <f t="shared" si="422"/>
        <v>#VALUE!</v>
      </c>
      <c r="S1875" s="1" t="e">
        <f t="shared" si="423"/>
        <v>#VALUE!</v>
      </c>
      <c r="T1875" s="1" t="e">
        <f t="shared" si="424"/>
        <v>#VALUE!</v>
      </c>
      <c r="U1875" s="26" t="e">
        <f t="shared" si="425"/>
        <v>#VALUE!</v>
      </c>
      <c r="V1875" s="26" t="e">
        <f t="shared" si="426"/>
        <v>#VALUE!</v>
      </c>
      <c r="W1875" s="1" t="e">
        <f t="shared" si="427"/>
        <v>#VALUE!</v>
      </c>
      <c r="X1875" s="26" t="e">
        <f t="shared" si="428"/>
        <v>#VALUE!</v>
      </c>
      <c r="Y1875" s="26" t="e">
        <f t="shared" si="429"/>
        <v>#VALUE!</v>
      </c>
      <c r="Z1875" s="1" t="e">
        <f t="shared" si="430"/>
        <v>#VALUE!</v>
      </c>
      <c r="AA1875"/>
      <c r="AB1875"/>
    </row>
    <row r="1876" spans="1:28" x14ac:dyDescent="0.55000000000000004">
      <c r="A1876" s="1">
        <f t="shared" si="417"/>
        <v>1876</v>
      </c>
      <c r="B1876" t="s">
        <v>35</v>
      </c>
      <c r="C1876" t="s">
        <v>80</v>
      </c>
      <c r="D1876" t="s">
        <v>42</v>
      </c>
      <c r="E1876" t="s">
        <v>121</v>
      </c>
      <c r="F1876" t="s">
        <v>357</v>
      </c>
      <c r="G1876" t="s">
        <v>386</v>
      </c>
      <c r="I1876" t="s">
        <v>307</v>
      </c>
      <c r="K1876" t="s">
        <v>418</v>
      </c>
      <c r="M1876" t="s">
        <v>47</v>
      </c>
      <c r="N1876" s="1" t="e">
        <f t="shared" si="418"/>
        <v>#VALUE!</v>
      </c>
      <c r="O1876" s="1" t="e">
        <f t="shared" si="419"/>
        <v>#VALUE!</v>
      </c>
      <c r="P1876" s="1" t="e">
        <f t="shared" si="420"/>
        <v>#VALUE!</v>
      </c>
      <c r="Q1876" s="1" t="e">
        <f t="shared" si="421"/>
        <v>#VALUE!</v>
      </c>
      <c r="R1876" s="1" t="e">
        <f t="shared" si="422"/>
        <v>#VALUE!</v>
      </c>
      <c r="S1876" s="1" t="e">
        <f t="shared" si="423"/>
        <v>#VALUE!</v>
      </c>
      <c r="T1876" s="1" t="e">
        <f t="shared" si="424"/>
        <v>#VALUE!</v>
      </c>
      <c r="U1876" s="26" t="e">
        <f t="shared" si="425"/>
        <v>#VALUE!</v>
      </c>
      <c r="V1876" s="26" t="e">
        <f t="shared" si="426"/>
        <v>#VALUE!</v>
      </c>
      <c r="W1876" s="1" t="e">
        <f t="shared" si="427"/>
        <v>#VALUE!</v>
      </c>
      <c r="X1876" s="26" t="e">
        <f t="shared" si="428"/>
        <v>#VALUE!</v>
      </c>
      <c r="Y1876" s="26" t="e">
        <f t="shared" si="429"/>
        <v>#VALUE!</v>
      </c>
      <c r="Z1876" s="1" t="e">
        <f t="shared" si="430"/>
        <v>#VALUE!</v>
      </c>
      <c r="AA1876"/>
      <c r="AB1876"/>
    </row>
    <row r="1877" spans="1:28" x14ac:dyDescent="0.55000000000000004">
      <c r="A1877" s="1">
        <f t="shared" si="417"/>
        <v>1877</v>
      </c>
      <c r="B1877" t="s">
        <v>35</v>
      </c>
      <c r="C1877" t="s">
        <v>80</v>
      </c>
      <c r="D1877" t="s">
        <v>42</v>
      </c>
      <c r="E1877" t="s">
        <v>121</v>
      </c>
      <c r="F1877" t="s">
        <v>357</v>
      </c>
      <c r="G1877" t="s">
        <v>306</v>
      </c>
      <c r="I1877" t="s">
        <v>204</v>
      </c>
      <c r="K1877" t="s">
        <v>308</v>
      </c>
      <c r="M1877" t="s">
        <v>47</v>
      </c>
      <c r="N1877" s="1" t="e">
        <f t="shared" si="418"/>
        <v>#VALUE!</v>
      </c>
      <c r="O1877" s="1" t="e">
        <f t="shared" si="419"/>
        <v>#VALUE!</v>
      </c>
      <c r="P1877" s="1" t="e">
        <f t="shared" si="420"/>
        <v>#VALUE!</v>
      </c>
      <c r="Q1877" s="1" t="e">
        <f t="shared" si="421"/>
        <v>#VALUE!</v>
      </c>
      <c r="R1877" s="1" t="e">
        <f t="shared" si="422"/>
        <v>#VALUE!</v>
      </c>
      <c r="S1877" s="1" t="e">
        <f t="shared" si="423"/>
        <v>#VALUE!</v>
      </c>
      <c r="T1877" s="1" t="e">
        <f t="shared" si="424"/>
        <v>#VALUE!</v>
      </c>
      <c r="U1877" s="26" t="e">
        <f t="shared" si="425"/>
        <v>#VALUE!</v>
      </c>
      <c r="V1877" s="26" t="e">
        <f t="shared" si="426"/>
        <v>#VALUE!</v>
      </c>
      <c r="W1877" s="1" t="e">
        <f t="shared" si="427"/>
        <v>#VALUE!</v>
      </c>
      <c r="X1877" s="26" t="e">
        <f t="shared" si="428"/>
        <v>#VALUE!</v>
      </c>
      <c r="Y1877" s="26" t="e">
        <f t="shared" si="429"/>
        <v>#VALUE!</v>
      </c>
      <c r="Z1877" s="1" t="e">
        <f t="shared" si="430"/>
        <v>#VALUE!</v>
      </c>
      <c r="AA1877"/>
      <c r="AB1877"/>
    </row>
    <row r="1878" spans="1:28" x14ac:dyDescent="0.55000000000000004">
      <c r="A1878" s="1">
        <f t="shared" si="417"/>
        <v>1878</v>
      </c>
      <c r="B1878" t="s">
        <v>35</v>
      </c>
      <c r="C1878" t="s">
        <v>80</v>
      </c>
      <c r="D1878" t="s">
        <v>42</v>
      </c>
      <c r="E1878" t="s">
        <v>121</v>
      </c>
      <c r="F1878" t="s">
        <v>357</v>
      </c>
      <c r="G1878" t="s">
        <v>383</v>
      </c>
      <c r="I1878" t="s">
        <v>208</v>
      </c>
      <c r="K1878" t="s">
        <v>387</v>
      </c>
      <c r="M1878" t="s">
        <v>47</v>
      </c>
      <c r="N1878" s="1" t="e">
        <f t="shared" si="418"/>
        <v>#VALUE!</v>
      </c>
      <c r="O1878" s="1" t="e">
        <f t="shared" si="419"/>
        <v>#VALUE!</v>
      </c>
      <c r="P1878" s="1" t="e">
        <f t="shared" si="420"/>
        <v>#VALUE!</v>
      </c>
      <c r="Q1878" s="1" t="e">
        <f t="shared" si="421"/>
        <v>#VALUE!</v>
      </c>
      <c r="R1878" s="1" t="e">
        <f t="shared" si="422"/>
        <v>#VALUE!</v>
      </c>
      <c r="S1878" s="1" t="e">
        <f t="shared" si="423"/>
        <v>#VALUE!</v>
      </c>
      <c r="T1878" s="1" t="e">
        <f t="shared" si="424"/>
        <v>#VALUE!</v>
      </c>
      <c r="U1878" s="26" t="e">
        <f t="shared" si="425"/>
        <v>#VALUE!</v>
      </c>
      <c r="V1878" s="26" t="e">
        <f t="shared" si="426"/>
        <v>#VALUE!</v>
      </c>
      <c r="W1878" s="1" t="e">
        <f t="shared" si="427"/>
        <v>#VALUE!</v>
      </c>
      <c r="X1878" s="26" t="e">
        <f t="shared" si="428"/>
        <v>#VALUE!</v>
      </c>
      <c r="Y1878" s="26" t="e">
        <f t="shared" si="429"/>
        <v>#VALUE!</v>
      </c>
      <c r="Z1878" s="1" t="e">
        <f t="shared" si="430"/>
        <v>#VALUE!</v>
      </c>
      <c r="AA1878"/>
      <c r="AB1878"/>
    </row>
    <row r="1879" spans="1:28" x14ac:dyDescent="0.55000000000000004">
      <c r="A1879" s="1">
        <f t="shared" si="417"/>
        <v>1879</v>
      </c>
      <c r="B1879" t="s">
        <v>35</v>
      </c>
      <c r="C1879" t="s">
        <v>80</v>
      </c>
      <c r="D1879" t="s">
        <v>42</v>
      </c>
      <c r="E1879" t="s">
        <v>121</v>
      </c>
      <c r="F1879" t="s">
        <v>357</v>
      </c>
      <c r="G1879" t="s">
        <v>205</v>
      </c>
      <c r="I1879" t="s">
        <v>303</v>
      </c>
      <c r="K1879" t="s">
        <v>417</v>
      </c>
      <c r="M1879" t="s">
        <v>47</v>
      </c>
      <c r="N1879" s="1" t="e">
        <f t="shared" si="418"/>
        <v>#VALUE!</v>
      </c>
      <c r="O1879" s="1" t="e">
        <f t="shared" si="419"/>
        <v>#VALUE!</v>
      </c>
      <c r="P1879" s="1" t="e">
        <f t="shared" si="420"/>
        <v>#VALUE!</v>
      </c>
      <c r="Q1879" s="1" t="e">
        <f t="shared" si="421"/>
        <v>#VALUE!</v>
      </c>
      <c r="R1879" s="1" t="e">
        <f t="shared" si="422"/>
        <v>#VALUE!</v>
      </c>
      <c r="S1879" s="1" t="e">
        <f t="shared" si="423"/>
        <v>#VALUE!</v>
      </c>
      <c r="T1879" s="1" t="e">
        <f t="shared" si="424"/>
        <v>#VALUE!</v>
      </c>
      <c r="U1879" s="26" t="e">
        <f t="shared" si="425"/>
        <v>#VALUE!</v>
      </c>
      <c r="V1879" s="26" t="e">
        <f t="shared" si="426"/>
        <v>#VALUE!</v>
      </c>
      <c r="W1879" s="1" t="e">
        <f t="shared" si="427"/>
        <v>#VALUE!</v>
      </c>
      <c r="X1879" s="26" t="e">
        <f t="shared" si="428"/>
        <v>#VALUE!</v>
      </c>
      <c r="Y1879" s="26" t="e">
        <f t="shared" si="429"/>
        <v>#VALUE!</v>
      </c>
      <c r="Z1879" s="1" t="e">
        <f t="shared" si="430"/>
        <v>#VALUE!</v>
      </c>
      <c r="AA1879"/>
      <c r="AB1879"/>
    </row>
    <row r="1880" spans="1:28" x14ac:dyDescent="0.55000000000000004">
      <c r="A1880" s="1">
        <f t="shared" si="417"/>
        <v>1880</v>
      </c>
      <c r="B1880" t="s">
        <v>35</v>
      </c>
      <c r="C1880" t="s">
        <v>80</v>
      </c>
      <c r="D1880" t="s">
        <v>42</v>
      </c>
      <c r="E1880" t="s">
        <v>121</v>
      </c>
      <c r="F1880" t="s">
        <v>357</v>
      </c>
      <c r="G1880" t="s">
        <v>377</v>
      </c>
      <c r="I1880" t="s">
        <v>207</v>
      </c>
      <c r="K1880" t="s">
        <v>378</v>
      </c>
      <c r="M1880" t="s">
        <v>47</v>
      </c>
      <c r="N1880" s="1" t="e">
        <f t="shared" si="418"/>
        <v>#VALUE!</v>
      </c>
      <c r="O1880" s="1" t="e">
        <f t="shared" si="419"/>
        <v>#VALUE!</v>
      </c>
      <c r="P1880" s="1" t="e">
        <f t="shared" si="420"/>
        <v>#VALUE!</v>
      </c>
      <c r="Q1880" s="1" t="e">
        <f t="shared" si="421"/>
        <v>#VALUE!</v>
      </c>
      <c r="R1880" s="1" t="e">
        <f t="shared" si="422"/>
        <v>#VALUE!</v>
      </c>
      <c r="S1880" s="1" t="e">
        <f t="shared" si="423"/>
        <v>#VALUE!</v>
      </c>
      <c r="T1880" s="1" t="e">
        <f t="shared" si="424"/>
        <v>#VALUE!</v>
      </c>
      <c r="U1880" s="26" t="e">
        <f t="shared" si="425"/>
        <v>#VALUE!</v>
      </c>
      <c r="V1880" s="26" t="e">
        <f t="shared" si="426"/>
        <v>#VALUE!</v>
      </c>
      <c r="W1880" s="1" t="e">
        <f t="shared" si="427"/>
        <v>#VALUE!</v>
      </c>
      <c r="X1880" s="26" t="e">
        <f t="shared" si="428"/>
        <v>#VALUE!</v>
      </c>
      <c r="Y1880" s="26" t="e">
        <f t="shared" si="429"/>
        <v>#VALUE!</v>
      </c>
      <c r="Z1880" s="1" t="e">
        <f t="shared" si="430"/>
        <v>#VALUE!</v>
      </c>
      <c r="AA1880"/>
      <c r="AB1880"/>
    </row>
    <row r="1881" spans="1:28" x14ac:dyDescent="0.55000000000000004">
      <c r="A1881" s="1">
        <f t="shared" si="417"/>
        <v>1881</v>
      </c>
      <c r="B1881" t="s">
        <v>31</v>
      </c>
      <c r="C1881" t="s">
        <v>119</v>
      </c>
      <c r="D1881" t="s">
        <v>133</v>
      </c>
      <c r="E1881" t="s">
        <v>167</v>
      </c>
      <c r="G1881" t="s">
        <v>142</v>
      </c>
      <c r="I1881" t="s">
        <v>150</v>
      </c>
      <c r="K1881" t="s">
        <v>160</v>
      </c>
      <c r="M1881" t="s">
        <v>47</v>
      </c>
      <c r="N1881" s="1" t="e">
        <f t="shared" si="418"/>
        <v>#VALUE!</v>
      </c>
      <c r="O1881" s="1" t="e">
        <f t="shared" si="419"/>
        <v>#VALUE!</v>
      </c>
      <c r="P1881" s="1" t="e">
        <f t="shared" si="420"/>
        <v>#VALUE!</v>
      </c>
      <c r="Q1881" s="1" t="e">
        <f t="shared" si="421"/>
        <v>#VALUE!</v>
      </c>
      <c r="R1881" s="1" t="e">
        <f t="shared" si="422"/>
        <v>#VALUE!</v>
      </c>
      <c r="S1881" s="1" t="e">
        <f t="shared" si="423"/>
        <v>#VALUE!</v>
      </c>
      <c r="T1881" s="1" t="e">
        <f t="shared" si="424"/>
        <v>#VALUE!</v>
      </c>
      <c r="U1881" s="26" t="e">
        <f t="shared" si="425"/>
        <v>#VALUE!</v>
      </c>
      <c r="V1881" s="26" t="e">
        <f t="shared" si="426"/>
        <v>#VALUE!</v>
      </c>
      <c r="W1881" s="1" t="e">
        <f t="shared" si="427"/>
        <v>#VALUE!</v>
      </c>
      <c r="X1881" s="26" t="e">
        <f t="shared" si="428"/>
        <v>#VALUE!</v>
      </c>
      <c r="Y1881" s="26" t="e">
        <f t="shared" si="429"/>
        <v>#VALUE!</v>
      </c>
      <c r="Z1881" s="1" t="e">
        <f t="shared" si="430"/>
        <v>#VALUE!</v>
      </c>
      <c r="AA1881"/>
      <c r="AB1881"/>
    </row>
    <row r="1882" spans="1:28" x14ac:dyDescent="0.55000000000000004">
      <c r="A1882" s="1">
        <f t="shared" si="417"/>
        <v>1882</v>
      </c>
      <c r="B1882" t="s">
        <v>31</v>
      </c>
      <c r="C1882" t="s">
        <v>119</v>
      </c>
      <c r="D1882" t="s">
        <v>133</v>
      </c>
      <c r="E1882" t="s">
        <v>167</v>
      </c>
      <c r="G1882" t="s">
        <v>139</v>
      </c>
      <c r="I1882" t="s">
        <v>141</v>
      </c>
      <c r="K1882" t="s">
        <v>143</v>
      </c>
      <c r="M1882" t="s">
        <v>47</v>
      </c>
      <c r="N1882" s="1" t="e">
        <f t="shared" si="418"/>
        <v>#VALUE!</v>
      </c>
      <c r="O1882" s="1" t="e">
        <f t="shared" si="419"/>
        <v>#VALUE!</v>
      </c>
      <c r="P1882" s="1" t="e">
        <f t="shared" si="420"/>
        <v>#VALUE!</v>
      </c>
      <c r="Q1882" s="1" t="e">
        <f t="shared" si="421"/>
        <v>#VALUE!</v>
      </c>
      <c r="R1882" s="1" t="e">
        <f t="shared" si="422"/>
        <v>#VALUE!</v>
      </c>
      <c r="S1882" s="1" t="e">
        <f t="shared" si="423"/>
        <v>#VALUE!</v>
      </c>
      <c r="T1882" s="1" t="e">
        <f t="shared" si="424"/>
        <v>#VALUE!</v>
      </c>
      <c r="U1882" s="26" t="e">
        <f t="shared" si="425"/>
        <v>#VALUE!</v>
      </c>
      <c r="V1882" s="26" t="e">
        <f t="shared" si="426"/>
        <v>#VALUE!</v>
      </c>
      <c r="W1882" s="1" t="e">
        <f t="shared" si="427"/>
        <v>#VALUE!</v>
      </c>
      <c r="X1882" s="26" t="e">
        <f t="shared" si="428"/>
        <v>#VALUE!</v>
      </c>
      <c r="Y1882" s="26" t="e">
        <f t="shared" si="429"/>
        <v>#VALUE!</v>
      </c>
      <c r="Z1882" s="1" t="e">
        <f t="shared" si="430"/>
        <v>#VALUE!</v>
      </c>
      <c r="AA1882"/>
      <c r="AB1882"/>
    </row>
    <row r="1883" spans="1:28" x14ac:dyDescent="0.55000000000000004">
      <c r="A1883" s="1">
        <f t="shared" si="417"/>
        <v>1883</v>
      </c>
      <c r="B1883" t="s">
        <v>31</v>
      </c>
      <c r="C1883" t="s">
        <v>119</v>
      </c>
      <c r="D1883" t="s">
        <v>133</v>
      </c>
      <c r="E1883" t="s">
        <v>167</v>
      </c>
      <c r="G1883" t="s">
        <v>151</v>
      </c>
      <c r="I1883" t="s">
        <v>136</v>
      </c>
      <c r="K1883" t="s">
        <v>156</v>
      </c>
      <c r="M1883" t="s">
        <v>47</v>
      </c>
      <c r="N1883" s="1" t="e">
        <f t="shared" si="418"/>
        <v>#VALUE!</v>
      </c>
      <c r="O1883" s="1" t="e">
        <f t="shared" si="419"/>
        <v>#VALUE!</v>
      </c>
      <c r="P1883" s="1" t="e">
        <f t="shared" si="420"/>
        <v>#VALUE!</v>
      </c>
      <c r="Q1883" s="1" t="e">
        <f t="shared" si="421"/>
        <v>#VALUE!</v>
      </c>
      <c r="R1883" s="1" t="e">
        <f t="shared" si="422"/>
        <v>#VALUE!</v>
      </c>
      <c r="S1883" s="1" t="e">
        <f t="shared" si="423"/>
        <v>#VALUE!</v>
      </c>
      <c r="T1883" s="1" t="e">
        <f t="shared" si="424"/>
        <v>#VALUE!</v>
      </c>
      <c r="U1883" s="26" t="e">
        <f t="shared" si="425"/>
        <v>#VALUE!</v>
      </c>
      <c r="V1883" s="26" t="e">
        <f t="shared" si="426"/>
        <v>#VALUE!</v>
      </c>
      <c r="W1883" s="1" t="e">
        <f t="shared" si="427"/>
        <v>#VALUE!</v>
      </c>
      <c r="X1883" s="26" t="e">
        <f t="shared" si="428"/>
        <v>#VALUE!</v>
      </c>
      <c r="Y1883" s="26" t="e">
        <f t="shared" si="429"/>
        <v>#VALUE!</v>
      </c>
      <c r="Z1883" s="1" t="e">
        <f t="shared" si="430"/>
        <v>#VALUE!</v>
      </c>
      <c r="AA1883"/>
      <c r="AB1883"/>
    </row>
    <row r="1884" spans="1:28" x14ac:dyDescent="0.55000000000000004">
      <c r="A1884" s="1">
        <f t="shared" si="417"/>
        <v>1884</v>
      </c>
      <c r="B1884" t="s">
        <v>31</v>
      </c>
      <c r="C1884" t="s">
        <v>119</v>
      </c>
      <c r="D1884" t="s">
        <v>133</v>
      </c>
      <c r="E1884" t="s">
        <v>167</v>
      </c>
      <c r="G1884" t="s">
        <v>148</v>
      </c>
      <c r="I1884" t="s">
        <v>144</v>
      </c>
      <c r="K1884" t="s">
        <v>157</v>
      </c>
      <c r="M1884" t="s">
        <v>47</v>
      </c>
      <c r="N1884" s="1" t="e">
        <f t="shared" si="418"/>
        <v>#VALUE!</v>
      </c>
      <c r="O1884" s="1" t="e">
        <f t="shared" si="419"/>
        <v>#VALUE!</v>
      </c>
      <c r="P1884" s="1" t="e">
        <f t="shared" si="420"/>
        <v>#VALUE!</v>
      </c>
      <c r="Q1884" s="1" t="e">
        <f t="shared" si="421"/>
        <v>#VALUE!</v>
      </c>
      <c r="R1884" s="1" t="e">
        <f t="shared" si="422"/>
        <v>#VALUE!</v>
      </c>
      <c r="S1884" s="1" t="e">
        <f t="shared" si="423"/>
        <v>#VALUE!</v>
      </c>
      <c r="T1884" s="1" t="e">
        <f t="shared" si="424"/>
        <v>#VALUE!</v>
      </c>
      <c r="U1884" s="26" t="e">
        <f t="shared" si="425"/>
        <v>#VALUE!</v>
      </c>
      <c r="V1884" s="26" t="e">
        <f t="shared" si="426"/>
        <v>#VALUE!</v>
      </c>
      <c r="W1884" s="1" t="e">
        <f t="shared" si="427"/>
        <v>#VALUE!</v>
      </c>
      <c r="X1884" s="26" t="e">
        <f t="shared" si="428"/>
        <v>#VALUE!</v>
      </c>
      <c r="Y1884" s="26" t="e">
        <f t="shared" si="429"/>
        <v>#VALUE!</v>
      </c>
      <c r="Z1884" s="1" t="e">
        <f t="shared" si="430"/>
        <v>#VALUE!</v>
      </c>
      <c r="AA1884"/>
      <c r="AB1884"/>
    </row>
    <row r="1885" spans="1:28" x14ac:dyDescent="0.55000000000000004">
      <c r="A1885" s="1">
        <f t="shared" si="417"/>
        <v>1885</v>
      </c>
      <c r="B1885" t="s">
        <v>31</v>
      </c>
      <c r="C1885" t="s">
        <v>119</v>
      </c>
      <c r="D1885" t="s">
        <v>133</v>
      </c>
      <c r="E1885" t="s">
        <v>167</v>
      </c>
      <c r="G1885" t="s">
        <v>135</v>
      </c>
      <c r="I1885" t="s">
        <v>138</v>
      </c>
      <c r="K1885" t="s">
        <v>137</v>
      </c>
      <c r="M1885" t="s">
        <v>47</v>
      </c>
      <c r="N1885" s="1" t="e">
        <f t="shared" si="418"/>
        <v>#VALUE!</v>
      </c>
      <c r="O1885" s="1" t="e">
        <f t="shared" si="419"/>
        <v>#VALUE!</v>
      </c>
      <c r="P1885" s="1" t="e">
        <f t="shared" si="420"/>
        <v>#VALUE!</v>
      </c>
      <c r="Q1885" s="1" t="e">
        <f t="shared" si="421"/>
        <v>#VALUE!</v>
      </c>
      <c r="R1885" s="1" t="e">
        <f t="shared" si="422"/>
        <v>#VALUE!</v>
      </c>
      <c r="S1885" s="1" t="e">
        <f t="shared" si="423"/>
        <v>#VALUE!</v>
      </c>
      <c r="T1885" s="1" t="e">
        <f t="shared" si="424"/>
        <v>#VALUE!</v>
      </c>
      <c r="U1885" s="26" t="e">
        <f t="shared" si="425"/>
        <v>#VALUE!</v>
      </c>
      <c r="V1885" s="26" t="e">
        <f t="shared" si="426"/>
        <v>#VALUE!</v>
      </c>
      <c r="W1885" s="1" t="e">
        <f t="shared" si="427"/>
        <v>#VALUE!</v>
      </c>
      <c r="X1885" s="26" t="e">
        <f t="shared" si="428"/>
        <v>#VALUE!</v>
      </c>
      <c r="Y1885" s="26" t="e">
        <f t="shared" si="429"/>
        <v>#VALUE!</v>
      </c>
      <c r="Z1885" s="1" t="e">
        <f t="shared" si="430"/>
        <v>#VALUE!</v>
      </c>
      <c r="AA1885"/>
      <c r="AB1885"/>
    </row>
    <row r="1886" spans="1:28" x14ac:dyDescent="0.55000000000000004">
      <c r="A1886" s="1">
        <f t="shared" si="417"/>
        <v>1886</v>
      </c>
      <c r="B1886" t="s">
        <v>31</v>
      </c>
      <c r="C1886" t="s">
        <v>119</v>
      </c>
      <c r="D1886" t="s">
        <v>133</v>
      </c>
      <c r="E1886" t="s">
        <v>167</v>
      </c>
      <c r="G1886" t="s">
        <v>145</v>
      </c>
      <c r="I1886" t="s">
        <v>147</v>
      </c>
      <c r="K1886" t="s">
        <v>155</v>
      </c>
      <c r="M1886" t="s">
        <v>47</v>
      </c>
      <c r="N1886" s="1" t="e">
        <f t="shared" si="418"/>
        <v>#VALUE!</v>
      </c>
      <c r="O1886" s="1" t="e">
        <f t="shared" si="419"/>
        <v>#VALUE!</v>
      </c>
      <c r="P1886" s="1" t="e">
        <f t="shared" si="420"/>
        <v>#VALUE!</v>
      </c>
      <c r="Q1886" s="1" t="e">
        <f t="shared" si="421"/>
        <v>#VALUE!</v>
      </c>
      <c r="R1886" s="1" t="e">
        <f t="shared" si="422"/>
        <v>#VALUE!</v>
      </c>
      <c r="S1886" s="1" t="e">
        <f t="shared" si="423"/>
        <v>#VALUE!</v>
      </c>
      <c r="T1886" s="1" t="e">
        <f t="shared" si="424"/>
        <v>#VALUE!</v>
      </c>
      <c r="U1886" s="26" t="e">
        <f t="shared" si="425"/>
        <v>#VALUE!</v>
      </c>
      <c r="V1886" s="26" t="e">
        <f t="shared" si="426"/>
        <v>#VALUE!</v>
      </c>
      <c r="W1886" s="1" t="e">
        <f t="shared" si="427"/>
        <v>#VALUE!</v>
      </c>
      <c r="X1886" s="26" t="e">
        <f t="shared" si="428"/>
        <v>#VALUE!</v>
      </c>
      <c r="Y1886" s="26" t="e">
        <f t="shared" si="429"/>
        <v>#VALUE!</v>
      </c>
      <c r="Z1886" s="1" t="e">
        <f t="shared" si="430"/>
        <v>#VALUE!</v>
      </c>
      <c r="AA1886"/>
      <c r="AB1886"/>
    </row>
    <row r="1887" spans="1:28" x14ac:dyDescent="0.55000000000000004">
      <c r="A1887" s="1">
        <f t="shared" si="417"/>
        <v>1887</v>
      </c>
      <c r="B1887" t="s">
        <v>35</v>
      </c>
      <c r="C1887" t="s">
        <v>82</v>
      </c>
      <c r="D1887" t="s">
        <v>42</v>
      </c>
      <c r="E1887" t="s">
        <v>419</v>
      </c>
      <c r="F1887" t="s">
        <v>357</v>
      </c>
      <c r="G1887" t="s">
        <v>207</v>
      </c>
      <c r="I1887" t="s">
        <v>386</v>
      </c>
      <c r="K1887" t="s">
        <v>209</v>
      </c>
      <c r="M1887" t="s">
        <v>47</v>
      </c>
      <c r="N1887" s="1" t="e">
        <f t="shared" si="418"/>
        <v>#VALUE!</v>
      </c>
      <c r="O1887" s="1" t="e">
        <f t="shared" si="419"/>
        <v>#VALUE!</v>
      </c>
      <c r="P1887" s="1" t="e">
        <f t="shared" si="420"/>
        <v>#VALUE!</v>
      </c>
      <c r="Q1887" s="1" t="e">
        <f t="shared" si="421"/>
        <v>#VALUE!</v>
      </c>
      <c r="R1887" s="1" t="e">
        <f t="shared" si="422"/>
        <v>#VALUE!</v>
      </c>
      <c r="S1887" s="1" t="e">
        <f t="shared" si="423"/>
        <v>#VALUE!</v>
      </c>
      <c r="T1887" s="1" t="e">
        <f t="shared" si="424"/>
        <v>#VALUE!</v>
      </c>
      <c r="U1887" s="26" t="e">
        <f t="shared" si="425"/>
        <v>#VALUE!</v>
      </c>
      <c r="V1887" s="26" t="e">
        <f t="shared" si="426"/>
        <v>#VALUE!</v>
      </c>
      <c r="W1887" s="1" t="e">
        <f t="shared" si="427"/>
        <v>#VALUE!</v>
      </c>
      <c r="X1887" s="26" t="e">
        <f t="shared" si="428"/>
        <v>#VALUE!</v>
      </c>
      <c r="Y1887" s="26" t="e">
        <f t="shared" si="429"/>
        <v>#VALUE!</v>
      </c>
      <c r="Z1887" s="1" t="e">
        <f t="shared" si="430"/>
        <v>#VALUE!</v>
      </c>
      <c r="AA1887"/>
      <c r="AB1887"/>
    </row>
    <row r="1888" spans="1:28" x14ac:dyDescent="0.55000000000000004">
      <c r="A1888" s="1">
        <f t="shared" si="417"/>
        <v>1888</v>
      </c>
      <c r="B1888" t="s">
        <v>35</v>
      </c>
      <c r="C1888" t="s">
        <v>82</v>
      </c>
      <c r="D1888" t="s">
        <v>42</v>
      </c>
      <c r="E1888" t="s">
        <v>419</v>
      </c>
      <c r="F1888" t="s">
        <v>357</v>
      </c>
      <c r="G1888" t="s">
        <v>211</v>
      </c>
      <c r="I1888" t="s">
        <v>383</v>
      </c>
      <c r="K1888" t="s">
        <v>309</v>
      </c>
      <c r="M1888" t="s">
        <v>47</v>
      </c>
      <c r="N1888" s="1" t="e">
        <f t="shared" si="418"/>
        <v>#VALUE!</v>
      </c>
      <c r="O1888" s="1" t="e">
        <f t="shared" si="419"/>
        <v>#VALUE!</v>
      </c>
      <c r="P1888" s="1" t="e">
        <f t="shared" si="420"/>
        <v>#VALUE!</v>
      </c>
      <c r="Q1888" s="1" t="e">
        <f t="shared" si="421"/>
        <v>#VALUE!</v>
      </c>
      <c r="R1888" s="1" t="e">
        <f t="shared" si="422"/>
        <v>#VALUE!</v>
      </c>
      <c r="S1888" s="1" t="e">
        <f t="shared" si="423"/>
        <v>#VALUE!</v>
      </c>
      <c r="T1888" s="1" t="e">
        <f t="shared" si="424"/>
        <v>#VALUE!</v>
      </c>
      <c r="U1888" s="26" t="e">
        <f t="shared" si="425"/>
        <v>#VALUE!</v>
      </c>
      <c r="V1888" s="26" t="e">
        <f t="shared" si="426"/>
        <v>#VALUE!</v>
      </c>
      <c r="W1888" s="1" t="e">
        <f t="shared" si="427"/>
        <v>#VALUE!</v>
      </c>
      <c r="X1888" s="26" t="e">
        <f t="shared" si="428"/>
        <v>#VALUE!</v>
      </c>
      <c r="Y1888" s="26" t="e">
        <f t="shared" si="429"/>
        <v>#VALUE!</v>
      </c>
      <c r="Z1888" s="1" t="e">
        <f t="shared" si="430"/>
        <v>#VALUE!</v>
      </c>
      <c r="AA1888"/>
      <c r="AB1888"/>
    </row>
    <row r="1889" spans="1:28" x14ac:dyDescent="0.55000000000000004">
      <c r="A1889" s="1">
        <f t="shared" si="417"/>
        <v>1889</v>
      </c>
      <c r="B1889" t="s">
        <v>35</v>
      </c>
      <c r="C1889" t="s">
        <v>82</v>
      </c>
      <c r="D1889" t="s">
        <v>42</v>
      </c>
      <c r="E1889" t="s">
        <v>419</v>
      </c>
      <c r="F1889" t="s">
        <v>357</v>
      </c>
      <c r="G1889" t="s">
        <v>307</v>
      </c>
      <c r="I1889" t="s">
        <v>377</v>
      </c>
      <c r="K1889" t="s">
        <v>379</v>
      </c>
      <c r="M1889" t="s">
        <v>47</v>
      </c>
      <c r="N1889" s="1" t="e">
        <f t="shared" si="418"/>
        <v>#VALUE!</v>
      </c>
      <c r="O1889" s="1" t="e">
        <f t="shared" si="419"/>
        <v>#VALUE!</v>
      </c>
      <c r="P1889" s="1" t="e">
        <f t="shared" si="420"/>
        <v>#VALUE!</v>
      </c>
      <c r="Q1889" s="1" t="e">
        <f t="shared" si="421"/>
        <v>#VALUE!</v>
      </c>
      <c r="R1889" s="1" t="e">
        <f t="shared" si="422"/>
        <v>#VALUE!</v>
      </c>
      <c r="S1889" s="1" t="e">
        <f t="shared" si="423"/>
        <v>#VALUE!</v>
      </c>
      <c r="T1889" s="1" t="e">
        <f t="shared" si="424"/>
        <v>#VALUE!</v>
      </c>
      <c r="U1889" s="26" t="e">
        <f t="shared" si="425"/>
        <v>#VALUE!</v>
      </c>
      <c r="V1889" s="26" t="e">
        <f t="shared" si="426"/>
        <v>#VALUE!</v>
      </c>
      <c r="W1889" s="1" t="e">
        <f t="shared" si="427"/>
        <v>#VALUE!</v>
      </c>
      <c r="X1889" s="26" t="e">
        <f t="shared" si="428"/>
        <v>#VALUE!</v>
      </c>
      <c r="Y1889" s="26" t="e">
        <f t="shared" si="429"/>
        <v>#VALUE!</v>
      </c>
      <c r="Z1889" s="1" t="e">
        <f t="shared" si="430"/>
        <v>#VALUE!</v>
      </c>
      <c r="AA1889"/>
      <c r="AB1889"/>
    </row>
    <row r="1890" spans="1:28" x14ac:dyDescent="0.55000000000000004">
      <c r="A1890" s="1">
        <f t="shared" si="417"/>
        <v>1890</v>
      </c>
      <c r="B1890" t="s">
        <v>35</v>
      </c>
      <c r="C1890" t="s">
        <v>82</v>
      </c>
      <c r="D1890" t="s">
        <v>42</v>
      </c>
      <c r="E1890" t="s">
        <v>419</v>
      </c>
      <c r="F1890" t="s">
        <v>357</v>
      </c>
      <c r="G1890" t="s">
        <v>384</v>
      </c>
      <c r="I1890" t="s">
        <v>306</v>
      </c>
      <c r="K1890" t="s">
        <v>385</v>
      </c>
      <c r="M1890" t="s">
        <v>47</v>
      </c>
      <c r="N1890" s="1" t="e">
        <f t="shared" si="418"/>
        <v>#VALUE!</v>
      </c>
      <c r="O1890" s="1" t="e">
        <f t="shared" si="419"/>
        <v>#VALUE!</v>
      </c>
      <c r="P1890" s="1" t="e">
        <f t="shared" si="420"/>
        <v>#VALUE!</v>
      </c>
      <c r="Q1890" s="1" t="e">
        <f t="shared" si="421"/>
        <v>#VALUE!</v>
      </c>
      <c r="R1890" s="1" t="e">
        <f t="shared" si="422"/>
        <v>#VALUE!</v>
      </c>
      <c r="S1890" s="1" t="e">
        <f t="shared" si="423"/>
        <v>#VALUE!</v>
      </c>
      <c r="T1890" s="1" t="e">
        <f t="shared" si="424"/>
        <v>#VALUE!</v>
      </c>
      <c r="U1890" s="26" t="e">
        <f t="shared" si="425"/>
        <v>#VALUE!</v>
      </c>
      <c r="V1890" s="26" t="e">
        <f t="shared" si="426"/>
        <v>#VALUE!</v>
      </c>
      <c r="W1890" s="1" t="e">
        <f t="shared" si="427"/>
        <v>#VALUE!</v>
      </c>
      <c r="X1890" s="26" t="e">
        <f t="shared" si="428"/>
        <v>#VALUE!</v>
      </c>
      <c r="Y1890" s="26" t="e">
        <f t="shared" si="429"/>
        <v>#VALUE!</v>
      </c>
      <c r="Z1890" s="1" t="e">
        <f t="shared" si="430"/>
        <v>#VALUE!</v>
      </c>
      <c r="AA1890"/>
      <c r="AB1890"/>
    </row>
    <row r="1891" spans="1:28" x14ac:dyDescent="0.55000000000000004">
      <c r="A1891" s="1">
        <f t="shared" si="417"/>
        <v>1891</v>
      </c>
      <c r="B1891" t="s">
        <v>35</v>
      </c>
      <c r="C1891" t="s">
        <v>82</v>
      </c>
      <c r="D1891" t="s">
        <v>42</v>
      </c>
      <c r="E1891" t="s">
        <v>419</v>
      </c>
      <c r="F1891" t="s">
        <v>357</v>
      </c>
      <c r="G1891" t="s">
        <v>204</v>
      </c>
      <c r="I1891" t="s">
        <v>213</v>
      </c>
      <c r="K1891" t="s">
        <v>206</v>
      </c>
      <c r="M1891" t="s">
        <v>47</v>
      </c>
      <c r="N1891" s="1" t="e">
        <f t="shared" si="418"/>
        <v>#VALUE!</v>
      </c>
      <c r="O1891" s="1" t="e">
        <f t="shared" si="419"/>
        <v>#VALUE!</v>
      </c>
      <c r="P1891" s="1" t="e">
        <f t="shared" si="420"/>
        <v>#VALUE!</v>
      </c>
      <c r="Q1891" s="1" t="e">
        <f t="shared" si="421"/>
        <v>#VALUE!</v>
      </c>
      <c r="R1891" s="1" t="e">
        <f t="shared" si="422"/>
        <v>#VALUE!</v>
      </c>
      <c r="S1891" s="1" t="e">
        <f t="shared" si="423"/>
        <v>#VALUE!</v>
      </c>
      <c r="T1891" s="1" t="e">
        <f t="shared" si="424"/>
        <v>#VALUE!</v>
      </c>
      <c r="U1891" s="26" t="e">
        <f t="shared" si="425"/>
        <v>#VALUE!</v>
      </c>
      <c r="V1891" s="26" t="e">
        <f t="shared" si="426"/>
        <v>#VALUE!</v>
      </c>
      <c r="W1891" s="1" t="e">
        <f t="shared" si="427"/>
        <v>#VALUE!</v>
      </c>
      <c r="X1891" s="26" t="e">
        <f t="shared" si="428"/>
        <v>#VALUE!</v>
      </c>
      <c r="Y1891" s="26" t="e">
        <f t="shared" si="429"/>
        <v>#VALUE!</v>
      </c>
      <c r="Z1891" s="1" t="e">
        <f t="shared" si="430"/>
        <v>#VALUE!</v>
      </c>
      <c r="AA1891"/>
      <c r="AB1891"/>
    </row>
    <row r="1892" spans="1:28" x14ac:dyDescent="0.55000000000000004">
      <c r="A1892" s="1">
        <f t="shared" si="417"/>
        <v>1892</v>
      </c>
      <c r="B1892" t="s">
        <v>35</v>
      </c>
      <c r="C1892" t="s">
        <v>82</v>
      </c>
      <c r="D1892" t="s">
        <v>42</v>
      </c>
      <c r="E1892" t="s">
        <v>419</v>
      </c>
      <c r="F1892" t="s">
        <v>357</v>
      </c>
      <c r="G1892" t="s">
        <v>303</v>
      </c>
      <c r="I1892" t="s">
        <v>214</v>
      </c>
      <c r="K1892" t="s">
        <v>305</v>
      </c>
      <c r="M1892" t="s">
        <v>47</v>
      </c>
      <c r="N1892" s="1" t="e">
        <f t="shared" si="418"/>
        <v>#VALUE!</v>
      </c>
      <c r="O1892" s="1" t="e">
        <f t="shared" si="419"/>
        <v>#VALUE!</v>
      </c>
      <c r="P1892" s="1" t="e">
        <f t="shared" si="420"/>
        <v>#VALUE!</v>
      </c>
      <c r="Q1892" s="1" t="e">
        <f t="shared" si="421"/>
        <v>#VALUE!</v>
      </c>
      <c r="R1892" s="1" t="e">
        <f t="shared" si="422"/>
        <v>#VALUE!</v>
      </c>
      <c r="S1892" s="1" t="e">
        <f t="shared" si="423"/>
        <v>#VALUE!</v>
      </c>
      <c r="T1892" s="1" t="e">
        <f t="shared" si="424"/>
        <v>#VALUE!</v>
      </c>
      <c r="U1892" s="26" t="e">
        <f t="shared" si="425"/>
        <v>#VALUE!</v>
      </c>
      <c r="V1892" s="26" t="e">
        <f t="shared" si="426"/>
        <v>#VALUE!</v>
      </c>
      <c r="W1892" s="1" t="e">
        <f t="shared" si="427"/>
        <v>#VALUE!</v>
      </c>
      <c r="X1892" s="26" t="e">
        <f t="shared" si="428"/>
        <v>#VALUE!</v>
      </c>
      <c r="Y1892" s="26" t="e">
        <f t="shared" si="429"/>
        <v>#VALUE!</v>
      </c>
      <c r="Z1892" s="1" t="e">
        <f t="shared" si="430"/>
        <v>#VALUE!</v>
      </c>
      <c r="AA1892"/>
      <c r="AB1892"/>
    </row>
    <row r="1893" spans="1:28" x14ac:dyDescent="0.55000000000000004">
      <c r="A1893" s="1">
        <f t="shared" si="417"/>
        <v>1893</v>
      </c>
      <c r="B1893" t="s">
        <v>35</v>
      </c>
      <c r="C1893" t="s">
        <v>82</v>
      </c>
      <c r="D1893" t="s">
        <v>42</v>
      </c>
      <c r="E1893" t="s">
        <v>419</v>
      </c>
      <c r="F1893" t="s">
        <v>357</v>
      </c>
      <c r="G1893" t="s">
        <v>208</v>
      </c>
      <c r="I1893" t="s">
        <v>205</v>
      </c>
      <c r="K1893" t="s">
        <v>381</v>
      </c>
      <c r="M1893" t="s">
        <v>47</v>
      </c>
      <c r="N1893" s="1" t="e">
        <f t="shared" si="418"/>
        <v>#VALUE!</v>
      </c>
      <c r="O1893" s="1" t="e">
        <f t="shared" si="419"/>
        <v>#VALUE!</v>
      </c>
      <c r="P1893" s="1" t="e">
        <f t="shared" si="420"/>
        <v>#VALUE!</v>
      </c>
      <c r="Q1893" s="1" t="e">
        <f t="shared" si="421"/>
        <v>#VALUE!</v>
      </c>
      <c r="R1893" s="1" t="e">
        <f t="shared" si="422"/>
        <v>#VALUE!</v>
      </c>
      <c r="S1893" s="1" t="e">
        <f t="shared" si="423"/>
        <v>#VALUE!</v>
      </c>
      <c r="T1893" s="1" t="e">
        <f t="shared" si="424"/>
        <v>#VALUE!</v>
      </c>
      <c r="U1893" s="26" t="e">
        <f t="shared" si="425"/>
        <v>#VALUE!</v>
      </c>
      <c r="V1893" s="26" t="e">
        <f t="shared" si="426"/>
        <v>#VALUE!</v>
      </c>
      <c r="W1893" s="1" t="e">
        <f t="shared" si="427"/>
        <v>#VALUE!</v>
      </c>
      <c r="X1893" s="26" t="e">
        <f t="shared" si="428"/>
        <v>#VALUE!</v>
      </c>
      <c r="Y1893" s="26" t="e">
        <f t="shared" si="429"/>
        <v>#VALUE!</v>
      </c>
      <c r="Z1893" s="1" t="e">
        <f t="shared" si="430"/>
        <v>#VALUE!</v>
      </c>
      <c r="AA1893"/>
      <c r="AB1893"/>
    </row>
    <row r="1894" spans="1:28" x14ac:dyDescent="0.55000000000000004">
      <c r="A1894" s="1">
        <f t="shared" si="417"/>
        <v>1894</v>
      </c>
      <c r="B1894" t="s">
        <v>35</v>
      </c>
      <c r="C1894" t="s">
        <v>82</v>
      </c>
      <c r="D1894" t="s">
        <v>42</v>
      </c>
      <c r="E1894" t="s">
        <v>419</v>
      </c>
      <c r="F1894" t="s">
        <v>357</v>
      </c>
      <c r="G1894" t="s">
        <v>210</v>
      </c>
      <c r="I1894" t="s">
        <v>304</v>
      </c>
      <c r="K1894" t="s">
        <v>212</v>
      </c>
      <c r="M1894" t="s">
        <v>47</v>
      </c>
      <c r="N1894" s="1" t="e">
        <f t="shared" si="418"/>
        <v>#VALUE!</v>
      </c>
      <c r="O1894" s="1" t="e">
        <f t="shared" si="419"/>
        <v>#VALUE!</v>
      </c>
      <c r="P1894" s="1" t="e">
        <f t="shared" si="420"/>
        <v>#VALUE!</v>
      </c>
      <c r="Q1894" s="1" t="e">
        <f t="shared" si="421"/>
        <v>#VALUE!</v>
      </c>
      <c r="R1894" s="1" t="e">
        <f t="shared" si="422"/>
        <v>#VALUE!</v>
      </c>
      <c r="S1894" s="1" t="e">
        <f t="shared" si="423"/>
        <v>#VALUE!</v>
      </c>
      <c r="T1894" s="1" t="e">
        <f t="shared" si="424"/>
        <v>#VALUE!</v>
      </c>
      <c r="U1894" s="26" t="e">
        <f t="shared" si="425"/>
        <v>#VALUE!</v>
      </c>
      <c r="V1894" s="26" t="e">
        <f t="shared" si="426"/>
        <v>#VALUE!</v>
      </c>
      <c r="W1894" s="1" t="e">
        <f t="shared" si="427"/>
        <v>#VALUE!</v>
      </c>
      <c r="X1894" s="26" t="e">
        <f t="shared" si="428"/>
        <v>#VALUE!</v>
      </c>
      <c r="Y1894" s="26" t="e">
        <f t="shared" si="429"/>
        <v>#VALUE!</v>
      </c>
      <c r="Z1894" s="1" t="e">
        <f t="shared" si="430"/>
        <v>#VALUE!</v>
      </c>
      <c r="AA1894"/>
      <c r="AB1894"/>
    </row>
    <row r="1895" spans="1:28" x14ac:dyDescent="0.55000000000000004">
      <c r="A1895" s="1">
        <f t="shared" si="417"/>
        <v>1895</v>
      </c>
      <c r="B1895" t="s">
        <v>31</v>
      </c>
      <c r="C1895" t="s">
        <v>120</v>
      </c>
      <c r="D1895" t="s">
        <v>133</v>
      </c>
      <c r="E1895" t="s">
        <v>168</v>
      </c>
      <c r="G1895" t="s">
        <v>150</v>
      </c>
      <c r="I1895" t="s">
        <v>139</v>
      </c>
      <c r="K1895" t="s">
        <v>152</v>
      </c>
      <c r="M1895" t="s">
        <v>47</v>
      </c>
      <c r="N1895" s="1" t="e">
        <f t="shared" si="418"/>
        <v>#VALUE!</v>
      </c>
      <c r="O1895" s="1" t="e">
        <f t="shared" si="419"/>
        <v>#VALUE!</v>
      </c>
      <c r="P1895" s="1" t="e">
        <f t="shared" si="420"/>
        <v>#VALUE!</v>
      </c>
      <c r="Q1895" s="1" t="e">
        <f t="shared" si="421"/>
        <v>#VALUE!</v>
      </c>
      <c r="R1895" s="1" t="e">
        <f t="shared" si="422"/>
        <v>#VALUE!</v>
      </c>
      <c r="S1895" s="1" t="e">
        <f t="shared" si="423"/>
        <v>#VALUE!</v>
      </c>
      <c r="T1895" s="1" t="e">
        <f t="shared" si="424"/>
        <v>#VALUE!</v>
      </c>
      <c r="U1895" s="26" t="e">
        <f t="shared" si="425"/>
        <v>#VALUE!</v>
      </c>
      <c r="V1895" s="26" t="e">
        <f t="shared" si="426"/>
        <v>#VALUE!</v>
      </c>
      <c r="W1895" s="1" t="e">
        <f t="shared" si="427"/>
        <v>#VALUE!</v>
      </c>
      <c r="X1895" s="26" t="e">
        <f t="shared" si="428"/>
        <v>#VALUE!</v>
      </c>
      <c r="Y1895" s="26" t="e">
        <f t="shared" si="429"/>
        <v>#VALUE!</v>
      </c>
      <c r="Z1895" s="1" t="e">
        <f t="shared" si="430"/>
        <v>#VALUE!</v>
      </c>
      <c r="AA1895"/>
      <c r="AB1895"/>
    </row>
    <row r="1896" spans="1:28" x14ac:dyDescent="0.55000000000000004">
      <c r="A1896" s="1">
        <f t="shared" si="417"/>
        <v>1896</v>
      </c>
      <c r="B1896" t="s">
        <v>31</v>
      </c>
      <c r="C1896" t="s">
        <v>120</v>
      </c>
      <c r="D1896" t="s">
        <v>133</v>
      </c>
      <c r="E1896" t="s">
        <v>168</v>
      </c>
      <c r="G1896" t="s">
        <v>136</v>
      </c>
      <c r="I1896" t="s">
        <v>148</v>
      </c>
      <c r="K1896" t="s">
        <v>158</v>
      </c>
      <c r="M1896" t="s">
        <v>47</v>
      </c>
      <c r="N1896" s="1" t="e">
        <f t="shared" si="418"/>
        <v>#VALUE!</v>
      </c>
      <c r="O1896" s="1" t="e">
        <f t="shared" si="419"/>
        <v>#VALUE!</v>
      </c>
      <c r="P1896" s="1" t="e">
        <f t="shared" si="420"/>
        <v>#VALUE!</v>
      </c>
      <c r="Q1896" s="1" t="e">
        <f t="shared" si="421"/>
        <v>#VALUE!</v>
      </c>
      <c r="R1896" s="1" t="e">
        <f t="shared" si="422"/>
        <v>#VALUE!</v>
      </c>
      <c r="S1896" s="1" t="e">
        <f t="shared" si="423"/>
        <v>#VALUE!</v>
      </c>
      <c r="T1896" s="1" t="e">
        <f t="shared" si="424"/>
        <v>#VALUE!</v>
      </c>
      <c r="U1896" s="26" t="e">
        <f t="shared" si="425"/>
        <v>#VALUE!</v>
      </c>
      <c r="V1896" s="26" t="e">
        <f t="shared" si="426"/>
        <v>#VALUE!</v>
      </c>
      <c r="W1896" s="1" t="e">
        <f t="shared" si="427"/>
        <v>#VALUE!</v>
      </c>
      <c r="X1896" s="26" t="e">
        <f t="shared" si="428"/>
        <v>#VALUE!</v>
      </c>
      <c r="Y1896" s="26" t="e">
        <f t="shared" si="429"/>
        <v>#VALUE!</v>
      </c>
      <c r="Z1896" s="1" t="e">
        <f t="shared" si="430"/>
        <v>#VALUE!</v>
      </c>
      <c r="AA1896"/>
      <c r="AB1896"/>
    </row>
    <row r="1897" spans="1:28" x14ac:dyDescent="0.55000000000000004">
      <c r="A1897" s="1">
        <f t="shared" si="417"/>
        <v>1897</v>
      </c>
      <c r="B1897" t="s">
        <v>31</v>
      </c>
      <c r="C1897" t="s">
        <v>120</v>
      </c>
      <c r="D1897" t="s">
        <v>133</v>
      </c>
      <c r="E1897" t="s">
        <v>168</v>
      </c>
      <c r="G1897" t="s">
        <v>141</v>
      </c>
      <c r="I1897" t="s">
        <v>147</v>
      </c>
      <c r="K1897" t="s">
        <v>143</v>
      </c>
      <c r="M1897" t="s">
        <v>47</v>
      </c>
      <c r="N1897" s="1" t="e">
        <f t="shared" si="418"/>
        <v>#VALUE!</v>
      </c>
      <c r="O1897" s="1" t="e">
        <f t="shared" si="419"/>
        <v>#VALUE!</v>
      </c>
      <c r="P1897" s="1" t="e">
        <f t="shared" si="420"/>
        <v>#VALUE!</v>
      </c>
      <c r="Q1897" s="1" t="e">
        <f t="shared" si="421"/>
        <v>#VALUE!</v>
      </c>
      <c r="R1897" s="1" t="e">
        <f t="shared" si="422"/>
        <v>#VALUE!</v>
      </c>
      <c r="S1897" s="1" t="e">
        <f t="shared" si="423"/>
        <v>#VALUE!</v>
      </c>
      <c r="T1897" s="1" t="e">
        <f t="shared" si="424"/>
        <v>#VALUE!</v>
      </c>
      <c r="U1897" s="26" t="e">
        <f t="shared" si="425"/>
        <v>#VALUE!</v>
      </c>
      <c r="V1897" s="26" t="e">
        <f t="shared" si="426"/>
        <v>#VALUE!</v>
      </c>
      <c r="W1897" s="1" t="e">
        <f t="shared" si="427"/>
        <v>#VALUE!</v>
      </c>
      <c r="X1897" s="26" t="e">
        <f t="shared" si="428"/>
        <v>#VALUE!</v>
      </c>
      <c r="Y1897" s="26" t="e">
        <f t="shared" si="429"/>
        <v>#VALUE!</v>
      </c>
      <c r="Z1897" s="1" t="e">
        <f t="shared" si="430"/>
        <v>#VALUE!</v>
      </c>
      <c r="AA1897"/>
      <c r="AB1897"/>
    </row>
    <row r="1898" spans="1:28" x14ac:dyDescent="0.55000000000000004">
      <c r="A1898" s="1">
        <f t="shared" si="417"/>
        <v>1898</v>
      </c>
      <c r="B1898" t="s">
        <v>31</v>
      </c>
      <c r="C1898" t="s">
        <v>120</v>
      </c>
      <c r="D1898" t="s">
        <v>133</v>
      </c>
      <c r="E1898" t="s">
        <v>168</v>
      </c>
      <c r="G1898" t="s">
        <v>151</v>
      </c>
      <c r="I1898" t="s">
        <v>145</v>
      </c>
      <c r="K1898" t="s">
        <v>156</v>
      </c>
      <c r="M1898" t="s">
        <v>47</v>
      </c>
      <c r="N1898" s="1" t="e">
        <f t="shared" si="418"/>
        <v>#VALUE!</v>
      </c>
      <c r="O1898" s="1" t="e">
        <f t="shared" si="419"/>
        <v>#VALUE!</v>
      </c>
      <c r="P1898" s="1" t="e">
        <f t="shared" si="420"/>
        <v>#VALUE!</v>
      </c>
      <c r="Q1898" s="1" t="e">
        <f t="shared" si="421"/>
        <v>#VALUE!</v>
      </c>
      <c r="R1898" s="1" t="e">
        <f t="shared" si="422"/>
        <v>#VALUE!</v>
      </c>
      <c r="S1898" s="1" t="e">
        <f t="shared" si="423"/>
        <v>#VALUE!</v>
      </c>
      <c r="T1898" s="1" t="e">
        <f t="shared" si="424"/>
        <v>#VALUE!</v>
      </c>
      <c r="U1898" s="26" t="e">
        <f t="shared" si="425"/>
        <v>#VALUE!</v>
      </c>
      <c r="V1898" s="26" t="e">
        <f t="shared" si="426"/>
        <v>#VALUE!</v>
      </c>
      <c r="W1898" s="1" t="e">
        <f t="shared" si="427"/>
        <v>#VALUE!</v>
      </c>
      <c r="X1898" s="26" t="e">
        <f t="shared" si="428"/>
        <v>#VALUE!</v>
      </c>
      <c r="Y1898" s="26" t="e">
        <f t="shared" si="429"/>
        <v>#VALUE!</v>
      </c>
      <c r="Z1898" s="1" t="e">
        <f t="shared" si="430"/>
        <v>#VALUE!</v>
      </c>
      <c r="AA1898"/>
      <c r="AB1898"/>
    </row>
    <row r="1899" spans="1:28" x14ac:dyDescent="0.55000000000000004">
      <c r="A1899" s="1">
        <f t="shared" si="417"/>
        <v>1899</v>
      </c>
      <c r="B1899" t="s">
        <v>31</v>
      </c>
      <c r="C1899" t="s">
        <v>120</v>
      </c>
      <c r="D1899" t="s">
        <v>133</v>
      </c>
      <c r="E1899" t="s">
        <v>168</v>
      </c>
      <c r="G1899" t="s">
        <v>135</v>
      </c>
      <c r="I1899" t="s">
        <v>142</v>
      </c>
      <c r="K1899" t="s">
        <v>137</v>
      </c>
      <c r="M1899" t="s">
        <v>47</v>
      </c>
      <c r="N1899" s="1" t="e">
        <f t="shared" si="418"/>
        <v>#VALUE!</v>
      </c>
      <c r="O1899" s="1" t="e">
        <f t="shared" si="419"/>
        <v>#VALUE!</v>
      </c>
      <c r="P1899" s="1" t="e">
        <f t="shared" si="420"/>
        <v>#VALUE!</v>
      </c>
      <c r="Q1899" s="1" t="e">
        <f t="shared" si="421"/>
        <v>#VALUE!</v>
      </c>
      <c r="R1899" s="1" t="e">
        <f t="shared" si="422"/>
        <v>#VALUE!</v>
      </c>
      <c r="S1899" s="1" t="e">
        <f t="shared" si="423"/>
        <v>#VALUE!</v>
      </c>
      <c r="T1899" s="1" t="e">
        <f t="shared" si="424"/>
        <v>#VALUE!</v>
      </c>
      <c r="U1899" s="26" t="e">
        <f t="shared" si="425"/>
        <v>#VALUE!</v>
      </c>
      <c r="V1899" s="26" t="e">
        <f t="shared" si="426"/>
        <v>#VALUE!</v>
      </c>
      <c r="W1899" s="1" t="e">
        <f t="shared" si="427"/>
        <v>#VALUE!</v>
      </c>
      <c r="X1899" s="26" t="e">
        <f t="shared" si="428"/>
        <v>#VALUE!</v>
      </c>
      <c r="Y1899" s="26" t="e">
        <f t="shared" si="429"/>
        <v>#VALUE!</v>
      </c>
      <c r="Z1899" s="1" t="e">
        <f t="shared" si="430"/>
        <v>#VALUE!</v>
      </c>
      <c r="AA1899"/>
      <c r="AB1899"/>
    </row>
    <row r="1900" spans="1:28" x14ac:dyDescent="0.55000000000000004">
      <c r="A1900" s="1">
        <f t="shared" si="417"/>
        <v>1900</v>
      </c>
      <c r="B1900" t="s">
        <v>31</v>
      </c>
      <c r="C1900" t="s">
        <v>120</v>
      </c>
      <c r="D1900" t="s">
        <v>133</v>
      </c>
      <c r="E1900" t="s">
        <v>168</v>
      </c>
      <c r="G1900" t="s">
        <v>144</v>
      </c>
      <c r="I1900" t="s">
        <v>138</v>
      </c>
      <c r="K1900" t="s">
        <v>146</v>
      </c>
      <c r="M1900" t="s">
        <v>47</v>
      </c>
      <c r="N1900" s="1" t="e">
        <f t="shared" si="418"/>
        <v>#VALUE!</v>
      </c>
      <c r="O1900" s="1" t="e">
        <f t="shared" si="419"/>
        <v>#VALUE!</v>
      </c>
      <c r="P1900" s="1" t="e">
        <f t="shared" si="420"/>
        <v>#VALUE!</v>
      </c>
      <c r="Q1900" s="1" t="e">
        <f t="shared" si="421"/>
        <v>#VALUE!</v>
      </c>
      <c r="R1900" s="1" t="e">
        <f t="shared" si="422"/>
        <v>#VALUE!</v>
      </c>
      <c r="S1900" s="1" t="e">
        <f t="shared" si="423"/>
        <v>#VALUE!</v>
      </c>
      <c r="T1900" s="1" t="e">
        <f t="shared" si="424"/>
        <v>#VALUE!</v>
      </c>
      <c r="U1900" s="26" t="e">
        <f t="shared" si="425"/>
        <v>#VALUE!</v>
      </c>
      <c r="V1900" s="26" t="e">
        <f t="shared" si="426"/>
        <v>#VALUE!</v>
      </c>
      <c r="W1900" s="1" t="e">
        <f t="shared" si="427"/>
        <v>#VALUE!</v>
      </c>
      <c r="X1900" s="26" t="e">
        <f t="shared" si="428"/>
        <v>#VALUE!</v>
      </c>
      <c r="Y1900" s="26" t="e">
        <f t="shared" si="429"/>
        <v>#VALUE!</v>
      </c>
      <c r="Z1900" s="1" t="e">
        <f t="shared" si="430"/>
        <v>#VALUE!</v>
      </c>
      <c r="AA1900"/>
      <c r="AB1900"/>
    </row>
    <row r="1901" spans="1:28" x14ac:dyDescent="0.55000000000000004">
      <c r="A1901" s="1">
        <f t="shared" si="417"/>
        <v>1901</v>
      </c>
      <c r="B1901" t="s">
        <v>31</v>
      </c>
      <c r="C1901" t="s">
        <v>122</v>
      </c>
      <c r="D1901" t="s">
        <v>133</v>
      </c>
      <c r="E1901" t="s">
        <v>169</v>
      </c>
      <c r="G1901" t="s">
        <v>142</v>
      </c>
      <c r="I1901" t="s">
        <v>141</v>
      </c>
      <c r="K1901" t="s">
        <v>160</v>
      </c>
      <c r="M1901" t="s">
        <v>47</v>
      </c>
      <c r="N1901" s="1" t="e">
        <f t="shared" si="418"/>
        <v>#VALUE!</v>
      </c>
      <c r="O1901" s="1" t="e">
        <f t="shared" si="419"/>
        <v>#VALUE!</v>
      </c>
      <c r="P1901" s="1" t="e">
        <f t="shared" si="420"/>
        <v>#VALUE!</v>
      </c>
      <c r="Q1901" s="1" t="e">
        <f t="shared" si="421"/>
        <v>#VALUE!</v>
      </c>
      <c r="R1901" s="1" t="e">
        <f t="shared" si="422"/>
        <v>#VALUE!</v>
      </c>
      <c r="S1901" s="1" t="e">
        <f t="shared" si="423"/>
        <v>#VALUE!</v>
      </c>
      <c r="T1901" s="1" t="e">
        <f t="shared" si="424"/>
        <v>#VALUE!</v>
      </c>
      <c r="U1901" s="26" t="e">
        <f t="shared" si="425"/>
        <v>#VALUE!</v>
      </c>
      <c r="V1901" s="26" t="e">
        <f t="shared" si="426"/>
        <v>#VALUE!</v>
      </c>
      <c r="W1901" s="1" t="e">
        <f t="shared" si="427"/>
        <v>#VALUE!</v>
      </c>
      <c r="X1901" s="26" t="e">
        <f t="shared" si="428"/>
        <v>#VALUE!</v>
      </c>
      <c r="Y1901" s="26" t="e">
        <f t="shared" si="429"/>
        <v>#VALUE!</v>
      </c>
      <c r="Z1901" s="1" t="e">
        <f t="shared" si="430"/>
        <v>#VALUE!</v>
      </c>
      <c r="AA1901"/>
      <c r="AB1901"/>
    </row>
    <row r="1902" spans="1:28" x14ac:dyDescent="0.55000000000000004">
      <c r="A1902" s="1">
        <f t="shared" si="417"/>
        <v>1902</v>
      </c>
      <c r="B1902" t="s">
        <v>31</v>
      </c>
      <c r="C1902" t="s">
        <v>122</v>
      </c>
      <c r="D1902" t="s">
        <v>133</v>
      </c>
      <c r="E1902" t="s">
        <v>169</v>
      </c>
      <c r="G1902" t="s">
        <v>139</v>
      </c>
      <c r="I1902" t="s">
        <v>135</v>
      </c>
      <c r="K1902" t="s">
        <v>143</v>
      </c>
      <c r="M1902" t="s">
        <v>47</v>
      </c>
      <c r="N1902" s="1" t="e">
        <f t="shared" si="418"/>
        <v>#VALUE!</v>
      </c>
      <c r="O1902" s="1" t="e">
        <f t="shared" si="419"/>
        <v>#VALUE!</v>
      </c>
      <c r="P1902" s="1" t="e">
        <f t="shared" si="420"/>
        <v>#VALUE!</v>
      </c>
      <c r="Q1902" s="1" t="e">
        <f t="shared" si="421"/>
        <v>#VALUE!</v>
      </c>
      <c r="R1902" s="1" t="e">
        <f t="shared" si="422"/>
        <v>#VALUE!</v>
      </c>
      <c r="S1902" s="1" t="e">
        <f t="shared" si="423"/>
        <v>#VALUE!</v>
      </c>
      <c r="T1902" s="1" t="e">
        <f t="shared" si="424"/>
        <v>#VALUE!</v>
      </c>
      <c r="U1902" s="26" t="e">
        <f t="shared" si="425"/>
        <v>#VALUE!</v>
      </c>
      <c r="V1902" s="26" t="e">
        <f t="shared" si="426"/>
        <v>#VALUE!</v>
      </c>
      <c r="W1902" s="1" t="e">
        <f t="shared" si="427"/>
        <v>#VALUE!</v>
      </c>
      <c r="X1902" s="26" t="e">
        <f t="shared" si="428"/>
        <v>#VALUE!</v>
      </c>
      <c r="Y1902" s="26" t="e">
        <f t="shared" si="429"/>
        <v>#VALUE!</v>
      </c>
      <c r="Z1902" s="1" t="e">
        <f t="shared" si="430"/>
        <v>#VALUE!</v>
      </c>
      <c r="AA1902"/>
      <c r="AB1902"/>
    </row>
    <row r="1903" spans="1:28" x14ac:dyDescent="0.55000000000000004">
      <c r="A1903" s="1">
        <f t="shared" si="417"/>
        <v>1903</v>
      </c>
      <c r="B1903" t="s">
        <v>31</v>
      </c>
      <c r="C1903" t="s">
        <v>122</v>
      </c>
      <c r="D1903" t="s">
        <v>133</v>
      </c>
      <c r="E1903" t="s">
        <v>169</v>
      </c>
      <c r="G1903" t="s">
        <v>145</v>
      </c>
      <c r="I1903" t="s">
        <v>144</v>
      </c>
      <c r="K1903" t="s">
        <v>155</v>
      </c>
      <c r="M1903" t="s">
        <v>47</v>
      </c>
      <c r="N1903" s="1" t="e">
        <f t="shared" si="418"/>
        <v>#VALUE!</v>
      </c>
      <c r="O1903" s="1" t="e">
        <f t="shared" si="419"/>
        <v>#VALUE!</v>
      </c>
      <c r="P1903" s="1" t="e">
        <f t="shared" si="420"/>
        <v>#VALUE!</v>
      </c>
      <c r="Q1903" s="1" t="e">
        <f t="shared" si="421"/>
        <v>#VALUE!</v>
      </c>
      <c r="R1903" s="1" t="e">
        <f t="shared" si="422"/>
        <v>#VALUE!</v>
      </c>
      <c r="S1903" s="1" t="e">
        <f t="shared" si="423"/>
        <v>#VALUE!</v>
      </c>
      <c r="T1903" s="1" t="e">
        <f t="shared" si="424"/>
        <v>#VALUE!</v>
      </c>
      <c r="U1903" s="26" t="e">
        <f t="shared" si="425"/>
        <v>#VALUE!</v>
      </c>
      <c r="V1903" s="26" t="e">
        <f t="shared" si="426"/>
        <v>#VALUE!</v>
      </c>
      <c r="W1903" s="1" t="e">
        <f t="shared" si="427"/>
        <v>#VALUE!</v>
      </c>
      <c r="X1903" s="26" t="e">
        <f t="shared" si="428"/>
        <v>#VALUE!</v>
      </c>
      <c r="Y1903" s="26" t="e">
        <f t="shared" si="429"/>
        <v>#VALUE!</v>
      </c>
      <c r="Z1903" s="1" t="e">
        <f t="shared" si="430"/>
        <v>#VALUE!</v>
      </c>
      <c r="AA1903"/>
      <c r="AB1903"/>
    </row>
    <row r="1904" spans="1:28" x14ac:dyDescent="0.55000000000000004">
      <c r="A1904" s="1">
        <f t="shared" si="417"/>
        <v>1904</v>
      </c>
      <c r="B1904" t="s">
        <v>31</v>
      </c>
      <c r="C1904" t="s">
        <v>122</v>
      </c>
      <c r="D1904" t="s">
        <v>133</v>
      </c>
      <c r="E1904" t="s">
        <v>169</v>
      </c>
      <c r="G1904" t="s">
        <v>147</v>
      </c>
      <c r="I1904" t="s">
        <v>136</v>
      </c>
      <c r="K1904" t="s">
        <v>149</v>
      </c>
      <c r="M1904" t="s">
        <v>47</v>
      </c>
      <c r="N1904" s="1" t="e">
        <f t="shared" si="418"/>
        <v>#VALUE!</v>
      </c>
      <c r="O1904" s="1" t="e">
        <f t="shared" si="419"/>
        <v>#VALUE!</v>
      </c>
      <c r="P1904" s="1" t="e">
        <f t="shared" si="420"/>
        <v>#VALUE!</v>
      </c>
      <c r="Q1904" s="1" t="e">
        <f t="shared" si="421"/>
        <v>#VALUE!</v>
      </c>
      <c r="R1904" s="1" t="e">
        <f t="shared" si="422"/>
        <v>#VALUE!</v>
      </c>
      <c r="S1904" s="1" t="e">
        <f t="shared" si="423"/>
        <v>#VALUE!</v>
      </c>
      <c r="T1904" s="1" t="e">
        <f t="shared" si="424"/>
        <v>#VALUE!</v>
      </c>
      <c r="U1904" s="26" t="e">
        <f t="shared" si="425"/>
        <v>#VALUE!</v>
      </c>
      <c r="V1904" s="26" t="e">
        <f t="shared" si="426"/>
        <v>#VALUE!</v>
      </c>
      <c r="W1904" s="1" t="e">
        <f t="shared" si="427"/>
        <v>#VALUE!</v>
      </c>
      <c r="X1904" s="26" t="e">
        <f t="shared" si="428"/>
        <v>#VALUE!</v>
      </c>
      <c r="Y1904" s="26" t="e">
        <f t="shared" si="429"/>
        <v>#VALUE!</v>
      </c>
      <c r="Z1904" s="1" t="e">
        <f t="shared" si="430"/>
        <v>#VALUE!</v>
      </c>
      <c r="AA1904"/>
      <c r="AB1904"/>
    </row>
    <row r="1905" spans="1:28" x14ac:dyDescent="0.55000000000000004">
      <c r="A1905" s="1">
        <f t="shared" si="417"/>
        <v>1905</v>
      </c>
      <c r="B1905" t="s">
        <v>31</v>
      </c>
      <c r="C1905" t="s">
        <v>122</v>
      </c>
      <c r="D1905" t="s">
        <v>133</v>
      </c>
      <c r="E1905" t="s">
        <v>169</v>
      </c>
      <c r="G1905" t="s">
        <v>138</v>
      </c>
      <c r="I1905" t="s">
        <v>151</v>
      </c>
      <c r="K1905" t="s">
        <v>140</v>
      </c>
      <c r="M1905" t="s">
        <v>47</v>
      </c>
      <c r="N1905" s="1" t="e">
        <f t="shared" si="418"/>
        <v>#VALUE!</v>
      </c>
      <c r="O1905" s="1" t="e">
        <f t="shared" si="419"/>
        <v>#VALUE!</v>
      </c>
      <c r="P1905" s="1" t="e">
        <f t="shared" si="420"/>
        <v>#VALUE!</v>
      </c>
      <c r="Q1905" s="1" t="e">
        <f t="shared" si="421"/>
        <v>#VALUE!</v>
      </c>
      <c r="R1905" s="1" t="e">
        <f t="shared" si="422"/>
        <v>#VALUE!</v>
      </c>
      <c r="S1905" s="1" t="e">
        <f t="shared" si="423"/>
        <v>#VALUE!</v>
      </c>
      <c r="T1905" s="1" t="e">
        <f t="shared" si="424"/>
        <v>#VALUE!</v>
      </c>
      <c r="U1905" s="26" t="e">
        <f t="shared" si="425"/>
        <v>#VALUE!</v>
      </c>
      <c r="V1905" s="26" t="e">
        <f t="shared" si="426"/>
        <v>#VALUE!</v>
      </c>
      <c r="W1905" s="1" t="e">
        <f t="shared" si="427"/>
        <v>#VALUE!</v>
      </c>
      <c r="X1905" s="26" t="e">
        <f t="shared" si="428"/>
        <v>#VALUE!</v>
      </c>
      <c r="Y1905" s="26" t="e">
        <f t="shared" si="429"/>
        <v>#VALUE!</v>
      </c>
      <c r="Z1905" s="1" t="e">
        <f t="shared" si="430"/>
        <v>#VALUE!</v>
      </c>
      <c r="AA1905"/>
      <c r="AB1905"/>
    </row>
    <row r="1906" spans="1:28" x14ac:dyDescent="0.55000000000000004">
      <c r="A1906" s="1">
        <f t="shared" si="417"/>
        <v>1906</v>
      </c>
      <c r="B1906" t="s">
        <v>31</v>
      </c>
      <c r="C1906" t="s">
        <v>122</v>
      </c>
      <c r="D1906" t="s">
        <v>133</v>
      </c>
      <c r="E1906" t="s">
        <v>169</v>
      </c>
      <c r="G1906" t="s">
        <v>148</v>
      </c>
      <c r="I1906" t="s">
        <v>150</v>
      </c>
      <c r="K1906" t="s">
        <v>157</v>
      </c>
      <c r="M1906" t="s">
        <v>47</v>
      </c>
      <c r="N1906" s="1" t="e">
        <f t="shared" si="418"/>
        <v>#VALUE!</v>
      </c>
      <c r="O1906" s="1" t="e">
        <f t="shared" si="419"/>
        <v>#VALUE!</v>
      </c>
      <c r="P1906" s="1" t="e">
        <f t="shared" si="420"/>
        <v>#VALUE!</v>
      </c>
      <c r="Q1906" s="1" t="e">
        <f t="shared" si="421"/>
        <v>#VALUE!</v>
      </c>
      <c r="R1906" s="1" t="e">
        <f t="shared" si="422"/>
        <v>#VALUE!</v>
      </c>
      <c r="S1906" s="1" t="e">
        <f t="shared" si="423"/>
        <v>#VALUE!</v>
      </c>
      <c r="T1906" s="1" t="e">
        <f t="shared" si="424"/>
        <v>#VALUE!</v>
      </c>
      <c r="U1906" s="26" t="e">
        <f t="shared" si="425"/>
        <v>#VALUE!</v>
      </c>
      <c r="V1906" s="26" t="e">
        <f t="shared" si="426"/>
        <v>#VALUE!</v>
      </c>
      <c r="W1906" s="1" t="e">
        <f t="shared" si="427"/>
        <v>#VALUE!</v>
      </c>
      <c r="X1906" s="26" t="e">
        <f t="shared" si="428"/>
        <v>#VALUE!</v>
      </c>
      <c r="Y1906" s="26" t="e">
        <f t="shared" si="429"/>
        <v>#VALUE!</v>
      </c>
      <c r="Z1906" s="1" t="e">
        <f t="shared" si="430"/>
        <v>#VALUE!</v>
      </c>
      <c r="AA1906"/>
      <c r="AB1906"/>
    </row>
    <row r="1907" spans="1:28" x14ac:dyDescent="0.55000000000000004">
      <c r="A1907" s="1">
        <f t="shared" si="417"/>
        <v>1907</v>
      </c>
      <c r="B1907" t="s">
        <v>31</v>
      </c>
      <c r="C1907" t="s">
        <v>124</v>
      </c>
      <c r="D1907" t="s">
        <v>133</v>
      </c>
      <c r="E1907" t="s">
        <v>170</v>
      </c>
      <c r="G1907" t="s">
        <v>151</v>
      </c>
      <c r="I1907" t="s">
        <v>141</v>
      </c>
      <c r="K1907" t="s">
        <v>156</v>
      </c>
      <c r="M1907" t="s">
        <v>47</v>
      </c>
      <c r="N1907" s="1" t="e">
        <f t="shared" si="418"/>
        <v>#VALUE!</v>
      </c>
      <c r="O1907" s="1" t="e">
        <f t="shared" si="419"/>
        <v>#VALUE!</v>
      </c>
      <c r="P1907" s="1" t="e">
        <f t="shared" si="420"/>
        <v>#VALUE!</v>
      </c>
      <c r="Q1907" s="1" t="e">
        <f t="shared" si="421"/>
        <v>#VALUE!</v>
      </c>
      <c r="R1907" s="1" t="e">
        <f t="shared" si="422"/>
        <v>#VALUE!</v>
      </c>
      <c r="S1907" s="1" t="e">
        <f t="shared" si="423"/>
        <v>#VALUE!</v>
      </c>
      <c r="T1907" s="1" t="e">
        <f t="shared" si="424"/>
        <v>#VALUE!</v>
      </c>
      <c r="U1907" s="26" t="e">
        <f t="shared" si="425"/>
        <v>#VALUE!</v>
      </c>
      <c r="V1907" s="26" t="e">
        <f t="shared" si="426"/>
        <v>#VALUE!</v>
      </c>
      <c r="W1907" s="1" t="e">
        <f t="shared" si="427"/>
        <v>#VALUE!</v>
      </c>
      <c r="X1907" s="26" t="e">
        <f t="shared" si="428"/>
        <v>#VALUE!</v>
      </c>
      <c r="Y1907" s="26" t="e">
        <f t="shared" si="429"/>
        <v>#VALUE!</v>
      </c>
      <c r="Z1907" s="1" t="e">
        <f t="shared" si="430"/>
        <v>#VALUE!</v>
      </c>
      <c r="AA1907"/>
      <c r="AB1907"/>
    </row>
    <row r="1908" spans="1:28" x14ac:dyDescent="0.55000000000000004">
      <c r="A1908" s="1">
        <f t="shared" si="417"/>
        <v>1908</v>
      </c>
      <c r="B1908" t="s">
        <v>31</v>
      </c>
      <c r="C1908" t="s">
        <v>124</v>
      </c>
      <c r="D1908" t="s">
        <v>133</v>
      </c>
      <c r="E1908" t="s">
        <v>170</v>
      </c>
      <c r="G1908" t="s">
        <v>150</v>
      </c>
      <c r="I1908" t="s">
        <v>138</v>
      </c>
      <c r="K1908" t="s">
        <v>152</v>
      </c>
      <c r="M1908" t="s">
        <v>47</v>
      </c>
      <c r="N1908" s="1" t="e">
        <f t="shared" si="418"/>
        <v>#VALUE!</v>
      </c>
      <c r="O1908" s="1" t="e">
        <f t="shared" si="419"/>
        <v>#VALUE!</v>
      </c>
      <c r="P1908" s="1" t="e">
        <f t="shared" si="420"/>
        <v>#VALUE!</v>
      </c>
      <c r="Q1908" s="1" t="e">
        <f t="shared" si="421"/>
        <v>#VALUE!</v>
      </c>
      <c r="R1908" s="1" t="e">
        <f t="shared" si="422"/>
        <v>#VALUE!</v>
      </c>
      <c r="S1908" s="1" t="e">
        <f t="shared" si="423"/>
        <v>#VALUE!</v>
      </c>
      <c r="T1908" s="1" t="e">
        <f t="shared" si="424"/>
        <v>#VALUE!</v>
      </c>
      <c r="U1908" s="26" t="e">
        <f t="shared" si="425"/>
        <v>#VALUE!</v>
      </c>
      <c r="V1908" s="26" t="e">
        <f t="shared" si="426"/>
        <v>#VALUE!</v>
      </c>
      <c r="W1908" s="1" t="e">
        <f t="shared" si="427"/>
        <v>#VALUE!</v>
      </c>
      <c r="X1908" s="26" t="e">
        <f t="shared" si="428"/>
        <v>#VALUE!</v>
      </c>
      <c r="Y1908" s="26" t="e">
        <f t="shared" si="429"/>
        <v>#VALUE!</v>
      </c>
      <c r="Z1908" s="1" t="e">
        <f t="shared" si="430"/>
        <v>#VALUE!</v>
      </c>
      <c r="AA1908"/>
      <c r="AB1908"/>
    </row>
    <row r="1909" spans="1:28" x14ac:dyDescent="0.55000000000000004">
      <c r="A1909" s="1">
        <f t="shared" si="417"/>
        <v>1909</v>
      </c>
      <c r="B1909" t="s">
        <v>31</v>
      </c>
      <c r="C1909" t="s">
        <v>124</v>
      </c>
      <c r="D1909" t="s">
        <v>133</v>
      </c>
      <c r="E1909" t="s">
        <v>170</v>
      </c>
      <c r="G1909" t="s">
        <v>139</v>
      </c>
      <c r="I1909" t="s">
        <v>144</v>
      </c>
      <c r="K1909" t="s">
        <v>143</v>
      </c>
      <c r="M1909" t="s">
        <v>47</v>
      </c>
      <c r="N1909" s="1" t="e">
        <f t="shared" si="418"/>
        <v>#VALUE!</v>
      </c>
      <c r="O1909" s="1" t="e">
        <f t="shared" si="419"/>
        <v>#VALUE!</v>
      </c>
      <c r="P1909" s="1" t="e">
        <f t="shared" si="420"/>
        <v>#VALUE!</v>
      </c>
      <c r="Q1909" s="1" t="e">
        <f t="shared" si="421"/>
        <v>#VALUE!</v>
      </c>
      <c r="R1909" s="1" t="e">
        <f t="shared" si="422"/>
        <v>#VALUE!</v>
      </c>
      <c r="S1909" s="1" t="e">
        <f t="shared" si="423"/>
        <v>#VALUE!</v>
      </c>
      <c r="T1909" s="1" t="e">
        <f t="shared" si="424"/>
        <v>#VALUE!</v>
      </c>
      <c r="U1909" s="26" t="e">
        <f t="shared" si="425"/>
        <v>#VALUE!</v>
      </c>
      <c r="V1909" s="26" t="e">
        <f t="shared" si="426"/>
        <v>#VALUE!</v>
      </c>
      <c r="W1909" s="1" t="e">
        <f t="shared" si="427"/>
        <v>#VALUE!</v>
      </c>
      <c r="X1909" s="26" t="e">
        <f t="shared" si="428"/>
        <v>#VALUE!</v>
      </c>
      <c r="Y1909" s="26" t="e">
        <f t="shared" si="429"/>
        <v>#VALUE!</v>
      </c>
      <c r="Z1909" s="1" t="e">
        <f t="shared" si="430"/>
        <v>#VALUE!</v>
      </c>
      <c r="AA1909"/>
      <c r="AB1909"/>
    </row>
    <row r="1910" spans="1:28" x14ac:dyDescent="0.55000000000000004">
      <c r="A1910" s="1">
        <f t="shared" si="417"/>
        <v>1910</v>
      </c>
      <c r="B1910" t="s">
        <v>31</v>
      </c>
      <c r="C1910" t="s">
        <v>124</v>
      </c>
      <c r="D1910" t="s">
        <v>133</v>
      </c>
      <c r="E1910" t="s">
        <v>170</v>
      </c>
      <c r="G1910" t="s">
        <v>136</v>
      </c>
      <c r="I1910" t="s">
        <v>145</v>
      </c>
      <c r="K1910" t="s">
        <v>158</v>
      </c>
      <c r="M1910" t="s">
        <v>47</v>
      </c>
      <c r="N1910" s="1" t="e">
        <f t="shared" si="418"/>
        <v>#VALUE!</v>
      </c>
      <c r="O1910" s="1" t="e">
        <f t="shared" si="419"/>
        <v>#VALUE!</v>
      </c>
      <c r="P1910" s="1" t="e">
        <f t="shared" si="420"/>
        <v>#VALUE!</v>
      </c>
      <c r="Q1910" s="1" t="e">
        <f t="shared" si="421"/>
        <v>#VALUE!</v>
      </c>
      <c r="R1910" s="1" t="e">
        <f t="shared" si="422"/>
        <v>#VALUE!</v>
      </c>
      <c r="S1910" s="1" t="e">
        <f t="shared" si="423"/>
        <v>#VALUE!</v>
      </c>
      <c r="T1910" s="1" t="e">
        <f t="shared" si="424"/>
        <v>#VALUE!</v>
      </c>
      <c r="U1910" s="26" t="e">
        <f t="shared" si="425"/>
        <v>#VALUE!</v>
      </c>
      <c r="V1910" s="26" t="e">
        <f t="shared" si="426"/>
        <v>#VALUE!</v>
      </c>
      <c r="W1910" s="1" t="e">
        <f t="shared" si="427"/>
        <v>#VALUE!</v>
      </c>
      <c r="X1910" s="26" t="e">
        <f t="shared" si="428"/>
        <v>#VALUE!</v>
      </c>
      <c r="Y1910" s="26" t="e">
        <f t="shared" si="429"/>
        <v>#VALUE!</v>
      </c>
      <c r="Z1910" s="1" t="e">
        <f t="shared" si="430"/>
        <v>#VALUE!</v>
      </c>
      <c r="AA1910"/>
      <c r="AB1910"/>
    </row>
    <row r="1911" spans="1:28" x14ac:dyDescent="0.55000000000000004">
      <c r="A1911" s="1">
        <f t="shared" si="417"/>
        <v>1911</v>
      </c>
      <c r="B1911" t="s">
        <v>31</v>
      </c>
      <c r="C1911" t="s">
        <v>124</v>
      </c>
      <c r="D1911" t="s">
        <v>133</v>
      </c>
      <c r="E1911" t="s">
        <v>170</v>
      </c>
      <c r="G1911" t="s">
        <v>135</v>
      </c>
      <c r="I1911" t="s">
        <v>148</v>
      </c>
      <c r="K1911" t="s">
        <v>137</v>
      </c>
      <c r="M1911" t="s">
        <v>47</v>
      </c>
      <c r="N1911" s="1" t="e">
        <f t="shared" si="418"/>
        <v>#VALUE!</v>
      </c>
      <c r="O1911" s="1" t="e">
        <f t="shared" si="419"/>
        <v>#VALUE!</v>
      </c>
      <c r="P1911" s="1" t="e">
        <f t="shared" si="420"/>
        <v>#VALUE!</v>
      </c>
      <c r="Q1911" s="1" t="e">
        <f t="shared" si="421"/>
        <v>#VALUE!</v>
      </c>
      <c r="R1911" s="1" t="e">
        <f t="shared" si="422"/>
        <v>#VALUE!</v>
      </c>
      <c r="S1911" s="1" t="e">
        <f t="shared" si="423"/>
        <v>#VALUE!</v>
      </c>
      <c r="T1911" s="1" t="e">
        <f t="shared" si="424"/>
        <v>#VALUE!</v>
      </c>
      <c r="U1911" s="26" t="e">
        <f t="shared" si="425"/>
        <v>#VALUE!</v>
      </c>
      <c r="V1911" s="26" t="e">
        <f t="shared" si="426"/>
        <v>#VALUE!</v>
      </c>
      <c r="W1911" s="1" t="e">
        <f t="shared" si="427"/>
        <v>#VALUE!</v>
      </c>
      <c r="X1911" s="26" t="e">
        <f t="shared" si="428"/>
        <v>#VALUE!</v>
      </c>
      <c r="Y1911" s="26" t="e">
        <f t="shared" si="429"/>
        <v>#VALUE!</v>
      </c>
      <c r="Z1911" s="1" t="e">
        <f t="shared" si="430"/>
        <v>#VALUE!</v>
      </c>
      <c r="AA1911"/>
      <c r="AB1911"/>
    </row>
    <row r="1912" spans="1:28" x14ac:dyDescent="0.55000000000000004">
      <c r="A1912" s="1">
        <f t="shared" si="417"/>
        <v>1912</v>
      </c>
      <c r="B1912" t="s">
        <v>31</v>
      </c>
      <c r="C1912" t="s">
        <v>124</v>
      </c>
      <c r="D1912" t="s">
        <v>133</v>
      </c>
      <c r="E1912" t="s">
        <v>170</v>
      </c>
      <c r="G1912" t="s">
        <v>142</v>
      </c>
      <c r="I1912" t="s">
        <v>147</v>
      </c>
      <c r="K1912" t="s">
        <v>160</v>
      </c>
      <c r="M1912" t="s">
        <v>47</v>
      </c>
      <c r="N1912" s="1" t="e">
        <f t="shared" si="418"/>
        <v>#VALUE!</v>
      </c>
      <c r="O1912" s="1" t="e">
        <f t="shared" si="419"/>
        <v>#VALUE!</v>
      </c>
      <c r="P1912" s="1" t="e">
        <f t="shared" si="420"/>
        <v>#VALUE!</v>
      </c>
      <c r="Q1912" s="1" t="e">
        <f t="shared" si="421"/>
        <v>#VALUE!</v>
      </c>
      <c r="R1912" s="1" t="e">
        <f t="shared" si="422"/>
        <v>#VALUE!</v>
      </c>
      <c r="S1912" s="1" t="e">
        <f t="shared" si="423"/>
        <v>#VALUE!</v>
      </c>
      <c r="T1912" s="1" t="e">
        <f t="shared" si="424"/>
        <v>#VALUE!</v>
      </c>
      <c r="U1912" s="26" t="e">
        <f t="shared" si="425"/>
        <v>#VALUE!</v>
      </c>
      <c r="V1912" s="26" t="e">
        <f t="shared" si="426"/>
        <v>#VALUE!</v>
      </c>
      <c r="W1912" s="1" t="e">
        <f t="shared" si="427"/>
        <v>#VALUE!</v>
      </c>
      <c r="X1912" s="26" t="e">
        <f t="shared" si="428"/>
        <v>#VALUE!</v>
      </c>
      <c r="Y1912" s="26" t="e">
        <f t="shared" si="429"/>
        <v>#VALUE!</v>
      </c>
      <c r="Z1912" s="1" t="e">
        <f t="shared" si="430"/>
        <v>#VALUE!</v>
      </c>
      <c r="AA1912"/>
      <c r="AB1912"/>
    </row>
    <row r="1913" spans="1:28" x14ac:dyDescent="0.55000000000000004">
      <c r="A1913" s="1">
        <f t="shared" si="417"/>
        <v>1913</v>
      </c>
      <c r="B1913" t="s">
        <v>31</v>
      </c>
      <c r="C1913" t="s">
        <v>126</v>
      </c>
      <c r="D1913" t="s">
        <v>133</v>
      </c>
      <c r="E1913" t="s">
        <v>171</v>
      </c>
      <c r="G1913" t="s">
        <v>145</v>
      </c>
      <c r="I1913" t="s">
        <v>135</v>
      </c>
      <c r="K1913" t="s">
        <v>155</v>
      </c>
      <c r="M1913" t="s">
        <v>47</v>
      </c>
      <c r="N1913" s="1" t="e">
        <f t="shared" si="418"/>
        <v>#VALUE!</v>
      </c>
      <c r="O1913" s="1" t="e">
        <f t="shared" si="419"/>
        <v>#VALUE!</v>
      </c>
      <c r="P1913" s="1" t="e">
        <f t="shared" si="420"/>
        <v>#VALUE!</v>
      </c>
      <c r="Q1913" s="1" t="e">
        <f t="shared" si="421"/>
        <v>#VALUE!</v>
      </c>
      <c r="R1913" s="1" t="e">
        <f t="shared" si="422"/>
        <v>#VALUE!</v>
      </c>
      <c r="S1913" s="1" t="e">
        <f t="shared" si="423"/>
        <v>#VALUE!</v>
      </c>
      <c r="T1913" s="1" t="e">
        <f t="shared" si="424"/>
        <v>#VALUE!</v>
      </c>
      <c r="U1913" s="26" t="e">
        <f t="shared" si="425"/>
        <v>#VALUE!</v>
      </c>
      <c r="V1913" s="26" t="e">
        <f t="shared" si="426"/>
        <v>#VALUE!</v>
      </c>
      <c r="W1913" s="1" t="e">
        <f t="shared" si="427"/>
        <v>#VALUE!</v>
      </c>
      <c r="X1913" s="26" t="e">
        <f t="shared" si="428"/>
        <v>#VALUE!</v>
      </c>
      <c r="Y1913" s="26" t="e">
        <f t="shared" si="429"/>
        <v>#VALUE!</v>
      </c>
      <c r="Z1913" s="1" t="e">
        <f t="shared" si="430"/>
        <v>#VALUE!</v>
      </c>
      <c r="AA1913"/>
      <c r="AB1913"/>
    </row>
    <row r="1914" spans="1:28" x14ac:dyDescent="0.55000000000000004">
      <c r="A1914" s="1">
        <f t="shared" si="417"/>
        <v>1914</v>
      </c>
      <c r="B1914" t="s">
        <v>31</v>
      </c>
      <c r="C1914" t="s">
        <v>126</v>
      </c>
      <c r="D1914" t="s">
        <v>133</v>
      </c>
      <c r="E1914" t="s">
        <v>171</v>
      </c>
      <c r="G1914" t="s">
        <v>141</v>
      </c>
      <c r="I1914" t="s">
        <v>148</v>
      </c>
      <c r="K1914" t="s">
        <v>143</v>
      </c>
      <c r="M1914" t="s">
        <v>47</v>
      </c>
      <c r="N1914" s="1" t="e">
        <f t="shared" si="418"/>
        <v>#VALUE!</v>
      </c>
      <c r="O1914" s="1" t="e">
        <f t="shared" si="419"/>
        <v>#VALUE!</v>
      </c>
      <c r="P1914" s="1" t="e">
        <f t="shared" si="420"/>
        <v>#VALUE!</v>
      </c>
      <c r="Q1914" s="1" t="e">
        <f t="shared" si="421"/>
        <v>#VALUE!</v>
      </c>
      <c r="R1914" s="1" t="e">
        <f t="shared" si="422"/>
        <v>#VALUE!</v>
      </c>
      <c r="S1914" s="1" t="e">
        <f t="shared" si="423"/>
        <v>#VALUE!</v>
      </c>
      <c r="T1914" s="1" t="e">
        <f t="shared" si="424"/>
        <v>#VALUE!</v>
      </c>
      <c r="U1914" s="26" t="e">
        <f t="shared" si="425"/>
        <v>#VALUE!</v>
      </c>
      <c r="V1914" s="26" t="e">
        <f t="shared" si="426"/>
        <v>#VALUE!</v>
      </c>
      <c r="W1914" s="1" t="e">
        <f t="shared" si="427"/>
        <v>#VALUE!</v>
      </c>
      <c r="X1914" s="26" t="e">
        <f t="shared" si="428"/>
        <v>#VALUE!</v>
      </c>
      <c r="Y1914" s="26" t="e">
        <f t="shared" si="429"/>
        <v>#VALUE!</v>
      </c>
      <c r="Z1914" s="1" t="e">
        <f t="shared" si="430"/>
        <v>#VALUE!</v>
      </c>
      <c r="AA1914"/>
      <c r="AB1914"/>
    </row>
    <row r="1915" spans="1:28" x14ac:dyDescent="0.55000000000000004">
      <c r="A1915" s="1">
        <f t="shared" si="417"/>
        <v>1915</v>
      </c>
      <c r="B1915" t="s">
        <v>31</v>
      </c>
      <c r="C1915" t="s">
        <v>126</v>
      </c>
      <c r="D1915" t="s">
        <v>133</v>
      </c>
      <c r="E1915" t="s">
        <v>171</v>
      </c>
      <c r="G1915" t="s">
        <v>147</v>
      </c>
      <c r="I1915" t="s">
        <v>139</v>
      </c>
      <c r="K1915" t="s">
        <v>149</v>
      </c>
      <c r="M1915" t="s">
        <v>47</v>
      </c>
      <c r="N1915" s="1" t="e">
        <f t="shared" si="418"/>
        <v>#VALUE!</v>
      </c>
      <c r="O1915" s="1" t="e">
        <f t="shared" si="419"/>
        <v>#VALUE!</v>
      </c>
      <c r="P1915" s="1" t="e">
        <f t="shared" si="420"/>
        <v>#VALUE!</v>
      </c>
      <c r="Q1915" s="1" t="e">
        <f t="shared" si="421"/>
        <v>#VALUE!</v>
      </c>
      <c r="R1915" s="1" t="e">
        <f t="shared" si="422"/>
        <v>#VALUE!</v>
      </c>
      <c r="S1915" s="1" t="e">
        <f t="shared" si="423"/>
        <v>#VALUE!</v>
      </c>
      <c r="T1915" s="1" t="e">
        <f t="shared" si="424"/>
        <v>#VALUE!</v>
      </c>
      <c r="U1915" s="26" t="e">
        <f t="shared" si="425"/>
        <v>#VALUE!</v>
      </c>
      <c r="V1915" s="26" t="e">
        <f t="shared" si="426"/>
        <v>#VALUE!</v>
      </c>
      <c r="W1915" s="1" t="e">
        <f t="shared" si="427"/>
        <v>#VALUE!</v>
      </c>
      <c r="X1915" s="26" t="e">
        <f t="shared" si="428"/>
        <v>#VALUE!</v>
      </c>
      <c r="Y1915" s="26" t="e">
        <f t="shared" si="429"/>
        <v>#VALUE!</v>
      </c>
      <c r="Z1915" s="1" t="e">
        <f t="shared" si="430"/>
        <v>#VALUE!</v>
      </c>
      <c r="AA1915"/>
      <c r="AB1915"/>
    </row>
    <row r="1916" spans="1:28" x14ac:dyDescent="0.55000000000000004">
      <c r="A1916" s="1">
        <f t="shared" si="417"/>
        <v>1916</v>
      </c>
      <c r="B1916" t="s">
        <v>31</v>
      </c>
      <c r="C1916" t="s">
        <v>126</v>
      </c>
      <c r="D1916" t="s">
        <v>133</v>
      </c>
      <c r="E1916" t="s">
        <v>171</v>
      </c>
      <c r="G1916" t="s">
        <v>138</v>
      </c>
      <c r="I1916" t="s">
        <v>142</v>
      </c>
      <c r="K1916" t="s">
        <v>140</v>
      </c>
      <c r="M1916" t="s">
        <v>47</v>
      </c>
      <c r="N1916" s="1" t="e">
        <f t="shared" si="418"/>
        <v>#VALUE!</v>
      </c>
      <c r="O1916" s="1" t="e">
        <f t="shared" si="419"/>
        <v>#VALUE!</v>
      </c>
      <c r="P1916" s="1" t="e">
        <f t="shared" si="420"/>
        <v>#VALUE!</v>
      </c>
      <c r="Q1916" s="1" t="e">
        <f t="shared" si="421"/>
        <v>#VALUE!</v>
      </c>
      <c r="R1916" s="1" t="e">
        <f t="shared" si="422"/>
        <v>#VALUE!</v>
      </c>
      <c r="S1916" s="1" t="e">
        <f t="shared" si="423"/>
        <v>#VALUE!</v>
      </c>
      <c r="T1916" s="1" t="e">
        <f t="shared" si="424"/>
        <v>#VALUE!</v>
      </c>
      <c r="U1916" s="26" t="e">
        <f t="shared" si="425"/>
        <v>#VALUE!</v>
      </c>
      <c r="V1916" s="26" t="e">
        <f t="shared" si="426"/>
        <v>#VALUE!</v>
      </c>
      <c r="W1916" s="1" t="e">
        <f t="shared" si="427"/>
        <v>#VALUE!</v>
      </c>
      <c r="X1916" s="26" t="e">
        <f t="shared" si="428"/>
        <v>#VALUE!</v>
      </c>
      <c r="Y1916" s="26" t="e">
        <f t="shared" si="429"/>
        <v>#VALUE!</v>
      </c>
      <c r="Z1916" s="1" t="e">
        <f t="shared" si="430"/>
        <v>#VALUE!</v>
      </c>
      <c r="AA1916"/>
      <c r="AB1916"/>
    </row>
    <row r="1917" spans="1:28" x14ac:dyDescent="0.55000000000000004">
      <c r="A1917" s="1">
        <f t="shared" si="417"/>
        <v>1917</v>
      </c>
      <c r="B1917" t="s">
        <v>31</v>
      </c>
      <c r="C1917" t="s">
        <v>126</v>
      </c>
      <c r="D1917" t="s">
        <v>133</v>
      </c>
      <c r="E1917" t="s">
        <v>171</v>
      </c>
      <c r="G1917" t="s">
        <v>150</v>
      </c>
      <c r="I1917" t="s">
        <v>136</v>
      </c>
      <c r="K1917" t="s">
        <v>152</v>
      </c>
      <c r="M1917" t="s">
        <v>47</v>
      </c>
      <c r="N1917" s="1" t="e">
        <f t="shared" si="418"/>
        <v>#VALUE!</v>
      </c>
      <c r="O1917" s="1" t="e">
        <f t="shared" si="419"/>
        <v>#VALUE!</v>
      </c>
      <c r="P1917" s="1" t="e">
        <f t="shared" si="420"/>
        <v>#VALUE!</v>
      </c>
      <c r="Q1917" s="1" t="e">
        <f t="shared" si="421"/>
        <v>#VALUE!</v>
      </c>
      <c r="R1917" s="1" t="e">
        <f t="shared" si="422"/>
        <v>#VALUE!</v>
      </c>
      <c r="S1917" s="1" t="e">
        <f t="shared" si="423"/>
        <v>#VALUE!</v>
      </c>
      <c r="T1917" s="1" t="e">
        <f t="shared" si="424"/>
        <v>#VALUE!</v>
      </c>
      <c r="U1917" s="26" t="e">
        <f t="shared" si="425"/>
        <v>#VALUE!</v>
      </c>
      <c r="V1917" s="26" t="e">
        <f t="shared" si="426"/>
        <v>#VALUE!</v>
      </c>
      <c r="W1917" s="1" t="e">
        <f t="shared" si="427"/>
        <v>#VALUE!</v>
      </c>
      <c r="X1917" s="26" t="e">
        <f t="shared" si="428"/>
        <v>#VALUE!</v>
      </c>
      <c r="Y1917" s="26" t="e">
        <f t="shared" si="429"/>
        <v>#VALUE!</v>
      </c>
      <c r="Z1917" s="1" t="e">
        <f t="shared" si="430"/>
        <v>#VALUE!</v>
      </c>
      <c r="AA1917"/>
      <c r="AB1917"/>
    </row>
    <row r="1918" spans="1:28" x14ac:dyDescent="0.55000000000000004">
      <c r="A1918" s="1">
        <f t="shared" si="417"/>
        <v>1918</v>
      </c>
      <c r="B1918" t="s">
        <v>31</v>
      </c>
      <c r="C1918" t="s">
        <v>126</v>
      </c>
      <c r="D1918" t="s">
        <v>133</v>
      </c>
      <c r="E1918" t="s">
        <v>171</v>
      </c>
      <c r="G1918" t="s">
        <v>144</v>
      </c>
      <c r="I1918" t="s">
        <v>151</v>
      </c>
      <c r="K1918" t="s">
        <v>146</v>
      </c>
      <c r="M1918" t="s">
        <v>47</v>
      </c>
      <c r="N1918" s="1" t="e">
        <f t="shared" si="418"/>
        <v>#VALUE!</v>
      </c>
      <c r="O1918" s="1" t="e">
        <f t="shared" si="419"/>
        <v>#VALUE!</v>
      </c>
      <c r="P1918" s="1" t="e">
        <f t="shared" si="420"/>
        <v>#VALUE!</v>
      </c>
      <c r="Q1918" s="1" t="e">
        <f t="shared" si="421"/>
        <v>#VALUE!</v>
      </c>
      <c r="R1918" s="1" t="e">
        <f t="shared" si="422"/>
        <v>#VALUE!</v>
      </c>
      <c r="S1918" s="1" t="e">
        <f t="shared" si="423"/>
        <v>#VALUE!</v>
      </c>
      <c r="T1918" s="1" t="e">
        <f t="shared" si="424"/>
        <v>#VALUE!</v>
      </c>
      <c r="U1918" s="26" t="e">
        <f t="shared" si="425"/>
        <v>#VALUE!</v>
      </c>
      <c r="V1918" s="26" t="e">
        <f t="shared" si="426"/>
        <v>#VALUE!</v>
      </c>
      <c r="W1918" s="1" t="e">
        <f t="shared" si="427"/>
        <v>#VALUE!</v>
      </c>
      <c r="X1918" s="26" t="e">
        <f t="shared" si="428"/>
        <v>#VALUE!</v>
      </c>
      <c r="Y1918" s="26" t="e">
        <f t="shared" si="429"/>
        <v>#VALUE!</v>
      </c>
      <c r="Z1918" s="1" t="e">
        <f t="shared" si="430"/>
        <v>#VALUE!</v>
      </c>
      <c r="AA1918"/>
      <c r="AB1918"/>
    </row>
    <row r="1919" spans="1:28" x14ac:dyDescent="0.55000000000000004">
      <c r="A1919" s="1">
        <f t="shared" si="417"/>
        <v>1919</v>
      </c>
      <c r="B1919" t="s">
        <v>31</v>
      </c>
      <c r="C1919" t="s">
        <v>128</v>
      </c>
      <c r="D1919" t="s">
        <v>133</v>
      </c>
      <c r="E1919" t="s">
        <v>172</v>
      </c>
      <c r="G1919" t="s">
        <v>147</v>
      </c>
      <c r="I1919" t="s">
        <v>138</v>
      </c>
      <c r="K1919" t="s">
        <v>149</v>
      </c>
      <c r="M1919" t="s">
        <v>47</v>
      </c>
      <c r="N1919" s="1" t="e">
        <f t="shared" si="418"/>
        <v>#VALUE!</v>
      </c>
      <c r="O1919" s="1" t="e">
        <f t="shared" si="419"/>
        <v>#VALUE!</v>
      </c>
      <c r="P1919" s="1" t="e">
        <f t="shared" si="420"/>
        <v>#VALUE!</v>
      </c>
      <c r="Q1919" s="1" t="e">
        <f t="shared" si="421"/>
        <v>#VALUE!</v>
      </c>
      <c r="R1919" s="1" t="e">
        <f t="shared" si="422"/>
        <v>#VALUE!</v>
      </c>
      <c r="S1919" s="1" t="e">
        <f t="shared" si="423"/>
        <v>#VALUE!</v>
      </c>
      <c r="T1919" s="1" t="e">
        <f t="shared" si="424"/>
        <v>#VALUE!</v>
      </c>
      <c r="U1919" s="26" t="e">
        <f t="shared" si="425"/>
        <v>#VALUE!</v>
      </c>
      <c r="V1919" s="26" t="e">
        <f t="shared" si="426"/>
        <v>#VALUE!</v>
      </c>
      <c r="W1919" s="1" t="e">
        <f t="shared" si="427"/>
        <v>#VALUE!</v>
      </c>
      <c r="X1919" s="26" t="e">
        <f t="shared" si="428"/>
        <v>#VALUE!</v>
      </c>
      <c r="Y1919" s="26" t="e">
        <f t="shared" si="429"/>
        <v>#VALUE!</v>
      </c>
      <c r="Z1919" s="1" t="e">
        <f t="shared" si="430"/>
        <v>#VALUE!</v>
      </c>
      <c r="AA1919"/>
      <c r="AB1919"/>
    </row>
    <row r="1920" spans="1:28" x14ac:dyDescent="0.55000000000000004">
      <c r="A1920" s="1">
        <f t="shared" si="417"/>
        <v>1920</v>
      </c>
      <c r="B1920" t="s">
        <v>31</v>
      </c>
      <c r="C1920" t="s">
        <v>128</v>
      </c>
      <c r="D1920" t="s">
        <v>133</v>
      </c>
      <c r="E1920" t="s">
        <v>172</v>
      </c>
      <c r="G1920" t="s">
        <v>136</v>
      </c>
      <c r="I1920" t="s">
        <v>135</v>
      </c>
      <c r="K1920" t="s">
        <v>158</v>
      </c>
      <c r="M1920" t="s">
        <v>47</v>
      </c>
      <c r="N1920" s="1" t="e">
        <f t="shared" si="418"/>
        <v>#VALUE!</v>
      </c>
      <c r="O1920" s="1" t="e">
        <f t="shared" si="419"/>
        <v>#VALUE!</v>
      </c>
      <c r="P1920" s="1" t="e">
        <f t="shared" si="420"/>
        <v>#VALUE!</v>
      </c>
      <c r="Q1920" s="1" t="e">
        <f t="shared" si="421"/>
        <v>#VALUE!</v>
      </c>
      <c r="R1920" s="1" t="e">
        <f t="shared" si="422"/>
        <v>#VALUE!</v>
      </c>
      <c r="S1920" s="1" t="e">
        <f t="shared" si="423"/>
        <v>#VALUE!</v>
      </c>
      <c r="T1920" s="1" t="e">
        <f t="shared" si="424"/>
        <v>#VALUE!</v>
      </c>
      <c r="U1920" s="26" t="e">
        <f t="shared" si="425"/>
        <v>#VALUE!</v>
      </c>
      <c r="V1920" s="26" t="e">
        <f t="shared" si="426"/>
        <v>#VALUE!</v>
      </c>
      <c r="W1920" s="1" t="e">
        <f t="shared" si="427"/>
        <v>#VALUE!</v>
      </c>
      <c r="X1920" s="26" t="e">
        <f t="shared" si="428"/>
        <v>#VALUE!</v>
      </c>
      <c r="Y1920" s="26" t="e">
        <f t="shared" si="429"/>
        <v>#VALUE!</v>
      </c>
      <c r="Z1920" s="1" t="e">
        <f t="shared" si="430"/>
        <v>#VALUE!</v>
      </c>
      <c r="AA1920"/>
      <c r="AB1920"/>
    </row>
    <row r="1921" spans="1:28" x14ac:dyDescent="0.55000000000000004">
      <c r="A1921" s="1">
        <f t="shared" si="417"/>
        <v>1921</v>
      </c>
      <c r="B1921" t="s">
        <v>31</v>
      </c>
      <c r="C1921" t="s">
        <v>128</v>
      </c>
      <c r="D1921" t="s">
        <v>133</v>
      </c>
      <c r="E1921" t="s">
        <v>172</v>
      </c>
      <c r="G1921" t="s">
        <v>139</v>
      </c>
      <c r="I1921" t="s">
        <v>142</v>
      </c>
      <c r="K1921" t="s">
        <v>143</v>
      </c>
      <c r="M1921" t="s">
        <v>47</v>
      </c>
      <c r="N1921" s="1" t="e">
        <f t="shared" si="418"/>
        <v>#VALUE!</v>
      </c>
      <c r="O1921" s="1" t="e">
        <f t="shared" si="419"/>
        <v>#VALUE!</v>
      </c>
      <c r="P1921" s="1" t="e">
        <f t="shared" si="420"/>
        <v>#VALUE!</v>
      </c>
      <c r="Q1921" s="1" t="e">
        <f t="shared" si="421"/>
        <v>#VALUE!</v>
      </c>
      <c r="R1921" s="1" t="e">
        <f t="shared" si="422"/>
        <v>#VALUE!</v>
      </c>
      <c r="S1921" s="1" t="e">
        <f t="shared" si="423"/>
        <v>#VALUE!</v>
      </c>
      <c r="T1921" s="1" t="e">
        <f t="shared" si="424"/>
        <v>#VALUE!</v>
      </c>
      <c r="U1921" s="26" t="e">
        <f t="shared" si="425"/>
        <v>#VALUE!</v>
      </c>
      <c r="V1921" s="26" t="e">
        <f t="shared" si="426"/>
        <v>#VALUE!</v>
      </c>
      <c r="W1921" s="1" t="e">
        <f t="shared" si="427"/>
        <v>#VALUE!</v>
      </c>
      <c r="X1921" s="26" t="e">
        <f t="shared" si="428"/>
        <v>#VALUE!</v>
      </c>
      <c r="Y1921" s="26" t="e">
        <f t="shared" si="429"/>
        <v>#VALUE!</v>
      </c>
      <c r="Z1921" s="1" t="e">
        <f t="shared" si="430"/>
        <v>#VALUE!</v>
      </c>
      <c r="AA1921"/>
      <c r="AB1921"/>
    </row>
    <row r="1922" spans="1:28" x14ac:dyDescent="0.55000000000000004">
      <c r="A1922" s="1">
        <f t="shared" si="417"/>
        <v>1922</v>
      </c>
      <c r="B1922" t="s">
        <v>31</v>
      </c>
      <c r="C1922" t="s">
        <v>128</v>
      </c>
      <c r="D1922" t="s">
        <v>133</v>
      </c>
      <c r="E1922" t="s">
        <v>172</v>
      </c>
      <c r="G1922" t="s">
        <v>144</v>
      </c>
      <c r="I1922" t="s">
        <v>141</v>
      </c>
      <c r="K1922" t="s">
        <v>146</v>
      </c>
      <c r="M1922" t="s">
        <v>47</v>
      </c>
      <c r="N1922" s="1" t="e">
        <f t="shared" si="418"/>
        <v>#VALUE!</v>
      </c>
      <c r="O1922" s="1" t="e">
        <f t="shared" si="419"/>
        <v>#VALUE!</v>
      </c>
      <c r="P1922" s="1" t="e">
        <f t="shared" si="420"/>
        <v>#VALUE!</v>
      </c>
      <c r="Q1922" s="1" t="e">
        <f t="shared" si="421"/>
        <v>#VALUE!</v>
      </c>
      <c r="R1922" s="1" t="e">
        <f t="shared" si="422"/>
        <v>#VALUE!</v>
      </c>
      <c r="S1922" s="1" t="e">
        <f t="shared" si="423"/>
        <v>#VALUE!</v>
      </c>
      <c r="T1922" s="1" t="e">
        <f t="shared" si="424"/>
        <v>#VALUE!</v>
      </c>
      <c r="U1922" s="26" t="e">
        <f t="shared" si="425"/>
        <v>#VALUE!</v>
      </c>
      <c r="V1922" s="26" t="e">
        <f t="shared" si="426"/>
        <v>#VALUE!</v>
      </c>
      <c r="W1922" s="1" t="e">
        <f t="shared" si="427"/>
        <v>#VALUE!</v>
      </c>
      <c r="X1922" s="26" t="e">
        <f t="shared" si="428"/>
        <v>#VALUE!</v>
      </c>
      <c r="Y1922" s="26" t="e">
        <f t="shared" si="429"/>
        <v>#VALUE!</v>
      </c>
      <c r="Z1922" s="1" t="e">
        <f t="shared" si="430"/>
        <v>#VALUE!</v>
      </c>
      <c r="AA1922"/>
      <c r="AB1922"/>
    </row>
    <row r="1923" spans="1:28" x14ac:dyDescent="0.55000000000000004">
      <c r="A1923" s="1">
        <f t="shared" ref="A1923:A1986" si="431">A1922+1</f>
        <v>1923</v>
      </c>
      <c r="B1923" t="s">
        <v>31</v>
      </c>
      <c r="C1923" t="s">
        <v>128</v>
      </c>
      <c r="D1923" t="s">
        <v>133</v>
      </c>
      <c r="E1923" t="s">
        <v>172</v>
      </c>
      <c r="G1923" t="s">
        <v>151</v>
      </c>
      <c r="I1923" t="s">
        <v>150</v>
      </c>
      <c r="K1923" t="s">
        <v>156</v>
      </c>
      <c r="M1923" t="s">
        <v>47</v>
      </c>
      <c r="N1923" s="1" t="e">
        <f t="shared" ref="N1923:N1986" si="432">VALUE(LEFT(H1923,1))</f>
        <v>#VALUE!</v>
      </c>
      <c r="O1923" s="1" t="e">
        <f t="shared" ref="O1923:O1986" si="433">VALUE(RIGHT(H1923,1))</f>
        <v>#VALUE!</v>
      </c>
      <c r="P1923" s="1" t="e">
        <f t="shared" ref="P1923:P1986" si="434">SUM(N1923,O1923)</f>
        <v>#VALUE!</v>
      </c>
      <c r="Q1923" s="1" t="e">
        <f t="shared" ref="Q1923:Q1986" si="435">IF(N1923&lt;&gt;O1923, 1, 0)</f>
        <v>#VALUE!</v>
      </c>
      <c r="R1923" s="1" t="e">
        <f t="shared" ref="R1923:R1986" si="436">IF(P1923&lt;=4,1,0)</f>
        <v>#VALUE!</v>
      </c>
      <c r="S1923" s="1" t="e">
        <f t="shared" ref="S1923:S1986" si="437">IF(AND(Q1923=1,R1923=1),1,0)</f>
        <v>#VALUE!</v>
      </c>
      <c r="T1923" s="1" t="e">
        <f t="shared" ref="T1923:T1986" si="438">IF(N1923&lt;=2,1,0)</f>
        <v>#VALUE!</v>
      </c>
      <c r="U1923" s="26" t="e">
        <f t="shared" ref="U1923:U1986" si="439">IF(AND(N1923&gt;=1,N1923&lt;=3),1,0)</f>
        <v>#VALUE!</v>
      </c>
      <c r="V1923" s="26" t="e">
        <f t="shared" ref="V1923:V1986" si="440">IF(AND(N1923&gt;=2,N1923&lt;=5),1,0)</f>
        <v>#VALUE!</v>
      </c>
      <c r="W1923" s="1" t="e">
        <f t="shared" ref="W1923:W1986" si="441">IF(O1923&lt;=2,1,0)</f>
        <v>#VALUE!</v>
      </c>
      <c r="X1923" s="26" t="e">
        <f t="shared" ref="X1923:X1986" si="442">IF(AND(O1923&gt;=1,O1923&lt;=3),1,0)</f>
        <v>#VALUE!</v>
      </c>
      <c r="Y1923" s="26" t="e">
        <f t="shared" ref="Y1923:Y1986" si="443">IF(AND(O1923&gt;=2,O1923&lt;=5),1,0)</f>
        <v>#VALUE!</v>
      </c>
      <c r="Z1923" s="1" t="e">
        <f t="shared" ref="Z1923:Z1986" si="444">IF(P1923&gt;=2,1,0)</f>
        <v>#VALUE!</v>
      </c>
      <c r="AA1923"/>
      <c r="AB1923"/>
    </row>
    <row r="1924" spans="1:28" x14ac:dyDescent="0.55000000000000004">
      <c r="A1924" s="1">
        <f t="shared" si="431"/>
        <v>1924</v>
      </c>
      <c r="B1924" t="s">
        <v>31</v>
      </c>
      <c r="C1924" t="s">
        <v>128</v>
      </c>
      <c r="D1924" t="s">
        <v>133</v>
      </c>
      <c r="E1924" t="s">
        <v>172</v>
      </c>
      <c r="G1924" t="s">
        <v>148</v>
      </c>
      <c r="I1924" t="s">
        <v>145</v>
      </c>
      <c r="K1924" t="s">
        <v>157</v>
      </c>
      <c r="M1924" t="s">
        <v>47</v>
      </c>
      <c r="N1924" s="1" t="e">
        <f t="shared" si="432"/>
        <v>#VALUE!</v>
      </c>
      <c r="O1924" s="1" t="e">
        <f t="shared" si="433"/>
        <v>#VALUE!</v>
      </c>
      <c r="P1924" s="1" t="e">
        <f t="shared" si="434"/>
        <v>#VALUE!</v>
      </c>
      <c r="Q1924" s="1" t="e">
        <f t="shared" si="435"/>
        <v>#VALUE!</v>
      </c>
      <c r="R1924" s="1" t="e">
        <f t="shared" si="436"/>
        <v>#VALUE!</v>
      </c>
      <c r="S1924" s="1" t="e">
        <f t="shared" si="437"/>
        <v>#VALUE!</v>
      </c>
      <c r="T1924" s="1" t="e">
        <f t="shared" si="438"/>
        <v>#VALUE!</v>
      </c>
      <c r="U1924" s="26" t="e">
        <f t="shared" si="439"/>
        <v>#VALUE!</v>
      </c>
      <c r="V1924" s="26" t="e">
        <f t="shared" si="440"/>
        <v>#VALUE!</v>
      </c>
      <c r="W1924" s="1" t="e">
        <f t="shared" si="441"/>
        <v>#VALUE!</v>
      </c>
      <c r="X1924" s="26" t="e">
        <f t="shared" si="442"/>
        <v>#VALUE!</v>
      </c>
      <c r="Y1924" s="26" t="e">
        <f t="shared" si="443"/>
        <v>#VALUE!</v>
      </c>
      <c r="Z1924" s="1" t="e">
        <f t="shared" si="444"/>
        <v>#VALUE!</v>
      </c>
      <c r="AA1924"/>
      <c r="AB1924"/>
    </row>
    <row r="1925" spans="1:28" x14ac:dyDescent="0.55000000000000004">
      <c r="A1925" s="1">
        <f t="shared" si="431"/>
        <v>1925</v>
      </c>
      <c r="B1925" t="s">
        <v>34</v>
      </c>
      <c r="C1925" t="s">
        <v>122</v>
      </c>
      <c r="D1925" t="s">
        <v>42</v>
      </c>
      <c r="E1925" t="s">
        <v>123</v>
      </c>
      <c r="G1925" t="s">
        <v>98</v>
      </c>
      <c r="I1925" t="s">
        <v>101</v>
      </c>
      <c r="K1925" t="s">
        <v>100</v>
      </c>
      <c r="M1925" t="s">
        <v>47</v>
      </c>
      <c r="N1925" s="1" t="e">
        <f t="shared" si="432"/>
        <v>#VALUE!</v>
      </c>
      <c r="O1925" s="1" t="e">
        <f t="shared" si="433"/>
        <v>#VALUE!</v>
      </c>
      <c r="P1925" s="1" t="e">
        <f t="shared" si="434"/>
        <v>#VALUE!</v>
      </c>
      <c r="Q1925" s="1" t="e">
        <f t="shared" si="435"/>
        <v>#VALUE!</v>
      </c>
      <c r="R1925" s="1" t="e">
        <f t="shared" si="436"/>
        <v>#VALUE!</v>
      </c>
      <c r="S1925" s="1" t="e">
        <f t="shared" si="437"/>
        <v>#VALUE!</v>
      </c>
      <c r="T1925" s="1" t="e">
        <f t="shared" si="438"/>
        <v>#VALUE!</v>
      </c>
      <c r="U1925" s="26" t="e">
        <f t="shared" si="439"/>
        <v>#VALUE!</v>
      </c>
      <c r="V1925" s="26" t="e">
        <f t="shared" si="440"/>
        <v>#VALUE!</v>
      </c>
      <c r="W1925" s="1" t="e">
        <f t="shared" si="441"/>
        <v>#VALUE!</v>
      </c>
      <c r="X1925" s="26" t="e">
        <f t="shared" si="442"/>
        <v>#VALUE!</v>
      </c>
      <c r="Y1925" s="26" t="e">
        <f t="shared" si="443"/>
        <v>#VALUE!</v>
      </c>
      <c r="Z1925" s="1" t="e">
        <f t="shared" si="444"/>
        <v>#VALUE!</v>
      </c>
      <c r="AA1925"/>
      <c r="AB1925"/>
    </row>
    <row r="1926" spans="1:28" x14ac:dyDescent="0.55000000000000004">
      <c r="A1926" s="1">
        <f t="shared" si="431"/>
        <v>1926</v>
      </c>
      <c r="B1926" t="s">
        <v>34</v>
      </c>
      <c r="C1926" t="s">
        <v>122</v>
      </c>
      <c r="D1926" t="s">
        <v>42</v>
      </c>
      <c r="E1926" t="s">
        <v>123</v>
      </c>
      <c r="G1926" t="s">
        <v>96</v>
      </c>
      <c r="I1926" t="s">
        <v>93</v>
      </c>
      <c r="K1926" t="s">
        <v>110</v>
      </c>
      <c r="M1926" t="s">
        <v>47</v>
      </c>
      <c r="N1926" s="1" t="e">
        <f t="shared" si="432"/>
        <v>#VALUE!</v>
      </c>
      <c r="O1926" s="1" t="e">
        <f t="shared" si="433"/>
        <v>#VALUE!</v>
      </c>
      <c r="P1926" s="1" t="e">
        <f t="shared" si="434"/>
        <v>#VALUE!</v>
      </c>
      <c r="Q1926" s="1" t="e">
        <f t="shared" si="435"/>
        <v>#VALUE!</v>
      </c>
      <c r="R1926" s="1" t="e">
        <f t="shared" si="436"/>
        <v>#VALUE!</v>
      </c>
      <c r="S1926" s="1" t="e">
        <f t="shared" si="437"/>
        <v>#VALUE!</v>
      </c>
      <c r="T1926" s="1" t="e">
        <f t="shared" si="438"/>
        <v>#VALUE!</v>
      </c>
      <c r="U1926" s="26" t="e">
        <f t="shared" si="439"/>
        <v>#VALUE!</v>
      </c>
      <c r="V1926" s="26" t="e">
        <f t="shared" si="440"/>
        <v>#VALUE!</v>
      </c>
      <c r="W1926" s="1" t="e">
        <f t="shared" si="441"/>
        <v>#VALUE!</v>
      </c>
      <c r="X1926" s="26" t="e">
        <f t="shared" si="442"/>
        <v>#VALUE!</v>
      </c>
      <c r="Y1926" s="26" t="e">
        <f t="shared" si="443"/>
        <v>#VALUE!</v>
      </c>
      <c r="Z1926" s="1" t="e">
        <f t="shared" si="444"/>
        <v>#VALUE!</v>
      </c>
      <c r="AA1926"/>
      <c r="AB1926"/>
    </row>
    <row r="1927" spans="1:28" x14ac:dyDescent="0.55000000000000004">
      <c r="A1927" s="1">
        <f t="shared" si="431"/>
        <v>1927</v>
      </c>
      <c r="B1927" t="s">
        <v>34</v>
      </c>
      <c r="C1927" t="s">
        <v>122</v>
      </c>
      <c r="D1927" t="s">
        <v>42</v>
      </c>
      <c r="E1927" t="s">
        <v>123</v>
      </c>
      <c r="G1927" t="s">
        <v>86</v>
      </c>
      <c r="I1927" t="s">
        <v>99</v>
      </c>
      <c r="K1927" t="s">
        <v>88</v>
      </c>
      <c r="M1927" t="s">
        <v>47</v>
      </c>
      <c r="N1927" s="1" t="e">
        <f t="shared" si="432"/>
        <v>#VALUE!</v>
      </c>
      <c r="O1927" s="1" t="e">
        <f t="shared" si="433"/>
        <v>#VALUE!</v>
      </c>
      <c r="P1927" s="1" t="e">
        <f t="shared" si="434"/>
        <v>#VALUE!</v>
      </c>
      <c r="Q1927" s="1" t="e">
        <f t="shared" si="435"/>
        <v>#VALUE!</v>
      </c>
      <c r="R1927" s="1" t="e">
        <f t="shared" si="436"/>
        <v>#VALUE!</v>
      </c>
      <c r="S1927" s="1" t="e">
        <f t="shared" si="437"/>
        <v>#VALUE!</v>
      </c>
      <c r="T1927" s="1" t="e">
        <f t="shared" si="438"/>
        <v>#VALUE!</v>
      </c>
      <c r="U1927" s="26" t="e">
        <f t="shared" si="439"/>
        <v>#VALUE!</v>
      </c>
      <c r="V1927" s="26" t="e">
        <f t="shared" si="440"/>
        <v>#VALUE!</v>
      </c>
      <c r="W1927" s="1" t="e">
        <f t="shared" si="441"/>
        <v>#VALUE!</v>
      </c>
      <c r="X1927" s="26" t="e">
        <f t="shared" si="442"/>
        <v>#VALUE!</v>
      </c>
      <c r="Y1927" s="26" t="e">
        <f t="shared" si="443"/>
        <v>#VALUE!</v>
      </c>
      <c r="Z1927" s="1" t="e">
        <f t="shared" si="444"/>
        <v>#VALUE!</v>
      </c>
      <c r="AA1927"/>
      <c r="AB1927"/>
    </row>
    <row r="1928" spans="1:28" x14ac:dyDescent="0.55000000000000004">
      <c r="A1928" s="1">
        <f t="shared" si="431"/>
        <v>1928</v>
      </c>
      <c r="B1928" t="s">
        <v>34</v>
      </c>
      <c r="C1928" t="s">
        <v>122</v>
      </c>
      <c r="D1928" t="s">
        <v>42</v>
      </c>
      <c r="E1928" t="s">
        <v>123</v>
      </c>
      <c r="G1928" t="s">
        <v>89</v>
      </c>
      <c r="I1928" t="s">
        <v>102</v>
      </c>
      <c r="K1928" t="s">
        <v>91</v>
      </c>
      <c r="M1928" t="s">
        <v>47</v>
      </c>
      <c r="N1928" s="1" t="e">
        <f t="shared" si="432"/>
        <v>#VALUE!</v>
      </c>
      <c r="O1928" s="1" t="e">
        <f t="shared" si="433"/>
        <v>#VALUE!</v>
      </c>
      <c r="P1928" s="1" t="e">
        <f t="shared" si="434"/>
        <v>#VALUE!</v>
      </c>
      <c r="Q1928" s="1" t="e">
        <f t="shared" si="435"/>
        <v>#VALUE!</v>
      </c>
      <c r="R1928" s="1" t="e">
        <f t="shared" si="436"/>
        <v>#VALUE!</v>
      </c>
      <c r="S1928" s="1" t="e">
        <f t="shared" si="437"/>
        <v>#VALUE!</v>
      </c>
      <c r="T1928" s="1" t="e">
        <f t="shared" si="438"/>
        <v>#VALUE!</v>
      </c>
      <c r="U1928" s="26" t="e">
        <f t="shared" si="439"/>
        <v>#VALUE!</v>
      </c>
      <c r="V1928" s="26" t="e">
        <f t="shared" si="440"/>
        <v>#VALUE!</v>
      </c>
      <c r="W1928" s="1" t="e">
        <f t="shared" si="441"/>
        <v>#VALUE!</v>
      </c>
      <c r="X1928" s="26" t="e">
        <f t="shared" si="442"/>
        <v>#VALUE!</v>
      </c>
      <c r="Y1928" s="26" t="e">
        <f t="shared" si="443"/>
        <v>#VALUE!</v>
      </c>
      <c r="Z1928" s="1" t="e">
        <f t="shared" si="444"/>
        <v>#VALUE!</v>
      </c>
      <c r="AA1928"/>
      <c r="AB1928"/>
    </row>
    <row r="1929" spans="1:28" x14ac:dyDescent="0.55000000000000004">
      <c r="A1929" s="1">
        <f t="shared" si="431"/>
        <v>1929</v>
      </c>
      <c r="B1929" t="s">
        <v>34</v>
      </c>
      <c r="C1929" t="s">
        <v>122</v>
      </c>
      <c r="D1929" t="s">
        <v>42</v>
      </c>
      <c r="E1929" t="s">
        <v>123</v>
      </c>
      <c r="G1929" t="s">
        <v>92</v>
      </c>
      <c r="I1929" t="s">
        <v>87</v>
      </c>
      <c r="K1929" t="s">
        <v>94</v>
      </c>
      <c r="M1929" t="s">
        <v>47</v>
      </c>
      <c r="N1929" s="1" t="e">
        <f t="shared" si="432"/>
        <v>#VALUE!</v>
      </c>
      <c r="O1929" s="1" t="e">
        <f t="shared" si="433"/>
        <v>#VALUE!</v>
      </c>
      <c r="P1929" s="1" t="e">
        <f t="shared" si="434"/>
        <v>#VALUE!</v>
      </c>
      <c r="Q1929" s="1" t="e">
        <f t="shared" si="435"/>
        <v>#VALUE!</v>
      </c>
      <c r="R1929" s="1" t="e">
        <f t="shared" si="436"/>
        <v>#VALUE!</v>
      </c>
      <c r="S1929" s="1" t="e">
        <f t="shared" si="437"/>
        <v>#VALUE!</v>
      </c>
      <c r="T1929" s="1" t="e">
        <f t="shared" si="438"/>
        <v>#VALUE!</v>
      </c>
      <c r="U1929" s="26" t="e">
        <f t="shared" si="439"/>
        <v>#VALUE!</v>
      </c>
      <c r="V1929" s="26" t="e">
        <f t="shared" si="440"/>
        <v>#VALUE!</v>
      </c>
      <c r="W1929" s="1" t="e">
        <f t="shared" si="441"/>
        <v>#VALUE!</v>
      </c>
      <c r="X1929" s="26" t="e">
        <f t="shared" si="442"/>
        <v>#VALUE!</v>
      </c>
      <c r="Y1929" s="26" t="e">
        <f t="shared" si="443"/>
        <v>#VALUE!</v>
      </c>
      <c r="Z1929" s="1" t="e">
        <f t="shared" si="444"/>
        <v>#VALUE!</v>
      </c>
      <c r="AA1929"/>
      <c r="AB1929"/>
    </row>
    <row r="1930" spans="1:28" x14ac:dyDescent="0.55000000000000004">
      <c r="A1930" s="1">
        <f t="shared" si="431"/>
        <v>1930</v>
      </c>
      <c r="B1930" t="s">
        <v>34</v>
      </c>
      <c r="C1930" t="s">
        <v>122</v>
      </c>
      <c r="D1930" t="s">
        <v>42</v>
      </c>
      <c r="E1930" t="s">
        <v>123</v>
      </c>
      <c r="G1930" t="s">
        <v>95</v>
      </c>
      <c r="I1930" t="s">
        <v>90</v>
      </c>
      <c r="K1930" t="s">
        <v>97</v>
      </c>
      <c r="M1930" t="s">
        <v>47</v>
      </c>
      <c r="N1930" s="1" t="e">
        <f t="shared" si="432"/>
        <v>#VALUE!</v>
      </c>
      <c r="O1930" s="1" t="e">
        <f t="shared" si="433"/>
        <v>#VALUE!</v>
      </c>
      <c r="P1930" s="1" t="e">
        <f t="shared" si="434"/>
        <v>#VALUE!</v>
      </c>
      <c r="Q1930" s="1" t="e">
        <f t="shared" si="435"/>
        <v>#VALUE!</v>
      </c>
      <c r="R1930" s="1" t="e">
        <f t="shared" si="436"/>
        <v>#VALUE!</v>
      </c>
      <c r="S1930" s="1" t="e">
        <f t="shared" si="437"/>
        <v>#VALUE!</v>
      </c>
      <c r="T1930" s="1" t="e">
        <f t="shared" si="438"/>
        <v>#VALUE!</v>
      </c>
      <c r="U1930" s="26" t="e">
        <f t="shared" si="439"/>
        <v>#VALUE!</v>
      </c>
      <c r="V1930" s="26" t="e">
        <f t="shared" si="440"/>
        <v>#VALUE!</v>
      </c>
      <c r="W1930" s="1" t="e">
        <f t="shared" si="441"/>
        <v>#VALUE!</v>
      </c>
      <c r="X1930" s="26" t="e">
        <f t="shared" si="442"/>
        <v>#VALUE!</v>
      </c>
      <c r="Y1930" s="26" t="e">
        <f t="shared" si="443"/>
        <v>#VALUE!</v>
      </c>
      <c r="Z1930" s="1" t="e">
        <f t="shared" si="444"/>
        <v>#VALUE!</v>
      </c>
      <c r="AA1930"/>
      <c r="AB1930"/>
    </row>
    <row r="1931" spans="1:28" x14ac:dyDescent="0.55000000000000004">
      <c r="A1931" s="1">
        <f t="shared" si="431"/>
        <v>1931</v>
      </c>
      <c r="B1931" t="s">
        <v>31</v>
      </c>
      <c r="C1931" t="s">
        <v>130</v>
      </c>
      <c r="D1931" t="s">
        <v>133</v>
      </c>
      <c r="E1931" t="s">
        <v>173</v>
      </c>
      <c r="G1931" t="s">
        <v>135</v>
      </c>
      <c r="I1931" t="s">
        <v>147</v>
      </c>
      <c r="K1931" t="s">
        <v>137</v>
      </c>
      <c r="M1931" t="s">
        <v>47</v>
      </c>
      <c r="N1931" s="1" t="e">
        <f t="shared" si="432"/>
        <v>#VALUE!</v>
      </c>
      <c r="O1931" s="1" t="e">
        <f t="shared" si="433"/>
        <v>#VALUE!</v>
      </c>
      <c r="P1931" s="1" t="e">
        <f t="shared" si="434"/>
        <v>#VALUE!</v>
      </c>
      <c r="Q1931" s="1" t="e">
        <f t="shared" si="435"/>
        <v>#VALUE!</v>
      </c>
      <c r="R1931" s="1" t="e">
        <f t="shared" si="436"/>
        <v>#VALUE!</v>
      </c>
      <c r="S1931" s="1" t="e">
        <f t="shared" si="437"/>
        <v>#VALUE!</v>
      </c>
      <c r="T1931" s="1" t="e">
        <f t="shared" si="438"/>
        <v>#VALUE!</v>
      </c>
      <c r="U1931" s="26" t="e">
        <f t="shared" si="439"/>
        <v>#VALUE!</v>
      </c>
      <c r="V1931" s="26" t="e">
        <f t="shared" si="440"/>
        <v>#VALUE!</v>
      </c>
      <c r="W1931" s="1" t="e">
        <f t="shared" si="441"/>
        <v>#VALUE!</v>
      </c>
      <c r="X1931" s="26" t="e">
        <f t="shared" si="442"/>
        <v>#VALUE!</v>
      </c>
      <c r="Y1931" s="26" t="e">
        <f t="shared" si="443"/>
        <v>#VALUE!</v>
      </c>
      <c r="Z1931" s="1" t="e">
        <f t="shared" si="444"/>
        <v>#VALUE!</v>
      </c>
      <c r="AA1931"/>
      <c r="AB1931"/>
    </row>
    <row r="1932" spans="1:28" x14ac:dyDescent="0.55000000000000004">
      <c r="A1932" s="1">
        <f t="shared" si="431"/>
        <v>1932</v>
      </c>
      <c r="B1932" t="s">
        <v>31</v>
      </c>
      <c r="C1932" t="s">
        <v>130</v>
      </c>
      <c r="D1932" t="s">
        <v>133</v>
      </c>
      <c r="E1932" t="s">
        <v>173</v>
      </c>
      <c r="G1932" t="s">
        <v>141</v>
      </c>
      <c r="I1932" t="s">
        <v>136</v>
      </c>
      <c r="K1932" t="s">
        <v>143</v>
      </c>
      <c r="M1932" t="s">
        <v>47</v>
      </c>
      <c r="N1932" s="1" t="e">
        <f t="shared" si="432"/>
        <v>#VALUE!</v>
      </c>
      <c r="O1932" s="1" t="e">
        <f t="shared" si="433"/>
        <v>#VALUE!</v>
      </c>
      <c r="P1932" s="1" t="e">
        <f t="shared" si="434"/>
        <v>#VALUE!</v>
      </c>
      <c r="Q1932" s="1" t="e">
        <f t="shared" si="435"/>
        <v>#VALUE!</v>
      </c>
      <c r="R1932" s="1" t="e">
        <f t="shared" si="436"/>
        <v>#VALUE!</v>
      </c>
      <c r="S1932" s="1" t="e">
        <f t="shared" si="437"/>
        <v>#VALUE!</v>
      </c>
      <c r="T1932" s="1" t="e">
        <f t="shared" si="438"/>
        <v>#VALUE!</v>
      </c>
      <c r="U1932" s="26" t="e">
        <f t="shared" si="439"/>
        <v>#VALUE!</v>
      </c>
      <c r="V1932" s="26" t="e">
        <f t="shared" si="440"/>
        <v>#VALUE!</v>
      </c>
      <c r="W1932" s="1" t="e">
        <f t="shared" si="441"/>
        <v>#VALUE!</v>
      </c>
      <c r="X1932" s="26" t="e">
        <f t="shared" si="442"/>
        <v>#VALUE!</v>
      </c>
      <c r="Y1932" s="26" t="e">
        <f t="shared" si="443"/>
        <v>#VALUE!</v>
      </c>
      <c r="Z1932" s="1" t="e">
        <f t="shared" si="444"/>
        <v>#VALUE!</v>
      </c>
      <c r="AA1932"/>
      <c r="AB1932"/>
    </row>
    <row r="1933" spans="1:28" x14ac:dyDescent="0.55000000000000004">
      <c r="A1933" s="1">
        <f t="shared" si="431"/>
        <v>1933</v>
      </c>
      <c r="B1933" t="s">
        <v>31</v>
      </c>
      <c r="C1933" t="s">
        <v>130</v>
      </c>
      <c r="D1933" t="s">
        <v>133</v>
      </c>
      <c r="E1933" t="s">
        <v>173</v>
      </c>
      <c r="G1933" t="s">
        <v>145</v>
      </c>
      <c r="I1933" t="s">
        <v>139</v>
      </c>
      <c r="K1933" t="s">
        <v>155</v>
      </c>
      <c r="M1933" t="s">
        <v>47</v>
      </c>
      <c r="N1933" s="1" t="e">
        <f t="shared" si="432"/>
        <v>#VALUE!</v>
      </c>
      <c r="O1933" s="1" t="e">
        <f t="shared" si="433"/>
        <v>#VALUE!</v>
      </c>
      <c r="P1933" s="1" t="e">
        <f t="shared" si="434"/>
        <v>#VALUE!</v>
      </c>
      <c r="Q1933" s="1" t="e">
        <f t="shared" si="435"/>
        <v>#VALUE!</v>
      </c>
      <c r="R1933" s="1" t="e">
        <f t="shared" si="436"/>
        <v>#VALUE!</v>
      </c>
      <c r="S1933" s="1" t="e">
        <f t="shared" si="437"/>
        <v>#VALUE!</v>
      </c>
      <c r="T1933" s="1" t="e">
        <f t="shared" si="438"/>
        <v>#VALUE!</v>
      </c>
      <c r="U1933" s="26" t="e">
        <f t="shared" si="439"/>
        <v>#VALUE!</v>
      </c>
      <c r="V1933" s="26" t="e">
        <f t="shared" si="440"/>
        <v>#VALUE!</v>
      </c>
      <c r="W1933" s="1" t="e">
        <f t="shared" si="441"/>
        <v>#VALUE!</v>
      </c>
      <c r="X1933" s="26" t="e">
        <f t="shared" si="442"/>
        <v>#VALUE!</v>
      </c>
      <c r="Y1933" s="26" t="e">
        <f t="shared" si="443"/>
        <v>#VALUE!</v>
      </c>
      <c r="Z1933" s="1" t="e">
        <f t="shared" si="444"/>
        <v>#VALUE!</v>
      </c>
      <c r="AA1933"/>
      <c r="AB1933"/>
    </row>
    <row r="1934" spans="1:28" x14ac:dyDescent="0.55000000000000004">
      <c r="A1934" s="1">
        <f t="shared" si="431"/>
        <v>1934</v>
      </c>
      <c r="B1934" t="s">
        <v>31</v>
      </c>
      <c r="C1934" t="s">
        <v>130</v>
      </c>
      <c r="D1934" t="s">
        <v>133</v>
      </c>
      <c r="E1934" t="s">
        <v>173</v>
      </c>
      <c r="G1934" t="s">
        <v>138</v>
      </c>
      <c r="I1934" t="s">
        <v>148</v>
      </c>
      <c r="K1934" t="s">
        <v>140</v>
      </c>
      <c r="M1934" t="s">
        <v>47</v>
      </c>
      <c r="N1934" s="1" t="e">
        <f t="shared" si="432"/>
        <v>#VALUE!</v>
      </c>
      <c r="O1934" s="1" t="e">
        <f t="shared" si="433"/>
        <v>#VALUE!</v>
      </c>
      <c r="P1934" s="1" t="e">
        <f t="shared" si="434"/>
        <v>#VALUE!</v>
      </c>
      <c r="Q1934" s="1" t="e">
        <f t="shared" si="435"/>
        <v>#VALUE!</v>
      </c>
      <c r="R1934" s="1" t="e">
        <f t="shared" si="436"/>
        <v>#VALUE!</v>
      </c>
      <c r="S1934" s="1" t="e">
        <f t="shared" si="437"/>
        <v>#VALUE!</v>
      </c>
      <c r="T1934" s="1" t="e">
        <f t="shared" si="438"/>
        <v>#VALUE!</v>
      </c>
      <c r="U1934" s="26" t="e">
        <f t="shared" si="439"/>
        <v>#VALUE!</v>
      </c>
      <c r="V1934" s="26" t="e">
        <f t="shared" si="440"/>
        <v>#VALUE!</v>
      </c>
      <c r="W1934" s="1" t="e">
        <f t="shared" si="441"/>
        <v>#VALUE!</v>
      </c>
      <c r="X1934" s="26" t="e">
        <f t="shared" si="442"/>
        <v>#VALUE!</v>
      </c>
      <c r="Y1934" s="26" t="e">
        <f t="shared" si="443"/>
        <v>#VALUE!</v>
      </c>
      <c r="Z1934" s="1" t="e">
        <f t="shared" si="444"/>
        <v>#VALUE!</v>
      </c>
      <c r="AA1934"/>
      <c r="AB1934"/>
    </row>
    <row r="1935" spans="1:28" x14ac:dyDescent="0.55000000000000004">
      <c r="A1935" s="1">
        <f t="shared" si="431"/>
        <v>1935</v>
      </c>
      <c r="B1935" t="s">
        <v>31</v>
      </c>
      <c r="C1935" t="s">
        <v>130</v>
      </c>
      <c r="D1935" t="s">
        <v>133</v>
      </c>
      <c r="E1935" t="s">
        <v>173</v>
      </c>
      <c r="G1935" t="s">
        <v>150</v>
      </c>
      <c r="I1935" t="s">
        <v>144</v>
      </c>
      <c r="K1935" t="s">
        <v>152</v>
      </c>
      <c r="M1935" t="s">
        <v>47</v>
      </c>
      <c r="N1935" s="1" t="e">
        <f t="shared" si="432"/>
        <v>#VALUE!</v>
      </c>
      <c r="O1935" s="1" t="e">
        <f t="shared" si="433"/>
        <v>#VALUE!</v>
      </c>
      <c r="P1935" s="1" t="e">
        <f t="shared" si="434"/>
        <v>#VALUE!</v>
      </c>
      <c r="Q1935" s="1" t="e">
        <f t="shared" si="435"/>
        <v>#VALUE!</v>
      </c>
      <c r="R1935" s="1" t="e">
        <f t="shared" si="436"/>
        <v>#VALUE!</v>
      </c>
      <c r="S1935" s="1" t="e">
        <f t="shared" si="437"/>
        <v>#VALUE!</v>
      </c>
      <c r="T1935" s="1" t="e">
        <f t="shared" si="438"/>
        <v>#VALUE!</v>
      </c>
      <c r="U1935" s="26" t="e">
        <f t="shared" si="439"/>
        <v>#VALUE!</v>
      </c>
      <c r="V1935" s="26" t="e">
        <f t="shared" si="440"/>
        <v>#VALUE!</v>
      </c>
      <c r="W1935" s="1" t="e">
        <f t="shared" si="441"/>
        <v>#VALUE!</v>
      </c>
      <c r="X1935" s="26" t="e">
        <f t="shared" si="442"/>
        <v>#VALUE!</v>
      </c>
      <c r="Y1935" s="26" t="e">
        <f t="shared" si="443"/>
        <v>#VALUE!</v>
      </c>
      <c r="Z1935" s="1" t="e">
        <f t="shared" si="444"/>
        <v>#VALUE!</v>
      </c>
      <c r="AA1935"/>
      <c r="AB1935"/>
    </row>
    <row r="1936" spans="1:28" x14ac:dyDescent="0.55000000000000004">
      <c r="A1936" s="1">
        <f t="shared" si="431"/>
        <v>1936</v>
      </c>
      <c r="B1936" t="s">
        <v>31</v>
      </c>
      <c r="C1936" t="s">
        <v>130</v>
      </c>
      <c r="D1936" t="s">
        <v>133</v>
      </c>
      <c r="E1936" t="s">
        <v>173</v>
      </c>
      <c r="G1936" t="s">
        <v>142</v>
      </c>
      <c r="I1936" t="s">
        <v>151</v>
      </c>
      <c r="K1936" t="s">
        <v>160</v>
      </c>
      <c r="M1936" t="s">
        <v>47</v>
      </c>
      <c r="N1936" s="1" t="e">
        <f t="shared" si="432"/>
        <v>#VALUE!</v>
      </c>
      <c r="O1936" s="1" t="e">
        <f t="shared" si="433"/>
        <v>#VALUE!</v>
      </c>
      <c r="P1936" s="1" t="e">
        <f t="shared" si="434"/>
        <v>#VALUE!</v>
      </c>
      <c r="Q1936" s="1" t="e">
        <f t="shared" si="435"/>
        <v>#VALUE!</v>
      </c>
      <c r="R1936" s="1" t="e">
        <f t="shared" si="436"/>
        <v>#VALUE!</v>
      </c>
      <c r="S1936" s="1" t="e">
        <f t="shared" si="437"/>
        <v>#VALUE!</v>
      </c>
      <c r="T1936" s="1" t="e">
        <f t="shared" si="438"/>
        <v>#VALUE!</v>
      </c>
      <c r="U1936" s="26" t="e">
        <f t="shared" si="439"/>
        <v>#VALUE!</v>
      </c>
      <c r="V1936" s="26" t="e">
        <f t="shared" si="440"/>
        <v>#VALUE!</v>
      </c>
      <c r="W1936" s="1" t="e">
        <f t="shared" si="441"/>
        <v>#VALUE!</v>
      </c>
      <c r="X1936" s="26" t="e">
        <f t="shared" si="442"/>
        <v>#VALUE!</v>
      </c>
      <c r="Y1936" s="26" t="e">
        <f t="shared" si="443"/>
        <v>#VALUE!</v>
      </c>
      <c r="Z1936" s="1" t="e">
        <f t="shared" si="444"/>
        <v>#VALUE!</v>
      </c>
      <c r="AA1936"/>
      <c r="AB1936"/>
    </row>
    <row r="1937" spans="1:28" x14ac:dyDescent="0.55000000000000004">
      <c r="A1937" s="1">
        <f t="shared" si="431"/>
        <v>1937</v>
      </c>
      <c r="B1937" t="s">
        <v>34</v>
      </c>
      <c r="C1937" t="s">
        <v>124</v>
      </c>
      <c r="D1937" t="s">
        <v>42</v>
      </c>
      <c r="E1937" t="s">
        <v>125</v>
      </c>
      <c r="G1937" t="s">
        <v>90</v>
      </c>
      <c r="I1937" t="s">
        <v>92</v>
      </c>
      <c r="K1937" t="s">
        <v>108</v>
      </c>
      <c r="M1937" t="s">
        <v>47</v>
      </c>
      <c r="N1937" s="1" t="e">
        <f t="shared" si="432"/>
        <v>#VALUE!</v>
      </c>
      <c r="O1937" s="1" t="e">
        <f t="shared" si="433"/>
        <v>#VALUE!</v>
      </c>
      <c r="P1937" s="1" t="e">
        <f t="shared" si="434"/>
        <v>#VALUE!</v>
      </c>
      <c r="Q1937" s="1" t="e">
        <f t="shared" si="435"/>
        <v>#VALUE!</v>
      </c>
      <c r="R1937" s="1" t="e">
        <f t="shared" si="436"/>
        <v>#VALUE!</v>
      </c>
      <c r="S1937" s="1" t="e">
        <f t="shared" si="437"/>
        <v>#VALUE!</v>
      </c>
      <c r="T1937" s="1" t="e">
        <f t="shared" si="438"/>
        <v>#VALUE!</v>
      </c>
      <c r="U1937" s="26" t="e">
        <f t="shared" si="439"/>
        <v>#VALUE!</v>
      </c>
      <c r="V1937" s="26" t="e">
        <f t="shared" si="440"/>
        <v>#VALUE!</v>
      </c>
      <c r="W1937" s="1" t="e">
        <f t="shared" si="441"/>
        <v>#VALUE!</v>
      </c>
      <c r="X1937" s="26" t="e">
        <f t="shared" si="442"/>
        <v>#VALUE!</v>
      </c>
      <c r="Y1937" s="26" t="e">
        <f t="shared" si="443"/>
        <v>#VALUE!</v>
      </c>
      <c r="Z1937" s="1" t="e">
        <f t="shared" si="444"/>
        <v>#VALUE!</v>
      </c>
      <c r="AA1937"/>
      <c r="AB1937"/>
    </row>
    <row r="1938" spans="1:28" x14ac:dyDescent="0.55000000000000004">
      <c r="A1938" s="1">
        <f t="shared" si="431"/>
        <v>1938</v>
      </c>
      <c r="B1938" t="s">
        <v>34</v>
      </c>
      <c r="C1938" t="s">
        <v>124</v>
      </c>
      <c r="D1938" t="s">
        <v>42</v>
      </c>
      <c r="E1938" t="s">
        <v>125</v>
      </c>
      <c r="G1938" t="s">
        <v>102</v>
      </c>
      <c r="I1938" t="s">
        <v>95</v>
      </c>
      <c r="K1938" t="s">
        <v>106</v>
      </c>
      <c r="M1938" t="s">
        <v>47</v>
      </c>
      <c r="N1938" s="1" t="e">
        <f t="shared" si="432"/>
        <v>#VALUE!</v>
      </c>
      <c r="O1938" s="1" t="e">
        <f t="shared" si="433"/>
        <v>#VALUE!</v>
      </c>
      <c r="P1938" s="1" t="e">
        <f t="shared" si="434"/>
        <v>#VALUE!</v>
      </c>
      <c r="Q1938" s="1" t="e">
        <f t="shared" si="435"/>
        <v>#VALUE!</v>
      </c>
      <c r="R1938" s="1" t="e">
        <f t="shared" si="436"/>
        <v>#VALUE!</v>
      </c>
      <c r="S1938" s="1" t="e">
        <f t="shared" si="437"/>
        <v>#VALUE!</v>
      </c>
      <c r="T1938" s="1" t="e">
        <f t="shared" si="438"/>
        <v>#VALUE!</v>
      </c>
      <c r="U1938" s="26" t="e">
        <f t="shared" si="439"/>
        <v>#VALUE!</v>
      </c>
      <c r="V1938" s="26" t="e">
        <f t="shared" si="440"/>
        <v>#VALUE!</v>
      </c>
      <c r="W1938" s="1" t="e">
        <f t="shared" si="441"/>
        <v>#VALUE!</v>
      </c>
      <c r="X1938" s="26" t="e">
        <f t="shared" si="442"/>
        <v>#VALUE!</v>
      </c>
      <c r="Y1938" s="26" t="e">
        <f t="shared" si="443"/>
        <v>#VALUE!</v>
      </c>
      <c r="Z1938" s="1" t="e">
        <f t="shared" si="444"/>
        <v>#VALUE!</v>
      </c>
      <c r="AA1938"/>
      <c r="AB1938"/>
    </row>
    <row r="1939" spans="1:28" x14ac:dyDescent="0.55000000000000004">
      <c r="A1939" s="1">
        <f t="shared" si="431"/>
        <v>1939</v>
      </c>
      <c r="B1939" t="s">
        <v>34</v>
      </c>
      <c r="C1939" t="s">
        <v>124</v>
      </c>
      <c r="D1939" t="s">
        <v>42</v>
      </c>
      <c r="E1939" t="s">
        <v>125</v>
      </c>
      <c r="G1939" t="s">
        <v>101</v>
      </c>
      <c r="I1939" t="s">
        <v>96</v>
      </c>
      <c r="K1939" t="s">
        <v>103</v>
      </c>
      <c r="M1939" t="s">
        <v>47</v>
      </c>
      <c r="N1939" s="1" t="e">
        <f t="shared" si="432"/>
        <v>#VALUE!</v>
      </c>
      <c r="O1939" s="1" t="e">
        <f t="shared" si="433"/>
        <v>#VALUE!</v>
      </c>
      <c r="P1939" s="1" t="e">
        <f t="shared" si="434"/>
        <v>#VALUE!</v>
      </c>
      <c r="Q1939" s="1" t="e">
        <f t="shared" si="435"/>
        <v>#VALUE!</v>
      </c>
      <c r="R1939" s="1" t="e">
        <f t="shared" si="436"/>
        <v>#VALUE!</v>
      </c>
      <c r="S1939" s="1" t="e">
        <f t="shared" si="437"/>
        <v>#VALUE!</v>
      </c>
      <c r="T1939" s="1" t="e">
        <f t="shared" si="438"/>
        <v>#VALUE!</v>
      </c>
      <c r="U1939" s="26" t="e">
        <f t="shared" si="439"/>
        <v>#VALUE!</v>
      </c>
      <c r="V1939" s="26" t="e">
        <f t="shared" si="440"/>
        <v>#VALUE!</v>
      </c>
      <c r="W1939" s="1" t="e">
        <f t="shared" si="441"/>
        <v>#VALUE!</v>
      </c>
      <c r="X1939" s="26" t="e">
        <f t="shared" si="442"/>
        <v>#VALUE!</v>
      </c>
      <c r="Y1939" s="26" t="e">
        <f t="shared" si="443"/>
        <v>#VALUE!</v>
      </c>
      <c r="Z1939" s="1" t="e">
        <f t="shared" si="444"/>
        <v>#VALUE!</v>
      </c>
      <c r="AA1939"/>
      <c r="AB1939"/>
    </row>
    <row r="1940" spans="1:28" x14ac:dyDescent="0.55000000000000004">
      <c r="A1940" s="1">
        <f t="shared" si="431"/>
        <v>1940</v>
      </c>
      <c r="B1940" t="s">
        <v>34</v>
      </c>
      <c r="C1940" t="s">
        <v>124</v>
      </c>
      <c r="D1940" t="s">
        <v>42</v>
      </c>
      <c r="E1940" t="s">
        <v>125</v>
      </c>
      <c r="G1940" t="s">
        <v>99</v>
      </c>
      <c r="I1940" t="s">
        <v>98</v>
      </c>
      <c r="K1940" t="s">
        <v>107</v>
      </c>
      <c r="M1940" t="s">
        <v>47</v>
      </c>
      <c r="N1940" s="1" t="e">
        <f t="shared" si="432"/>
        <v>#VALUE!</v>
      </c>
      <c r="O1940" s="1" t="e">
        <f t="shared" si="433"/>
        <v>#VALUE!</v>
      </c>
      <c r="P1940" s="1" t="e">
        <f t="shared" si="434"/>
        <v>#VALUE!</v>
      </c>
      <c r="Q1940" s="1" t="e">
        <f t="shared" si="435"/>
        <v>#VALUE!</v>
      </c>
      <c r="R1940" s="1" t="e">
        <f t="shared" si="436"/>
        <v>#VALUE!</v>
      </c>
      <c r="S1940" s="1" t="e">
        <f t="shared" si="437"/>
        <v>#VALUE!</v>
      </c>
      <c r="T1940" s="1" t="e">
        <f t="shared" si="438"/>
        <v>#VALUE!</v>
      </c>
      <c r="U1940" s="26" t="e">
        <f t="shared" si="439"/>
        <v>#VALUE!</v>
      </c>
      <c r="V1940" s="26" t="e">
        <f t="shared" si="440"/>
        <v>#VALUE!</v>
      </c>
      <c r="W1940" s="1" t="e">
        <f t="shared" si="441"/>
        <v>#VALUE!</v>
      </c>
      <c r="X1940" s="26" t="e">
        <f t="shared" si="442"/>
        <v>#VALUE!</v>
      </c>
      <c r="Y1940" s="26" t="e">
        <f t="shared" si="443"/>
        <v>#VALUE!</v>
      </c>
      <c r="Z1940" s="1" t="e">
        <f t="shared" si="444"/>
        <v>#VALUE!</v>
      </c>
      <c r="AA1940"/>
      <c r="AB1940"/>
    </row>
    <row r="1941" spans="1:28" x14ac:dyDescent="0.55000000000000004">
      <c r="A1941" s="1">
        <f t="shared" si="431"/>
        <v>1941</v>
      </c>
      <c r="B1941" t="s">
        <v>34</v>
      </c>
      <c r="C1941" t="s">
        <v>124</v>
      </c>
      <c r="D1941" t="s">
        <v>42</v>
      </c>
      <c r="E1941" t="s">
        <v>125</v>
      </c>
      <c r="G1941" t="s">
        <v>93</v>
      </c>
      <c r="I1941" t="s">
        <v>86</v>
      </c>
      <c r="K1941" t="s">
        <v>113</v>
      </c>
      <c r="M1941" t="s">
        <v>47</v>
      </c>
      <c r="N1941" s="1" t="e">
        <f t="shared" si="432"/>
        <v>#VALUE!</v>
      </c>
      <c r="O1941" s="1" t="e">
        <f t="shared" si="433"/>
        <v>#VALUE!</v>
      </c>
      <c r="P1941" s="1" t="e">
        <f t="shared" si="434"/>
        <v>#VALUE!</v>
      </c>
      <c r="Q1941" s="1" t="e">
        <f t="shared" si="435"/>
        <v>#VALUE!</v>
      </c>
      <c r="R1941" s="1" t="e">
        <f t="shared" si="436"/>
        <v>#VALUE!</v>
      </c>
      <c r="S1941" s="1" t="e">
        <f t="shared" si="437"/>
        <v>#VALUE!</v>
      </c>
      <c r="T1941" s="1" t="e">
        <f t="shared" si="438"/>
        <v>#VALUE!</v>
      </c>
      <c r="U1941" s="26" t="e">
        <f t="shared" si="439"/>
        <v>#VALUE!</v>
      </c>
      <c r="V1941" s="26" t="e">
        <f t="shared" si="440"/>
        <v>#VALUE!</v>
      </c>
      <c r="W1941" s="1" t="e">
        <f t="shared" si="441"/>
        <v>#VALUE!</v>
      </c>
      <c r="X1941" s="26" t="e">
        <f t="shared" si="442"/>
        <v>#VALUE!</v>
      </c>
      <c r="Y1941" s="26" t="e">
        <f t="shared" si="443"/>
        <v>#VALUE!</v>
      </c>
      <c r="Z1941" s="1" t="e">
        <f t="shared" si="444"/>
        <v>#VALUE!</v>
      </c>
      <c r="AA1941"/>
      <c r="AB1941"/>
    </row>
    <row r="1942" spans="1:28" x14ac:dyDescent="0.55000000000000004">
      <c r="A1942" s="1">
        <f t="shared" si="431"/>
        <v>1942</v>
      </c>
      <c r="B1942" t="s">
        <v>34</v>
      </c>
      <c r="C1942" t="s">
        <v>124</v>
      </c>
      <c r="D1942" t="s">
        <v>42</v>
      </c>
      <c r="E1942" t="s">
        <v>125</v>
      </c>
      <c r="G1942" t="s">
        <v>87</v>
      </c>
      <c r="I1942" t="s">
        <v>89</v>
      </c>
      <c r="K1942" t="s">
        <v>109</v>
      </c>
      <c r="M1942" t="s">
        <v>47</v>
      </c>
      <c r="N1942" s="1" t="e">
        <f t="shared" si="432"/>
        <v>#VALUE!</v>
      </c>
      <c r="O1942" s="1" t="e">
        <f t="shared" si="433"/>
        <v>#VALUE!</v>
      </c>
      <c r="P1942" s="1" t="e">
        <f t="shared" si="434"/>
        <v>#VALUE!</v>
      </c>
      <c r="Q1942" s="1" t="e">
        <f t="shared" si="435"/>
        <v>#VALUE!</v>
      </c>
      <c r="R1942" s="1" t="e">
        <f t="shared" si="436"/>
        <v>#VALUE!</v>
      </c>
      <c r="S1942" s="1" t="e">
        <f t="shared" si="437"/>
        <v>#VALUE!</v>
      </c>
      <c r="T1942" s="1" t="e">
        <f t="shared" si="438"/>
        <v>#VALUE!</v>
      </c>
      <c r="U1942" s="26" t="e">
        <f t="shared" si="439"/>
        <v>#VALUE!</v>
      </c>
      <c r="V1942" s="26" t="e">
        <f t="shared" si="440"/>
        <v>#VALUE!</v>
      </c>
      <c r="W1942" s="1" t="e">
        <f t="shared" si="441"/>
        <v>#VALUE!</v>
      </c>
      <c r="X1942" s="26" t="e">
        <f t="shared" si="442"/>
        <v>#VALUE!</v>
      </c>
      <c r="Y1942" s="26" t="e">
        <f t="shared" si="443"/>
        <v>#VALUE!</v>
      </c>
      <c r="Z1942" s="1" t="e">
        <f t="shared" si="444"/>
        <v>#VALUE!</v>
      </c>
      <c r="AA1942"/>
      <c r="AB1942"/>
    </row>
    <row r="1943" spans="1:28" x14ac:dyDescent="0.55000000000000004">
      <c r="A1943" s="1">
        <f t="shared" si="431"/>
        <v>1943</v>
      </c>
      <c r="B1943" t="s">
        <v>34</v>
      </c>
      <c r="C1943" t="s">
        <v>126</v>
      </c>
      <c r="D1943" t="s">
        <v>42</v>
      </c>
      <c r="E1943" t="s">
        <v>127</v>
      </c>
      <c r="G1943" t="s">
        <v>92</v>
      </c>
      <c r="I1943" t="s">
        <v>96</v>
      </c>
      <c r="K1943" t="s">
        <v>94</v>
      </c>
      <c r="M1943" t="s">
        <v>47</v>
      </c>
      <c r="N1943" s="1" t="e">
        <f t="shared" si="432"/>
        <v>#VALUE!</v>
      </c>
      <c r="O1943" s="1" t="e">
        <f t="shared" si="433"/>
        <v>#VALUE!</v>
      </c>
      <c r="P1943" s="1" t="e">
        <f t="shared" si="434"/>
        <v>#VALUE!</v>
      </c>
      <c r="Q1943" s="1" t="e">
        <f t="shared" si="435"/>
        <v>#VALUE!</v>
      </c>
      <c r="R1943" s="1" t="e">
        <f t="shared" si="436"/>
        <v>#VALUE!</v>
      </c>
      <c r="S1943" s="1" t="e">
        <f t="shared" si="437"/>
        <v>#VALUE!</v>
      </c>
      <c r="T1943" s="1" t="e">
        <f t="shared" si="438"/>
        <v>#VALUE!</v>
      </c>
      <c r="U1943" s="26" t="e">
        <f t="shared" si="439"/>
        <v>#VALUE!</v>
      </c>
      <c r="V1943" s="26" t="e">
        <f t="shared" si="440"/>
        <v>#VALUE!</v>
      </c>
      <c r="W1943" s="1" t="e">
        <f t="shared" si="441"/>
        <v>#VALUE!</v>
      </c>
      <c r="X1943" s="26" t="e">
        <f t="shared" si="442"/>
        <v>#VALUE!</v>
      </c>
      <c r="Y1943" s="26" t="e">
        <f t="shared" si="443"/>
        <v>#VALUE!</v>
      </c>
      <c r="Z1943" s="1" t="e">
        <f t="shared" si="444"/>
        <v>#VALUE!</v>
      </c>
      <c r="AA1943"/>
      <c r="AB1943"/>
    </row>
    <row r="1944" spans="1:28" x14ac:dyDescent="0.55000000000000004">
      <c r="A1944" s="1">
        <f t="shared" si="431"/>
        <v>1944</v>
      </c>
      <c r="B1944" t="s">
        <v>34</v>
      </c>
      <c r="C1944" t="s">
        <v>126</v>
      </c>
      <c r="D1944" t="s">
        <v>42</v>
      </c>
      <c r="E1944" t="s">
        <v>127</v>
      </c>
      <c r="G1944" t="s">
        <v>98</v>
      </c>
      <c r="I1944" t="s">
        <v>90</v>
      </c>
      <c r="K1944" t="s">
        <v>100</v>
      </c>
      <c r="M1944" t="s">
        <v>47</v>
      </c>
      <c r="N1944" s="1" t="e">
        <f t="shared" si="432"/>
        <v>#VALUE!</v>
      </c>
      <c r="O1944" s="1" t="e">
        <f t="shared" si="433"/>
        <v>#VALUE!</v>
      </c>
      <c r="P1944" s="1" t="e">
        <f t="shared" si="434"/>
        <v>#VALUE!</v>
      </c>
      <c r="Q1944" s="1" t="e">
        <f t="shared" si="435"/>
        <v>#VALUE!</v>
      </c>
      <c r="R1944" s="1" t="e">
        <f t="shared" si="436"/>
        <v>#VALUE!</v>
      </c>
      <c r="S1944" s="1" t="e">
        <f t="shared" si="437"/>
        <v>#VALUE!</v>
      </c>
      <c r="T1944" s="1" t="e">
        <f t="shared" si="438"/>
        <v>#VALUE!</v>
      </c>
      <c r="U1944" s="26" t="e">
        <f t="shared" si="439"/>
        <v>#VALUE!</v>
      </c>
      <c r="V1944" s="26" t="e">
        <f t="shared" si="440"/>
        <v>#VALUE!</v>
      </c>
      <c r="W1944" s="1" t="e">
        <f t="shared" si="441"/>
        <v>#VALUE!</v>
      </c>
      <c r="X1944" s="26" t="e">
        <f t="shared" si="442"/>
        <v>#VALUE!</v>
      </c>
      <c r="Y1944" s="26" t="e">
        <f t="shared" si="443"/>
        <v>#VALUE!</v>
      </c>
      <c r="Z1944" s="1" t="e">
        <f t="shared" si="444"/>
        <v>#VALUE!</v>
      </c>
      <c r="AA1944"/>
      <c r="AB1944"/>
    </row>
    <row r="1945" spans="1:28" x14ac:dyDescent="0.55000000000000004">
      <c r="A1945" s="1">
        <f t="shared" si="431"/>
        <v>1945</v>
      </c>
      <c r="B1945" t="s">
        <v>34</v>
      </c>
      <c r="C1945" t="s">
        <v>126</v>
      </c>
      <c r="D1945" t="s">
        <v>42</v>
      </c>
      <c r="E1945" t="s">
        <v>127</v>
      </c>
      <c r="G1945" t="s">
        <v>102</v>
      </c>
      <c r="I1945" t="s">
        <v>93</v>
      </c>
      <c r="K1945" t="s">
        <v>106</v>
      </c>
      <c r="M1945" t="s">
        <v>47</v>
      </c>
      <c r="N1945" s="1" t="e">
        <f t="shared" si="432"/>
        <v>#VALUE!</v>
      </c>
      <c r="O1945" s="1" t="e">
        <f t="shared" si="433"/>
        <v>#VALUE!</v>
      </c>
      <c r="P1945" s="1" t="e">
        <f t="shared" si="434"/>
        <v>#VALUE!</v>
      </c>
      <c r="Q1945" s="1" t="e">
        <f t="shared" si="435"/>
        <v>#VALUE!</v>
      </c>
      <c r="R1945" s="1" t="e">
        <f t="shared" si="436"/>
        <v>#VALUE!</v>
      </c>
      <c r="S1945" s="1" t="e">
        <f t="shared" si="437"/>
        <v>#VALUE!</v>
      </c>
      <c r="T1945" s="1" t="e">
        <f t="shared" si="438"/>
        <v>#VALUE!</v>
      </c>
      <c r="U1945" s="26" t="e">
        <f t="shared" si="439"/>
        <v>#VALUE!</v>
      </c>
      <c r="V1945" s="26" t="e">
        <f t="shared" si="440"/>
        <v>#VALUE!</v>
      </c>
      <c r="W1945" s="1" t="e">
        <f t="shared" si="441"/>
        <v>#VALUE!</v>
      </c>
      <c r="X1945" s="26" t="e">
        <f t="shared" si="442"/>
        <v>#VALUE!</v>
      </c>
      <c r="Y1945" s="26" t="e">
        <f t="shared" si="443"/>
        <v>#VALUE!</v>
      </c>
      <c r="Z1945" s="1" t="e">
        <f t="shared" si="444"/>
        <v>#VALUE!</v>
      </c>
      <c r="AA1945"/>
      <c r="AB1945"/>
    </row>
    <row r="1946" spans="1:28" x14ac:dyDescent="0.55000000000000004">
      <c r="A1946" s="1">
        <f t="shared" si="431"/>
        <v>1946</v>
      </c>
      <c r="B1946" t="s">
        <v>34</v>
      </c>
      <c r="C1946" t="s">
        <v>126</v>
      </c>
      <c r="D1946" t="s">
        <v>42</v>
      </c>
      <c r="E1946" t="s">
        <v>127</v>
      </c>
      <c r="G1946" t="s">
        <v>86</v>
      </c>
      <c r="I1946" t="s">
        <v>101</v>
      </c>
      <c r="K1946" t="s">
        <v>88</v>
      </c>
      <c r="M1946" t="s">
        <v>47</v>
      </c>
      <c r="N1946" s="1" t="e">
        <f t="shared" si="432"/>
        <v>#VALUE!</v>
      </c>
      <c r="O1946" s="1" t="e">
        <f t="shared" si="433"/>
        <v>#VALUE!</v>
      </c>
      <c r="P1946" s="1" t="e">
        <f t="shared" si="434"/>
        <v>#VALUE!</v>
      </c>
      <c r="Q1946" s="1" t="e">
        <f t="shared" si="435"/>
        <v>#VALUE!</v>
      </c>
      <c r="R1946" s="1" t="e">
        <f t="shared" si="436"/>
        <v>#VALUE!</v>
      </c>
      <c r="S1946" s="1" t="e">
        <f t="shared" si="437"/>
        <v>#VALUE!</v>
      </c>
      <c r="T1946" s="1" t="e">
        <f t="shared" si="438"/>
        <v>#VALUE!</v>
      </c>
      <c r="U1946" s="26" t="e">
        <f t="shared" si="439"/>
        <v>#VALUE!</v>
      </c>
      <c r="V1946" s="26" t="e">
        <f t="shared" si="440"/>
        <v>#VALUE!</v>
      </c>
      <c r="W1946" s="1" t="e">
        <f t="shared" si="441"/>
        <v>#VALUE!</v>
      </c>
      <c r="X1946" s="26" t="e">
        <f t="shared" si="442"/>
        <v>#VALUE!</v>
      </c>
      <c r="Y1946" s="26" t="e">
        <f t="shared" si="443"/>
        <v>#VALUE!</v>
      </c>
      <c r="Z1946" s="1" t="e">
        <f t="shared" si="444"/>
        <v>#VALUE!</v>
      </c>
      <c r="AA1946"/>
      <c r="AB1946"/>
    </row>
    <row r="1947" spans="1:28" x14ac:dyDescent="0.55000000000000004">
      <c r="A1947" s="1">
        <f t="shared" si="431"/>
        <v>1947</v>
      </c>
      <c r="B1947" t="s">
        <v>34</v>
      </c>
      <c r="C1947" t="s">
        <v>126</v>
      </c>
      <c r="D1947" t="s">
        <v>42</v>
      </c>
      <c r="E1947" t="s">
        <v>127</v>
      </c>
      <c r="G1947" t="s">
        <v>89</v>
      </c>
      <c r="I1947" t="s">
        <v>99</v>
      </c>
      <c r="K1947" t="s">
        <v>91</v>
      </c>
      <c r="M1947" t="s">
        <v>47</v>
      </c>
      <c r="N1947" s="1" t="e">
        <f t="shared" si="432"/>
        <v>#VALUE!</v>
      </c>
      <c r="O1947" s="1" t="e">
        <f t="shared" si="433"/>
        <v>#VALUE!</v>
      </c>
      <c r="P1947" s="1" t="e">
        <f t="shared" si="434"/>
        <v>#VALUE!</v>
      </c>
      <c r="Q1947" s="1" t="e">
        <f t="shared" si="435"/>
        <v>#VALUE!</v>
      </c>
      <c r="R1947" s="1" t="e">
        <f t="shared" si="436"/>
        <v>#VALUE!</v>
      </c>
      <c r="S1947" s="1" t="e">
        <f t="shared" si="437"/>
        <v>#VALUE!</v>
      </c>
      <c r="T1947" s="1" t="e">
        <f t="shared" si="438"/>
        <v>#VALUE!</v>
      </c>
      <c r="U1947" s="26" t="e">
        <f t="shared" si="439"/>
        <v>#VALUE!</v>
      </c>
      <c r="V1947" s="26" t="e">
        <f t="shared" si="440"/>
        <v>#VALUE!</v>
      </c>
      <c r="W1947" s="1" t="e">
        <f t="shared" si="441"/>
        <v>#VALUE!</v>
      </c>
      <c r="X1947" s="26" t="e">
        <f t="shared" si="442"/>
        <v>#VALUE!</v>
      </c>
      <c r="Y1947" s="26" t="e">
        <f t="shared" si="443"/>
        <v>#VALUE!</v>
      </c>
      <c r="Z1947" s="1" t="e">
        <f t="shared" si="444"/>
        <v>#VALUE!</v>
      </c>
      <c r="AA1947"/>
      <c r="AB1947"/>
    </row>
    <row r="1948" spans="1:28" x14ac:dyDescent="0.55000000000000004">
      <c r="A1948" s="1">
        <f t="shared" si="431"/>
        <v>1948</v>
      </c>
      <c r="B1948" t="s">
        <v>34</v>
      </c>
      <c r="C1948" t="s">
        <v>126</v>
      </c>
      <c r="D1948" t="s">
        <v>42</v>
      </c>
      <c r="E1948" t="s">
        <v>127</v>
      </c>
      <c r="G1948" t="s">
        <v>95</v>
      </c>
      <c r="I1948" t="s">
        <v>87</v>
      </c>
      <c r="K1948" t="s">
        <v>97</v>
      </c>
      <c r="M1948" t="s">
        <v>47</v>
      </c>
      <c r="N1948" s="1" t="e">
        <f t="shared" si="432"/>
        <v>#VALUE!</v>
      </c>
      <c r="O1948" s="1" t="e">
        <f t="shared" si="433"/>
        <v>#VALUE!</v>
      </c>
      <c r="P1948" s="1" t="e">
        <f t="shared" si="434"/>
        <v>#VALUE!</v>
      </c>
      <c r="Q1948" s="1" t="e">
        <f t="shared" si="435"/>
        <v>#VALUE!</v>
      </c>
      <c r="R1948" s="1" t="e">
        <f t="shared" si="436"/>
        <v>#VALUE!</v>
      </c>
      <c r="S1948" s="1" t="e">
        <f t="shared" si="437"/>
        <v>#VALUE!</v>
      </c>
      <c r="T1948" s="1" t="e">
        <f t="shared" si="438"/>
        <v>#VALUE!</v>
      </c>
      <c r="U1948" s="26" t="e">
        <f t="shared" si="439"/>
        <v>#VALUE!</v>
      </c>
      <c r="V1948" s="26" t="e">
        <f t="shared" si="440"/>
        <v>#VALUE!</v>
      </c>
      <c r="W1948" s="1" t="e">
        <f t="shared" si="441"/>
        <v>#VALUE!</v>
      </c>
      <c r="X1948" s="26" t="e">
        <f t="shared" si="442"/>
        <v>#VALUE!</v>
      </c>
      <c r="Y1948" s="26" t="e">
        <f t="shared" si="443"/>
        <v>#VALUE!</v>
      </c>
      <c r="Z1948" s="1" t="e">
        <f t="shared" si="444"/>
        <v>#VALUE!</v>
      </c>
      <c r="AA1948"/>
      <c r="AB1948"/>
    </row>
    <row r="1949" spans="1:28" x14ac:dyDescent="0.55000000000000004">
      <c r="A1949" s="1">
        <f t="shared" si="431"/>
        <v>1949</v>
      </c>
      <c r="B1949" t="s">
        <v>34</v>
      </c>
      <c r="C1949" t="s">
        <v>128</v>
      </c>
      <c r="D1949" t="s">
        <v>42</v>
      </c>
      <c r="E1949" t="s">
        <v>129</v>
      </c>
      <c r="G1949" t="s">
        <v>93</v>
      </c>
      <c r="I1949" t="s">
        <v>92</v>
      </c>
      <c r="K1949" t="s">
        <v>113</v>
      </c>
      <c r="M1949" t="s">
        <v>47</v>
      </c>
      <c r="N1949" s="1" t="e">
        <f t="shared" si="432"/>
        <v>#VALUE!</v>
      </c>
      <c r="O1949" s="1" t="e">
        <f t="shared" si="433"/>
        <v>#VALUE!</v>
      </c>
      <c r="P1949" s="1" t="e">
        <f t="shared" si="434"/>
        <v>#VALUE!</v>
      </c>
      <c r="Q1949" s="1" t="e">
        <f t="shared" si="435"/>
        <v>#VALUE!</v>
      </c>
      <c r="R1949" s="1" t="e">
        <f t="shared" si="436"/>
        <v>#VALUE!</v>
      </c>
      <c r="S1949" s="1" t="e">
        <f t="shared" si="437"/>
        <v>#VALUE!</v>
      </c>
      <c r="T1949" s="1" t="e">
        <f t="shared" si="438"/>
        <v>#VALUE!</v>
      </c>
      <c r="U1949" s="26" t="e">
        <f t="shared" si="439"/>
        <v>#VALUE!</v>
      </c>
      <c r="V1949" s="26" t="e">
        <f t="shared" si="440"/>
        <v>#VALUE!</v>
      </c>
      <c r="W1949" s="1" t="e">
        <f t="shared" si="441"/>
        <v>#VALUE!</v>
      </c>
      <c r="X1949" s="26" t="e">
        <f t="shared" si="442"/>
        <v>#VALUE!</v>
      </c>
      <c r="Y1949" s="26" t="e">
        <f t="shared" si="443"/>
        <v>#VALUE!</v>
      </c>
      <c r="Z1949" s="1" t="e">
        <f t="shared" si="444"/>
        <v>#VALUE!</v>
      </c>
      <c r="AA1949"/>
      <c r="AB1949"/>
    </row>
    <row r="1950" spans="1:28" x14ac:dyDescent="0.55000000000000004">
      <c r="A1950" s="1">
        <f t="shared" si="431"/>
        <v>1950</v>
      </c>
      <c r="B1950" t="s">
        <v>34</v>
      </c>
      <c r="C1950" t="s">
        <v>128</v>
      </c>
      <c r="D1950" t="s">
        <v>42</v>
      </c>
      <c r="E1950" t="s">
        <v>129</v>
      </c>
      <c r="G1950" t="s">
        <v>86</v>
      </c>
      <c r="I1950" t="s">
        <v>98</v>
      </c>
      <c r="K1950" t="s">
        <v>88</v>
      </c>
      <c r="M1950" t="s">
        <v>47</v>
      </c>
      <c r="N1950" s="1" t="e">
        <f t="shared" si="432"/>
        <v>#VALUE!</v>
      </c>
      <c r="O1950" s="1" t="e">
        <f t="shared" si="433"/>
        <v>#VALUE!</v>
      </c>
      <c r="P1950" s="1" t="e">
        <f t="shared" si="434"/>
        <v>#VALUE!</v>
      </c>
      <c r="Q1950" s="1" t="e">
        <f t="shared" si="435"/>
        <v>#VALUE!</v>
      </c>
      <c r="R1950" s="1" t="e">
        <f t="shared" si="436"/>
        <v>#VALUE!</v>
      </c>
      <c r="S1950" s="1" t="e">
        <f t="shared" si="437"/>
        <v>#VALUE!</v>
      </c>
      <c r="T1950" s="1" t="e">
        <f t="shared" si="438"/>
        <v>#VALUE!</v>
      </c>
      <c r="U1950" s="26" t="e">
        <f t="shared" si="439"/>
        <v>#VALUE!</v>
      </c>
      <c r="V1950" s="26" t="e">
        <f t="shared" si="440"/>
        <v>#VALUE!</v>
      </c>
      <c r="W1950" s="1" t="e">
        <f t="shared" si="441"/>
        <v>#VALUE!</v>
      </c>
      <c r="X1950" s="26" t="e">
        <f t="shared" si="442"/>
        <v>#VALUE!</v>
      </c>
      <c r="Y1950" s="26" t="e">
        <f t="shared" si="443"/>
        <v>#VALUE!</v>
      </c>
      <c r="Z1950" s="1" t="e">
        <f t="shared" si="444"/>
        <v>#VALUE!</v>
      </c>
      <c r="AA1950"/>
      <c r="AB1950"/>
    </row>
    <row r="1951" spans="1:28" x14ac:dyDescent="0.55000000000000004">
      <c r="A1951" s="1">
        <f t="shared" si="431"/>
        <v>1951</v>
      </c>
      <c r="B1951" t="s">
        <v>34</v>
      </c>
      <c r="C1951" t="s">
        <v>128</v>
      </c>
      <c r="D1951" t="s">
        <v>42</v>
      </c>
      <c r="E1951" t="s">
        <v>129</v>
      </c>
      <c r="G1951" t="s">
        <v>96</v>
      </c>
      <c r="I1951" t="s">
        <v>95</v>
      </c>
      <c r="K1951" t="s">
        <v>110</v>
      </c>
      <c r="M1951" t="s">
        <v>47</v>
      </c>
      <c r="N1951" s="1" t="e">
        <f t="shared" si="432"/>
        <v>#VALUE!</v>
      </c>
      <c r="O1951" s="1" t="e">
        <f t="shared" si="433"/>
        <v>#VALUE!</v>
      </c>
      <c r="P1951" s="1" t="e">
        <f t="shared" si="434"/>
        <v>#VALUE!</v>
      </c>
      <c r="Q1951" s="1" t="e">
        <f t="shared" si="435"/>
        <v>#VALUE!</v>
      </c>
      <c r="R1951" s="1" t="e">
        <f t="shared" si="436"/>
        <v>#VALUE!</v>
      </c>
      <c r="S1951" s="1" t="e">
        <f t="shared" si="437"/>
        <v>#VALUE!</v>
      </c>
      <c r="T1951" s="1" t="e">
        <f t="shared" si="438"/>
        <v>#VALUE!</v>
      </c>
      <c r="U1951" s="26" t="e">
        <f t="shared" si="439"/>
        <v>#VALUE!</v>
      </c>
      <c r="V1951" s="26" t="e">
        <f t="shared" si="440"/>
        <v>#VALUE!</v>
      </c>
      <c r="W1951" s="1" t="e">
        <f t="shared" si="441"/>
        <v>#VALUE!</v>
      </c>
      <c r="X1951" s="26" t="e">
        <f t="shared" si="442"/>
        <v>#VALUE!</v>
      </c>
      <c r="Y1951" s="26" t="e">
        <f t="shared" si="443"/>
        <v>#VALUE!</v>
      </c>
      <c r="Z1951" s="1" t="e">
        <f t="shared" si="444"/>
        <v>#VALUE!</v>
      </c>
      <c r="AA1951"/>
      <c r="AB1951"/>
    </row>
    <row r="1952" spans="1:28" x14ac:dyDescent="0.55000000000000004">
      <c r="A1952" s="1">
        <f t="shared" si="431"/>
        <v>1952</v>
      </c>
      <c r="B1952" t="s">
        <v>34</v>
      </c>
      <c r="C1952" t="s">
        <v>128</v>
      </c>
      <c r="D1952" t="s">
        <v>42</v>
      </c>
      <c r="E1952" t="s">
        <v>129</v>
      </c>
      <c r="G1952" t="s">
        <v>101</v>
      </c>
      <c r="I1952" t="s">
        <v>89</v>
      </c>
      <c r="K1952" t="s">
        <v>103</v>
      </c>
      <c r="M1952" t="s">
        <v>47</v>
      </c>
      <c r="N1952" s="1" t="e">
        <f t="shared" si="432"/>
        <v>#VALUE!</v>
      </c>
      <c r="O1952" s="1" t="e">
        <f t="shared" si="433"/>
        <v>#VALUE!</v>
      </c>
      <c r="P1952" s="1" t="e">
        <f t="shared" si="434"/>
        <v>#VALUE!</v>
      </c>
      <c r="Q1952" s="1" t="e">
        <f t="shared" si="435"/>
        <v>#VALUE!</v>
      </c>
      <c r="R1952" s="1" t="e">
        <f t="shared" si="436"/>
        <v>#VALUE!</v>
      </c>
      <c r="S1952" s="1" t="e">
        <f t="shared" si="437"/>
        <v>#VALUE!</v>
      </c>
      <c r="T1952" s="1" t="e">
        <f t="shared" si="438"/>
        <v>#VALUE!</v>
      </c>
      <c r="U1952" s="26" t="e">
        <f t="shared" si="439"/>
        <v>#VALUE!</v>
      </c>
      <c r="V1952" s="26" t="e">
        <f t="shared" si="440"/>
        <v>#VALUE!</v>
      </c>
      <c r="W1952" s="1" t="e">
        <f t="shared" si="441"/>
        <v>#VALUE!</v>
      </c>
      <c r="X1952" s="26" t="e">
        <f t="shared" si="442"/>
        <v>#VALUE!</v>
      </c>
      <c r="Y1952" s="26" t="e">
        <f t="shared" si="443"/>
        <v>#VALUE!</v>
      </c>
      <c r="Z1952" s="1" t="e">
        <f t="shared" si="444"/>
        <v>#VALUE!</v>
      </c>
      <c r="AA1952"/>
      <c r="AB1952"/>
    </row>
    <row r="1953" spans="1:28" x14ac:dyDescent="0.55000000000000004">
      <c r="A1953" s="1">
        <f t="shared" si="431"/>
        <v>1953</v>
      </c>
      <c r="B1953" t="s">
        <v>34</v>
      </c>
      <c r="C1953" t="s">
        <v>128</v>
      </c>
      <c r="D1953" t="s">
        <v>42</v>
      </c>
      <c r="E1953" t="s">
        <v>129</v>
      </c>
      <c r="G1953" t="s">
        <v>99</v>
      </c>
      <c r="I1953" t="s">
        <v>90</v>
      </c>
      <c r="K1953" t="s">
        <v>107</v>
      </c>
      <c r="M1953" t="s">
        <v>47</v>
      </c>
      <c r="N1953" s="1" t="e">
        <f t="shared" si="432"/>
        <v>#VALUE!</v>
      </c>
      <c r="O1953" s="1" t="e">
        <f t="shared" si="433"/>
        <v>#VALUE!</v>
      </c>
      <c r="P1953" s="1" t="e">
        <f t="shared" si="434"/>
        <v>#VALUE!</v>
      </c>
      <c r="Q1953" s="1" t="e">
        <f t="shared" si="435"/>
        <v>#VALUE!</v>
      </c>
      <c r="R1953" s="1" t="e">
        <f t="shared" si="436"/>
        <v>#VALUE!</v>
      </c>
      <c r="S1953" s="1" t="e">
        <f t="shared" si="437"/>
        <v>#VALUE!</v>
      </c>
      <c r="T1953" s="1" t="e">
        <f t="shared" si="438"/>
        <v>#VALUE!</v>
      </c>
      <c r="U1953" s="26" t="e">
        <f t="shared" si="439"/>
        <v>#VALUE!</v>
      </c>
      <c r="V1953" s="26" t="e">
        <f t="shared" si="440"/>
        <v>#VALUE!</v>
      </c>
      <c r="W1953" s="1" t="e">
        <f t="shared" si="441"/>
        <v>#VALUE!</v>
      </c>
      <c r="X1953" s="26" t="e">
        <f t="shared" si="442"/>
        <v>#VALUE!</v>
      </c>
      <c r="Y1953" s="26" t="e">
        <f t="shared" si="443"/>
        <v>#VALUE!</v>
      </c>
      <c r="Z1953" s="1" t="e">
        <f t="shared" si="444"/>
        <v>#VALUE!</v>
      </c>
      <c r="AA1953"/>
      <c r="AB1953"/>
    </row>
    <row r="1954" spans="1:28" x14ac:dyDescent="0.55000000000000004">
      <c r="A1954" s="1">
        <f t="shared" si="431"/>
        <v>1954</v>
      </c>
      <c r="B1954" t="s">
        <v>34</v>
      </c>
      <c r="C1954" t="s">
        <v>128</v>
      </c>
      <c r="D1954" t="s">
        <v>42</v>
      </c>
      <c r="E1954" t="s">
        <v>129</v>
      </c>
      <c r="G1954" t="s">
        <v>87</v>
      </c>
      <c r="I1954" t="s">
        <v>102</v>
      </c>
      <c r="K1954" t="s">
        <v>109</v>
      </c>
      <c r="M1954" t="s">
        <v>47</v>
      </c>
      <c r="N1954" s="1" t="e">
        <f t="shared" si="432"/>
        <v>#VALUE!</v>
      </c>
      <c r="O1954" s="1" t="e">
        <f t="shared" si="433"/>
        <v>#VALUE!</v>
      </c>
      <c r="P1954" s="1" t="e">
        <f t="shared" si="434"/>
        <v>#VALUE!</v>
      </c>
      <c r="Q1954" s="1" t="e">
        <f t="shared" si="435"/>
        <v>#VALUE!</v>
      </c>
      <c r="R1954" s="1" t="e">
        <f t="shared" si="436"/>
        <v>#VALUE!</v>
      </c>
      <c r="S1954" s="1" t="e">
        <f t="shared" si="437"/>
        <v>#VALUE!</v>
      </c>
      <c r="T1954" s="1" t="e">
        <f t="shared" si="438"/>
        <v>#VALUE!</v>
      </c>
      <c r="U1954" s="26" t="e">
        <f t="shared" si="439"/>
        <v>#VALUE!</v>
      </c>
      <c r="V1954" s="26" t="e">
        <f t="shared" si="440"/>
        <v>#VALUE!</v>
      </c>
      <c r="W1954" s="1" t="e">
        <f t="shared" si="441"/>
        <v>#VALUE!</v>
      </c>
      <c r="X1954" s="26" t="e">
        <f t="shared" si="442"/>
        <v>#VALUE!</v>
      </c>
      <c r="Y1954" s="26" t="e">
        <f t="shared" si="443"/>
        <v>#VALUE!</v>
      </c>
      <c r="Z1954" s="1" t="e">
        <f t="shared" si="444"/>
        <v>#VALUE!</v>
      </c>
      <c r="AA1954"/>
      <c r="AB1954"/>
    </row>
    <row r="1955" spans="1:28" x14ac:dyDescent="0.55000000000000004">
      <c r="A1955" s="1">
        <f t="shared" si="431"/>
        <v>1955</v>
      </c>
      <c r="B1955" t="s">
        <v>34</v>
      </c>
      <c r="C1955" t="s">
        <v>130</v>
      </c>
      <c r="D1955" t="s">
        <v>42</v>
      </c>
      <c r="E1955" t="s">
        <v>131</v>
      </c>
      <c r="G1955" t="s">
        <v>95</v>
      </c>
      <c r="I1955" t="s">
        <v>86</v>
      </c>
      <c r="K1955" t="s">
        <v>97</v>
      </c>
      <c r="M1955" t="s">
        <v>47</v>
      </c>
      <c r="N1955" s="1" t="e">
        <f t="shared" si="432"/>
        <v>#VALUE!</v>
      </c>
      <c r="O1955" s="1" t="e">
        <f t="shared" si="433"/>
        <v>#VALUE!</v>
      </c>
      <c r="P1955" s="1" t="e">
        <f t="shared" si="434"/>
        <v>#VALUE!</v>
      </c>
      <c r="Q1955" s="1" t="e">
        <f t="shared" si="435"/>
        <v>#VALUE!</v>
      </c>
      <c r="R1955" s="1" t="e">
        <f t="shared" si="436"/>
        <v>#VALUE!</v>
      </c>
      <c r="S1955" s="1" t="e">
        <f t="shared" si="437"/>
        <v>#VALUE!</v>
      </c>
      <c r="T1955" s="1" t="e">
        <f t="shared" si="438"/>
        <v>#VALUE!</v>
      </c>
      <c r="U1955" s="26" t="e">
        <f t="shared" si="439"/>
        <v>#VALUE!</v>
      </c>
      <c r="V1955" s="26" t="e">
        <f t="shared" si="440"/>
        <v>#VALUE!</v>
      </c>
      <c r="W1955" s="1" t="e">
        <f t="shared" si="441"/>
        <v>#VALUE!</v>
      </c>
      <c r="X1955" s="26" t="e">
        <f t="shared" si="442"/>
        <v>#VALUE!</v>
      </c>
      <c r="Y1955" s="26" t="e">
        <f t="shared" si="443"/>
        <v>#VALUE!</v>
      </c>
      <c r="Z1955" s="1" t="e">
        <f t="shared" si="444"/>
        <v>#VALUE!</v>
      </c>
      <c r="AA1955"/>
      <c r="AB1955"/>
    </row>
    <row r="1956" spans="1:28" x14ac:dyDescent="0.55000000000000004">
      <c r="A1956" s="1">
        <f t="shared" si="431"/>
        <v>1956</v>
      </c>
      <c r="B1956" t="s">
        <v>34</v>
      </c>
      <c r="C1956" t="s">
        <v>130</v>
      </c>
      <c r="D1956" t="s">
        <v>42</v>
      </c>
      <c r="E1956" t="s">
        <v>131</v>
      </c>
      <c r="G1956" t="s">
        <v>102</v>
      </c>
      <c r="I1956" t="s">
        <v>101</v>
      </c>
      <c r="K1956" t="s">
        <v>106</v>
      </c>
      <c r="M1956" t="s">
        <v>47</v>
      </c>
      <c r="N1956" s="1" t="e">
        <f t="shared" si="432"/>
        <v>#VALUE!</v>
      </c>
      <c r="O1956" s="1" t="e">
        <f t="shared" si="433"/>
        <v>#VALUE!</v>
      </c>
      <c r="P1956" s="1" t="e">
        <f t="shared" si="434"/>
        <v>#VALUE!</v>
      </c>
      <c r="Q1956" s="1" t="e">
        <f t="shared" si="435"/>
        <v>#VALUE!</v>
      </c>
      <c r="R1956" s="1" t="e">
        <f t="shared" si="436"/>
        <v>#VALUE!</v>
      </c>
      <c r="S1956" s="1" t="e">
        <f t="shared" si="437"/>
        <v>#VALUE!</v>
      </c>
      <c r="T1956" s="1" t="e">
        <f t="shared" si="438"/>
        <v>#VALUE!</v>
      </c>
      <c r="U1956" s="26" t="e">
        <f t="shared" si="439"/>
        <v>#VALUE!</v>
      </c>
      <c r="V1956" s="26" t="e">
        <f t="shared" si="440"/>
        <v>#VALUE!</v>
      </c>
      <c r="W1956" s="1" t="e">
        <f t="shared" si="441"/>
        <v>#VALUE!</v>
      </c>
      <c r="X1956" s="26" t="e">
        <f t="shared" si="442"/>
        <v>#VALUE!</v>
      </c>
      <c r="Y1956" s="26" t="e">
        <f t="shared" si="443"/>
        <v>#VALUE!</v>
      </c>
      <c r="Z1956" s="1" t="e">
        <f t="shared" si="444"/>
        <v>#VALUE!</v>
      </c>
      <c r="AA1956"/>
      <c r="AB1956"/>
    </row>
    <row r="1957" spans="1:28" x14ac:dyDescent="0.55000000000000004">
      <c r="A1957" s="1">
        <f t="shared" si="431"/>
        <v>1957</v>
      </c>
      <c r="B1957" t="s">
        <v>34</v>
      </c>
      <c r="C1957" t="s">
        <v>130</v>
      </c>
      <c r="D1957" t="s">
        <v>42</v>
      </c>
      <c r="E1957" t="s">
        <v>131</v>
      </c>
      <c r="G1957" t="s">
        <v>98</v>
      </c>
      <c r="I1957" t="s">
        <v>96</v>
      </c>
      <c r="K1957" t="s">
        <v>100</v>
      </c>
      <c r="M1957" t="s">
        <v>47</v>
      </c>
      <c r="N1957" s="1" t="e">
        <f t="shared" si="432"/>
        <v>#VALUE!</v>
      </c>
      <c r="O1957" s="1" t="e">
        <f t="shared" si="433"/>
        <v>#VALUE!</v>
      </c>
      <c r="P1957" s="1" t="e">
        <f t="shared" si="434"/>
        <v>#VALUE!</v>
      </c>
      <c r="Q1957" s="1" t="e">
        <f t="shared" si="435"/>
        <v>#VALUE!</v>
      </c>
      <c r="R1957" s="1" t="e">
        <f t="shared" si="436"/>
        <v>#VALUE!</v>
      </c>
      <c r="S1957" s="1" t="e">
        <f t="shared" si="437"/>
        <v>#VALUE!</v>
      </c>
      <c r="T1957" s="1" t="e">
        <f t="shared" si="438"/>
        <v>#VALUE!</v>
      </c>
      <c r="U1957" s="26" t="e">
        <f t="shared" si="439"/>
        <v>#VALUE!</v>
      </c>
      <c r="V1957" s="26" t="e">
        <f t="shared" si="440"/>
        <v>#VALUE!</v>
      </c>
      <c r="W1957" s="1" t="e">
        <f t="shared" si="441"/>
        <v>#VALUE!</v>
      </c>
      <c r="X1957" s="26" t="e">
        <f t="shared" si="442"/>
        <v>#VALUE!</v>
      </c>
      <c r="Y1957" s="26" t="e">
        <f t="shared" si="443"/>
        <v>#VALUE!</v>
      </c>
      <c r="Z1957" s="1" t="e">
        <f t="shared" si="444"/>
        <v>#VALUE!</v>
      </c>
      <c r="AA1957"/>
      <c r="AB1957"/>
    </row>
    <row r="1958" spans="1:28" x14ac:dyDescent="0.55000000000000004">
      <c r="A1958" s="1">
        <f t="shared" si="431"/>
        <v>1958</v>
      </c>
      <c r="B1958" t="s">
        <v>34</v>
      </c>
      <c r="C1958" t="s">
        <v>130</v>
      </c>
      <c r="D1958" t="s">
        <v>42</v>
      </c>
      <c r="E1958" t="s">
        <v>131</v>
      </c>
      <c r="G1958" t="s">
        <v>89</v>
      </c>
      <c r="I1958" t="s">
        <v>93</v>
      </c>
      <c r="K1958" t="s">
        <v>91</v>
      </c>
      <c r="M1958" t="s">
        <v>47</v>
      </c>
      <c r="N1958" s="1" t="e">
        <f t="shared" si="432"/>
        <v>#VALUE!</v>
      </c>
      <c r="O1958" s="1" t="e">
        <f t="shared" si="433"/>
        <v>#VALUE!</v>
      </c>
      <c r="P1958" s="1" t="e">
        <f t="shared" si="434"/>
        <v>#VALUE!</v>
      </c>
      <c r="Q1958" s="1" t="e">
        <f t="shared" si="435"/>
        <v>#VALUE!</v>
      </c>
      <c r="R1958" s="1" t="e">
        <f t="shared" si="436"/>
        <v>#VALUE!</v>
      </c>
      <c r="S1958" s="1" t="e">
        <f t="shared" si="437"/>
        <v>#VALUE!</v>
      </c>
      <c r="T1958" s="1" t="e">
        <f t="shared" si="438"/>
        <v>#VALUE!</v>
      </c>
      <c r="U1958" s="26" t="e">
        <f t="shared" si="439"/>
        <v>#VALUE!</v>
      </c>
      <c r="V1958" s="26" t="e">
        <f t="shared" si="440"/>
        <v>#VALUE!</v>
      </c>
      <c r="W1958" s="1" t="e">
        <f t="shared" si="441"/>
        <v>#VALUE!</v>
      </c>
      <c r="X1958" s="26" t="e">
        <f t="shared" si="442"/>
        <v>#VALUE!</v>
      </c>
      <c r="Y1958" s="26" t="e">
        <f t="shared" si="443"/>
        <v>#VALUE!</v>
      </c>
      <c r="Z1958" s="1" t="e">
        <f t="shared" si="444"/>
        <v>#VALUE!</v>
      </c>
      <c r="AA1958"/>
      <c r="AB1958"/>
    </row>
    <row r="1959" spans="1:28" x14ac:dyDescent="0.55000000000000004">
      <c r="A1959" s="1">
        <f t="shared" si="431"/>
        <v>1959</v>
      </c>
      <c r="B1959" t="s">
        <v>34</v>
      </c>
      <c r="C1959" t="s">
        <v>130</v>
      </c>
      <c r="D1959" t="s">
        <v>42</v>
      </c>
      <c r="E1959" t="s">
        <v>131</v>
      </c>
      <c r="G1959" t="s">
        <v>92</v>
      </c>
      <c r="I1959" t="s">
        <v>99</v>
      </c>
      <c r="K1959" t="s">
        <v>94</v>
      </c>
      <c r="M1959" t="s">
        <v>47</v>
      </c>
      <c r="N1959" s="1" t="e">
        <f t="shared" si="432"/>
        <v>#VALUE!</v>
      </c>
      <c r="O1959" s="1" t="e">
        <f t="shared" si="433"/>
        <v>#VALUE!</v>
      </c>
      <c r="P1959" s="1" t="e">
        <f t="shared" si="434"/>
        <v>#VALUE!</v>
      </c>
      <c r="Q1959" s="1" t="e">
        <f t="shared" si="435"/>
        <v>#VALUE!</v>
      </c>
      <c r="R1959" s="1" t="e">
        <f t="shared" si="436"/>
        <v>#VALUE!</v>
      </c>
      <c r="S1959" s="1" t="e">
        <f t="shared" si="437"/>
        <v>#VALUE!</v>
      </c>
      <c r="T1959" s="1" t="e">
        <f t="shared" si="438"/>
        <v>#VALUE!</v>
      </c>
      <c r="U1959" s="26" t="e">
        <f t="shared" si="439"/>
        <v>#VALUE!</v>
      </c>
      <c r="V1959" s="26" t="e">
        <f t="shared" si="440"/>
        <v>#VALUE!</v>
      </c>
      <c r="W1959" s="1" t="e">
        <f t="shared" si="441"/>
        <v>#VALUE!</v>
      </c>
      <c r="X1959" s="26" t="e">
        <f t="shared" si="442"/>
        <v>#VALUE!</v>
      </c>
      <c r="Y1959" s="26" t="e">
        <f t="shared" si="443"/>
        <v>#VALUE!</v>
      </c>
      <c r="Z1959" s="1" t="e">
        <f t="shared" si="444"/>
        <v>#VALUE!</v>
      </c>
      <c r="AA1959"/>
      <c r="AB1959"/>
    </row>
    <row r="1960" spans="1:28" x14ac:dyDescent="0.55000000000000004">
      <c r="A1960" s="1">
        <f t="shared" si="431"/>
        <v>1960</v>
      </c>
      <c r="B1960" t="s">
        <v>34</v>
      </c>
      <c r="C1960" t="s">
        <v>130</v>
      </c>
      <c r="D1960" t="s">
        <v>42</v>
      </c>
      <c r="E1960" t="s">
        <v>131</v>
      </c>
      <c r="G1960" t="s">
        <v>90</v>
      </c>
      <c r="I1960" t="s">
        <v>87</v>
      </c>
      <c r="K1960" t="s">
        <v>108</v>
      </c>
      <c r="M1960" t="s">
        <v>47</v>
      </c>
      <c r="N1960" s="1" t="e">
        <f t="shared" si="432"/>
        <v>#VALUE!</v>
      </c>
      <c r="O1960" s="1" t="e">
        <f t="shared" si="433"/>
        <v>#VALUE!</v>
      </c>
      <c r="P1960" s="1" t="e">
        <f t="shared" si="434"/>
        <v>#VALUE!</v>
      </c>
      <c r="Q1960" s="1" t="e">
        <f t="shared" si="435"/>
        <v>#VALUE!</v>
      </c>
      <c r="R1960" s="1" t="e">
        <f t="shared" si="436"/>
        <v>#VALUE!</v>
      </c>
      <c r="S1960" s="1" t="e">
        <f t="shared" si="437"/>
        <v>#VALUE!</v>
      </c>
      <c r="T1960" s="1" t="e">
        <f t="shared" si="438"/>
        <v>#VALUE!</v>
      </c>
      <c r="U1960" s="26" t="e">
        <f t="shared" si="439"/>
        <v>#VALUE!</v>
      </c>
      <c r="V1960" s="26" t="e">
        <f t="shared" si="440"/>
        <v>#VALUE!</v>
      </c>
      <c r="W1960" s="1" t="e">
        <f t="shared" si="441"/>
        <v>#VALUE!</v>
      </c>
      <c r="X1960" s="26" t="e">
        <f t="shared" si="442"/>
        <v>#VALUE!</v>
      </c>
      <c r="Y1960" s="26" t="e">
        <f t="shared" si="443"/>
        <v>#VALUE!</v>
      </c>
      <c r="Z1960" s="1" t="e">
        <f t="shared" si="444"/>
        <v>#VALUE!</v>
      </c>
      <c r="AA1960"/>
      <c r="AB1960"/>
    </row>
    <row r="1961" spans="1:28" x14ac:dyDescent="0.55000000000000004">
      <c r="A1961" s="1">
        <f t="shared" si="431"/>
        <v>1961</v>
      </c>
      <c r="B1961" t="s">
        <v>32</v>
      </c>
      <c r="D1961" t="s">
        <v>19</v>
      </c>
      <c r="E1961" t="s">
        <v>20</v>
      </c>
      <c r="F1961" t="s">
        <v>21</v>
      </c>
      <c r="G1961" t="s">
        <v>22</v>
      </c>
      <c r="H1961" t="s">
        <v>23</v>
      </c>
      <c r="I1961" t="s">
        <v>24</v>
      </c>
      <c r="J1961" t="s">
        <v>25</v>
      </c>
      <c r="K1961" t="s">
        <v>26</v>
      </c>
      <c r="L1961" t="s">
        <v>27</v>
      </c>
      <c r="M1961" t="s">
        <v>28</v>
      </c>
      <c r="N1961" s="1" t="e">
        <f t="shared" si="432"/>
        <v>#VALUE!</v>
      </c>
      <c r="O1961" s="1" t="e">
        <f t="shared" si="433"/>
        <v>#VALUE!</v>
      </c>
      <c r="P1961" s="1" t="e">
        <f t="shared" si="434"/>
        <v>#VALUE!</v>
      </c>
      <c r="Q1961" s="1" t="e">
        <f t="shared" si="435"/>
        <v>#VALUE!</v>
      </c>
      <c r="R1961" s="1" t="e">
        <f t="shared" si="436"/>
        <v>#VALUE!</v>
      </c>
      <c r="S1961" s="1" t="e">
        <f t="shared" si="437"/>
        <v>#VALUE!</v>
      </c>
      <c r="T1961" s="1" t="e">
        <f t="shared" si="438"/>
        <v>#VALUE!</v>
      </c>
      <c r="U1961" s="26" t="e">
        <f t="shared" si="439"/>
        <v>#VALUE!</v>
      </c>
      <c r="V1961" s="26" t="e">
        <f t="shared" si="440"/>
        <v>#VALUE!</v>
      </c>
      <c r="W1961" s="1" t="e">
        <f t="shared" si="441"/>
        <v>#VALUE!</v>
      </c>
      <c r="X1961" s="26" t="e">
        <f t="shared" si="442"/>
        <v>#VALUE!</v>
      </c>
      <c r="Y1961" s="26" t="e">
        <f t="shared" si="443"/>
        <v>#VALUE!</v>
      </c>
      <c r="Z1961" s="1" t="e">
        <f t="shared" si="444"/>
        <v>#VALUE!</v>
      </c>
      <c r="AA1961"/>
      <c r="AB1961"/>
    </row>
    <row r="1962" spans="1:28" x14ac:dyDescent="0.55000000000000004">
      <c r="A1962" s="1">
        <f t="shared" si="431"/>
        <v>1962</v>
      </c>
      <c r="B1962" t="s">
        <v>32</v>
      </c>
      <c r="D1962" t="s">
        <v>19</v>
      </c>
      <c r="E1962" t="s">
        <v>20</v>
      </c>
      <c r="F1962" t="s">
        <v>21</v>
      </c>
      <c r="G1962" t="s">
        <v>22</v>
      </c>
      <c r="H1962" t="s">
        <v>23</v>
      </c>
      <c r="I1962" t="s">
        <v>24</v>
      </c>
      <c r="J1962" t="s">
        <v>25</v>
      </c>
      <c r="K1962" t="s">
        <v>26</v>
      </c>
      <c r="L1962" t="s">
        <v>27</v>
      </c>
      <c r="M1962" t="s">
        <v>28</v>
      </c>
      <c r="N1962" s="1" t="e">
        <f t="shared" si="432"/>
        <v>#VALUE!</v>
      </c>
      <c r="O1962" s="1" t="e">
        <f t="shared" si="433"/>
        <v>#VALUE!</v>
      </c>
      <c r="P1962" s="1" t="e">
        <f t="shared" si="434"/>
        <v>#VALUE!</v>
      </c>
      <c r="Q1962" s="1" t="e">
        <f t="shared" si="435"/>
        <v>#VALUE!</v>
      </c>
      <c r="R1962" s="1" t="e">
        <f t="shared" si="436"/>
        <v>#VALUE!</v>
      </c>
      <c r="S1962" s="1" t="e">
        <f t="shared" si="437"/>
        <v>#VALUE!</v>
      </c>
      <c r="T1962" s="1" t="e">
        <f t="shared" si="438"/>
        <v>#VALUE!</v>
      </c>
      <c r="U1962" s="26" t="e">
        <f t="shared" si="439"/>
        <v>#VALUE!</v>
      </c>
      <c r="V1962" s="26" t="e">
        <f t="shared" si="440"/>
        <v>#VALUE!</v>
      </c>
      <c r="W1962" s="1" t="e">
        <f t="shared" si="441"/>
        <v>#VALUE!</v>
      </c>
      <c r="X1962" s="26" t="e">
        <f t="shared" si="442"/>
        <v>#VALUE!</v>
      </c>
      <c r="Y1962" s="26" t="e">
        <f t="shared" si="443"/>
        <v>#VALUE!</v>
      </c>
      <c r="Z1962" s="1" t="e">
        <f t="shared" si="444"/>
        <v>#VALUE!</v>
      </c>
      <c r="AA1962"/>
      <c r="AB1962"/>
    </row>
    <row r="1963" spans="1:28" x14ac:dyDescent="0.55000000000000004">
      <c r="A1963" s="1">
        <f t="shared" si="431"/>
        <v>1963</v>
      </c>
      <c r="B1963" t="s">
        <v>30</v>
      </c>
      <c r="C1963" t="s">
        <v>18</v>
      </c>
      <c r="D1963" t="s">
        <v>19</v>
      </c>
      <c r="E1963" t="s">
        <v>20</v>
      </c>
      <c r="F1963" t="s">
        <v>21</v>
      </c>
      <c r="G1963" t="s">
        <v>22</v>
      </c>
      <c r="H1963" t="s">
        <v>23</v>
      </c>
      <c r="I1963" t="s">
        <v>24</v>
      </c>
      <c r="J1963" t="s">
        <v>25</v>
      </c>
      <c r="K1963" t="s">
        <v>26</v>
      </c>
      <c r="L1963" t="s">
        <v>27</v>
      </c>
      <c r="M1963" t="s">
        <v>28</v>
      </c>
      <c r="N1963" s="1" t="e">
        <f t="shared" si="432"/>
        <v>#VALUE!</v>
      </c>
      <c r="O1963" s="1" t="e">
        <f t="shared" si="433"/>
        <v>#VALUE!</v>
      </c>
      <c r="P1963" s="1" t="e">
        <f t="shared" si="434"/>
        <v>#VALUE!</v>
      </c>
      <c r="Q1963" s="1" t="e">
        <f t="shared" si="435"/>
        <v>#VALUE!</v>
      </c>
      <c r="R1963" s="1" t="e">
        <f t="shared" si="436"/>
        <v>#VALUE!</v>
      </c>
      <c r="S1963" s="1" t="e">
        <f t="shared" si="437"/>
        <v>#VALUE!</v>
      </c>
      <c r="T1963" s="1" t="e">
        <f t="shared" si="438"/>
        <v>#VALUE!</v>
      </c>
      <c r="U1963" s="26" t="e">
        <f t="shared" si="439"/>
        <v>#VALUE!</v>
      </c>
      <c r="V1963" s="26" t="e">
        <f t="shared" si="440"/>
        <v>#VALUE!</v>
      </c>
      <c r="W1963" s="1" t="e">
        <f t="shared" si="441"/>
        <v>#VALUE!</v>
      </c>
      <c r="X1963" s="26" t="e">
        <f t="shared" si="442"/>
        <v>#VALUE!</v>
      </c>
      <c r="Y1963" s="26" t="e">
        <f t="shared" si="443"/>
        <v>#VALUE!</v>
      </c>
      <c r="Z1963" s="1" t="e">
        <f t="shared" si="444"/>
        <v>#VALUE!</v>
      </c>
      <c r="AA1963"/>
      <c r="AB1963"/>
    </row>
    <row r="1964" spans="1:28" x14ac:dyDescent="0.55000000000000004">
      <c r="A1964" s="1">
        <f t="shared" si="431"/>
        <v>1964</v>
      </c>
      <c r="B1964" t="s">
        <v>30</v>
      </c>
      <c r="C1964" t="s">
        <v>18</v>
      </c>
      <c r="D1964" t="s">
        <v>19</v>
      </c>
      <c r="E1964" t="s">
        <v>20</v>
      </c>
      <c r="F1964" t="s">
        <v>21</v>
      </c>
      <c r="G1964" t="s">
        <v>22</v>
      </c>
      <c r="H1964" t="s">
        <v>23</v>
      </c>
      <c r="I1964" t="s">
        <v>24</v>
      </c>
      <c r="J1964" t="s">
        <v>25</v>
      </c>
      <c r="K1964" t="s">
        <v>26</v>
      </c>
      <c r="L1964" t="s">
        <v>27</v>
      </c>
      <c r="M1964" t="s">
        <v>28</v>
      </c>
      <c r="N1964" s="1" t="e">
        <f t="shared" si="432"/>
        <v>#VALUE!</v>
      </c>
      <c r="O1964" s="1" t="e">
        <f t="shared" si="433"/>
        <v>#VALUE!</v>
      </c>
      <c r="P1964" s="1" t="e">
        <f t="shared" si="434"/>
        <v>#VALUE!</v>
      </c>
      <c r="Q1964" s="1" t="e">
        <f t="shared" si="435"/>
        <v>#VALUE!</v>
      </c>
      <c r="R1964" s="1" t="e">
        <f t="shared" si="436"/>
        <v>#VALUE!</v>
      </c>
      <c r="S1964" s="1" t="e">
        <f t="shared" si="437"/>
        <v>#VALUE!</v>
      </c>
      <c r="T1964" s="1" t="e">
        <f t="shared" si="438"/>
        <v>#VALUE!</v>
      </c>
      <c r="U1964" s="26" t="e">
        <f t="shared" si="439"/>
        <v>#VALUE!</v>
      </c>
      <c r="V1964" s="26" t="e">
        <f t="shared" si="440"/>
        <v>#VALUE!</v>
      </c>
      <c r="W1964" s="1" t="e">
        <f t="shared" si="441"/>
        <v>#VALUE!</v>
      </c>
      <c r="X1964" s="26" t="e">
        <f t="shared" si="442"/>
        <v>#VALUE!</v>
      </c>
      <c r="Y1964" s="26" t="e">
        <f t="shared" si="443"/>
        <v>#VALUE!</v>
      </c>
      <c r="Z1964" s="1" t="e">
        <f t="shared" si="444"/>
        <v>#VALUE!</v>
      </c>
      <c r="AA1964"/>
      <c r="AB1964"/>
    </row>
    <row r="1965" spans="1:28" x14ac:dyDescent="0.55000000000000004">
      <c r="A1965" s="1">
        <f t="shared" si="431"/>
        <v>1965</v>
      </c>
      <c r="B1965" t="s">
        <v>30</v>
      </c>
      <c r="C1965" t="s">
        <v>18</v>
      </c>
      <c r="D1965" t="s">
        <v>19</v>
      </c>
      <c r="E1965" t="s">
        <v>20</v>
      </c>
      <c r="F1965" t="s">
        <v>21</v>
      </c>
      <c r="G1965" t="s">
        <v>22</v>
      </c>
      <c r="H1965" t="s">
        <v>23</v>
      </c>
      <c r="I1965" t="s">
        <v>24</v>
      </c>
      <c r="J1965" t="s">
        <v>25</v>
      </c>
      <c r="K1965" t="s">
        <v>26</v>
      </c>
      <c r="L1965" t="s">
        <v>27</v>
      </c>
      <c r="M1965" t="s">
        <v>28</v>
      </c>
      <c r="N1965" s="1" t="e">
        <f t="shared" si="432"/>
        <v>#VALUE!</v>
      </c>
      <c r="O1965" s="1" t="e">
        <f t="shared" si="433"/>
        <v>#VALUE!</v>
      </c>
      <c r="P1965" s="1" t="e">
        <f t="shared" si="434"/>
        <v>#VALUE!</v>
      </c>
      <c r="Q1965" s="1" t="e">
        <f t="shared" si="435"/>
        <v>#VALUE!</v>
      </c>
      <c r="R1965" s="1" t="e">
        <f t="shared" si="436"/>
        <v>#VALUE!</v>
      </c>
      <c r="S1965" s="1" t="e">
        <f t="shared" si="437"/>
        <v>#VALUE!</v>
      </c>
      <c r="T1965" s="1" t="e">
        <f t="shared" si="438"/>
        <v>#VALUE!</v>
      </c>
      <c r="U1965" s="26" t="e">
        <f t="shared" si="439"/>
        <v>#VALUE!</v>
      </c>
      <c r="V1965" s="26" t="e">
        <f t="shared" si="440"/>
        <v>#VALUE!</v>
      </c>
      <c r="W1965" s="1" t="e">
        <f t="shared" si="441"/>
        <v>#VALUE!</v>
      </c>
      <c r="X1965" s="26" t="e">
        <f t="shared" si="442"/>
        <v>#VALUE!</v>
      </c>
      <c r="Y1965" s="26" t="e">
        <f t="shared" si="443"/>
        <v>#VALUE!</v>
      </c>
      <c r="Z1965" s="1" t="e">
        <f t="shared" si="444"/>
        <v>#VALUE!</v>
      </c>
      <c r="AA1965"/>
      <c r="AB1965"/>
    </row>
    <row r="1966" spans="1:28" x14ac:dyDescent="0.55000000000000004">
      <c r="A1966" s="1">
        <f t="shared" si="431"/>
        <v>1966</v>
      </c>
      <c r="B1966" t="s">
        <v>30</v>
      </c>
      <c r="C1966" t="s">
        <v>18</v>
      </c>
      <c r="D1966" t="s">
        <v>19</v>
      </c>
      <c r="E1966" t="s">
        <v>20</v>
      </c>
      <c r="F1966" t="s">
        <v>21</v>
      </c>
      <c r="G1966" t="s">
        <v>22</v>
      </c>
      <c r="H1966" t="s">
        <v>23</v>
      </c>
      <c r="I1966" t="s">
        <v>24</v>
      </c>
      <c r="J1966" t="s">
        <v>25</v>
      </c>
      <c r="K1966" t="s">
        <v>26</v>
      </c>
      <c r="L1966" t="s">
        <v>27</v>
      </c>
      <c r="M1966" t="s">
        <v>28</v>
      </c>
      <c r="N1966" s="1" t="e">
        <f t="shared" si="432"/>
        <v>#VALUE!</v>
      </c>
      <c r="O1966" s="1" t="e">
        <f t="shared" si="433"/>
        <v>#VALUE!</v>
      </c>
      <c r="P1966" s="1" t="e">
        <f t="shared" si="434"/>
        <v>#VALUE!</v>
      </c>
      <c r="Q1966" s="1" t="e">
        <f t="shared" si="435"/>
        <v>#VALUE!</v>
      </c>
      <c r="R1966" s="1" t="e">
        <f t="shared" si="436"/>
        <v>#VALUE!</v>
      </c>
      <c r="S1966" s="1" t="e">
        <f t="shared" si="437"/>
        <v>#VALUE!</v>
      </c>
      <c r="T1966" s="1" t="e">
        <f t="shared" si="438"/>
        <v>#VALUE!</v>
      </c>
      <c r="U1966" s="26" t="e">
        <f t="shared" si="439"/>
        <v>#VALUE!</v>
      </c>
      <c r="V1966" s="26" t="e">
        <f t="shared" si="440"/>
        <v>#VALUE!</v>
      </c>
      <c r="W1966" s="1" t="e">
        <f t="shared" si="441"/>
        <v>#VALUE!</v>
      </c>
      <c r="X1966" s="26" t="e">
        <f t="shared" si="442"/>
        <v>#VALUE!</v>
      </c>
      <c r="Y1966" s="26" t="e">
        <f t="shared" si="443"/>
        <v>#VALUE!</v>
      </c>
      <c r="Z1966" s="1" t="e">
        <f t="shared" si="444"/>
        <v>#VALUE!</v>
      </c>
      <c r="AA1966"/>
      <c r="AB1966"/>
    </row>
    <row r="1967" spans="1:28" x14ac:dyDescent="0.55000000000000004">
      <c r="A1967" s="1">
        <f t="shared" si="431"/>
        <v>1967</v>
      </c>
      <c r="B1967" t="s">
        <v>30</v>
      </c>
      <c r="C1967" t="s">
        <v>18</v>
      </c>
      <c r="D1967" t="s">
        <v>19</v>
      </c>
      <c r="E1967" t="s">
        <v>20</v>
      </c>
      <c r="F1967" t="s">
        <v>21</v>
      </c>
      <c r="G1967" t="s">
        <v>22</v>
      </c>
      <c r="H1967" t="s">
        <v>23</v>
      </c>
      <c r="I1967" t="s">
        <v>24</v>
      </c>
      <c r="J1967" t="s">
        <v>25</v>
      </c>
      <c r="K1967" t="s">
        <v>26</v>
      </c>
      <c r="L1967" t="s">
        <v>27</v>
      </c>
      <c r="M1967" t="s">
        <v>28</v>
      </c>
      <c r="N1967" s="1" t="e">
        <f t="shared" si="432"/>
        <v>#VALUE!</v>
      </c>
      <c r="O1967" s="1" t="e">
        <f t="shared" si="433"/>
        <v>#VALUE!</v>
      </c>
      <c r="P1967" s="1" t="e">
        <f t="shared" si="434"/>
        <v>#VALUE!</v>
      </c>
      <c r="Q1967" s="1" t="e">
        <f t="shared" si="435"/>
        <v>#VALUE!</v>
      </c>
      <c r="R1967" s="1" t="e">
        <f t="shared" si="436"/>
        <v>#VALUE!</v>
      </c>
      <c r="S1967" s="1" t="e">
        <f t="shared" si="437"/>
        <v>#VALUE!</v>
      </c>
      <c r="T1967" s="1" t="e">
        <f t="shared" si="438"/>
        <v>#VALUE!</v>
      </c>
      <c r="U1967" s="26" t="e">
        <f t="shared" si="439"/>
        <v>#VALUE!</v>
      </c>
      <c r="V1967" s="26" t="e">
        <f t="shared" si="440"/>
        <v>#VALUE!</v>
      </c>
      <c r="W1967" s="1" t="e">
        <f t="shared" si="441"/>
        <v>#VALUE!</v>
      </c>
      <c r="X1967" s="26" t="e">
        <f t="shared" si="442"/>
        <v>#VALUE!</v>
      </c>
      <c r="Y1967" s="26" t="e">
        <f t="shared" si="443"/>
        <v>#VALUE!</v>
      </c>
      <c r="Z1967" s="1" t="e">
        <f t="shared" si="444"/>
        <v>#VALUE!</v>
      </c>
      <c r="AA1967"/>
      <c r="AB1967"/>
    </row>
    <row r="1968" spans="1:28" x14ac:dyDescent="0.55000000000000004">
      <c r="A1968" s="1">
        <f t="shared" si="431"/>
        <v>1968</v>
      </c>
      <c r="B1968" t="s">
        <v>30</v>
      </c>
      <c r="C1968" t="s">
        <v>18</v>
      </c>
      <c r="D1968" t="s">
        <v>19</v>
      </c>
      <c r="E1968" t="s">
        <v>20</v>
      </c>
      <c r="F1968" t="s">
        <v>21</v>
      </c>
      <c r="G1968" t="s">
        <v>22</v>
      </c>
      <c r="H1968" t="s">
        <v>23</v>
      </c>
      <c r="I1968" t="s">
        <v>24</v>
      </c>
      <c r="J1968" t="s">
        <v>25</v>
      </c>
      <c r="K1968" t="s">
        <v>26</v>
      </c>
      <c r="L1968" t="s">
        <v>27</v>
      </c>
      <c r="M1968" t="s">
        <v>28</v>
      </c>
      <c r="N1968" s="1" t="e">
        <f t="shared" si="432"/>
        <v>#VALUE!</v>
      </c>
      <c r="O1968" s="1" t="e">
        <f t="shared" si="433"/>
        <v>#VALUE!</v>
      </c>
      <c r="P1968" s="1" t="e">
        <f t="shared" si="434"/>
        <v>#VALUE!</v>
      </c>
      <c r="Q1968" s="1" t="e">
        <f t="shared" si="435"/>
        <v>#VALUE!</v>
      </c>
      <c r="R1968" s="1" t="e">
        <f t="shared" si="436"/>
        <v>#VALUE!</v>
      </c>
      <c r="S1968" s="1" t="e">
        <f t="shared" si="437"/>
        <v>#VALUE!</v>
      </c>
      <c r="T1968" s="1" t="e">
        <f t="shared" si="438"/>
        <v>#VALUE!</v>
      </c>
      <c r="U1968" s="26" t="e">
        <f t="shared" si="439"/>
        <v>#VALUE!</v>
      </c>
      <c r="V1968" s="26" t="e">
        <f t="shared" si="440"/>
        <v>#VALUE!</v>
      </c>
      <c r="W1968" s="1" t="e">
        <f t="shared" si="441"/>
        <v>#VALUE!</v>
      </c>
      <c r="X1968" s="26" t="e">
        <f t="shared" si="442"/>
        <v>#VALUE!</v>
      </c>
      <c r="Y1968" s="26" t="e">
        <f t="shared" si="443"/>
        <v>#VALUE!</v>
      </c>
      <c r="Z1968" s="1" t="e">
        <f t="shared" si="444"/>
        <v>#VALUE!</v>
      </c>
      <c r="AA1968"/>
      <c r="AB1968"/>
    </row>
    <row r="1969" spans="1:28" x14ac:dyDescent="0.55000000000000004">
      <c r="A1969" s="1">
        <f t="shared" si="431"/>
        <v>1969</v>
      </c>
      <c r="B1969" t="s">
        <v>30</v>
      </c>
      <c r="C1969" t="s">
        <v>18</v>
      </c>
      <c r="D1969" t="s">
        <v>19</v>
      </c>
      <c r="E1969" t="s">
        <v>20</v>
      </c>
      <c r="F1969" t="s">
        <v>21</v>
      </c>
      <c r="G1969" t="s">
        <v>22</v>
      </c>
      <c r="H1969" t="s">
        <v>23</v>
      </c>
      <c r="I1969" t="s">
        <v>24</v>
      </c>
      <c r="J1969" t="s">
        <v>25</v>
      </c>
      <c r="K1969" t="s">
        <v>26</v>
      </c>
      <c r="L1969" t="s">
        <v>27</v>
      </c>
      <c r="M1969" t="s">
        <v>28</v>
      </c>
      <c r="N1969" s="1" t="e">
        <f t="shared" si="432"/>
        <v>#VALUE!</v>
      </c>
      <c r="O1969" s="1" t="e">
        <f t="shared" si="433"/>
        <v>#VALUE!</v>
      </c>
      <c r="P1969" s="1" t="e">
        <f t="shared" si="434"/>
        <v>#VALUE!</v>
      </c>
      <c r="Q1969" s="1" t="e">
        <f t="shared" si="435"/>
        <v>#VALUE!</v>
      </c>
      <c r="R1969" s="1" t="e">
        <f t="shared" si="436"/>
        <v>#VALUE!</v>
      </c>
      <c r="S1969" s="1" t="e">
        <f t="shared" si="437"/>
        <v>#VALUE!</v>
      </c>
      <c r="T1969" s="1" t="e">
        <f t="shared" si="438"/>
        <v>#VALUE!</v>
      </c>
      <c r="U1969" s="26" t="e">
        <f t="shared" si="439"/>
        <v>#VALUE!</v>
      </c>
      <c r="V1969" s="26" t="e">
        <f t="shared" si="440"/>
        <v>#VALUE!</v>
      </c>
      <c r="W1969" s="1" t="e">
        <f t="shared" si="441"/>
        <v>#VALUE!</v>
      </c>
      <c r="X1969" s="26" t="e">
        <f t="shared" si="442"/>
        <v>#VALUE!</v>
      </c>
      <c r="Y1969" s="26" t="e">
        <f t="shared" si="443"/>
        <v>#VALUE!</v>
      </c>
      <c r="Z1969" s="1" t="e">
        <f t="shared" si="444"/>
        <v>#VALUE!</v>
      </c>
      <c r="AA1969"/>
      <c r="AB1969"/>
    </row>
    <row r="1970" spans="1:28" x14ac:dyDescent="0.55000000000000004">
      <c r="A1970" s="1">
        <f t="shared" si="431"/>
        <v>1970</v>
      </c>
      <c r="B1970" t="s">
        <v>30</v>
      </c>
      <c r="C1970" t="s">
        <v>18</v>
      </c>
      <c r="D1970" t="s">
        <v>19</v>
      </c>
      <c r="E1970" t="s">
        <v>20</v>
      </c>
      <c r="F1970" t="s">
        <v>21</v>
      </c>
      <c r="G1970" t="s">
        <v>22</v>
      </c>
      <c r="H1970" t="s">
        <v>23</v>
      </c>
      <c r="I1970" t="s">
        <v>24</v>
      </c>
      <c r="J1970" t="s">
        <v>25</v>
      </c>
      <c r="K1970" t="s">
        <v>26</v>
      </c>
      <c r="L1970" t="s">
        <v>27</v>
      </c>
      <c r="M1970" t="s">
        <v>28</v>
      </c>
      <c r="N1970" s="1" t="e">
        <f t="shared" si="432"/>
        <v>#VALUE!</v>
      </c>
      <c r="O1970" s="1" t="e">
        <f t="shared" si="433"/>
        <v>#VALUE!</v>
      </c>
      <c r="P1970" s="1" t="e">
        <f t="shared" si="434"/>
        <v>#VALUE!</v>
      </c>
      <c r="Q1970" s="1" t="e">
        <f t="shared" si="435"/>
        <v>#VALUE!</v>
      </c>
      <c r="R1970" s="1" t="e">
        <f t="shared" si="436"/>
        <v>#VALUE!</v>
      </c>
      <c r="S1970" s="1" t="e">
        <f t="shared" si="437"/>
        <v>#VALUE!</v>
      </c>
      <c r="T1970" s="1" t="e">
        <f t="shared" si="438"/>
        <v>#VALUE!</v>
      </c>
      <c r="U1970" s="26" t="e">
        <f t="shared" si="439"/>
        <v>#VALUE!</v>
      </c>
      <c r="V1970" s="26" t="e">
        <f t="shared" si="440"/>
        <v>#VALUE!</v>
      </c>
      <c r="W1970" s="1" t="e">
        <f t="shared" si="441"/>
        <v>#VALUE!</v>
      </c>
      <c r="X1970" s="26" t="e">
        <f t="shared" si="442"/>
        <v>#VALUE!</v>
      </c>
      <c r="Y1970" s="26" t="e">
        <f t="shared" si="443"/>
        <v>#VALUE!</v>
      </c>
      <c r="Z1970" s="1" t="e">
        <f t="shared" si="444"/>
        <v>#VALUE!</v>
      </c>
      <c r="AA1970"/>
      <c r="AB1970"/>
    </row>
    <row r="1971" spans="1:28" x14ac:dyDescent="0.55000000000000004">
      <c r="A1971" s="1">
        <f t="shared" si="431"/>
        <v>1971</v>
      </c>
      <c r="B1971" t="s">
        <v>31</v>
      </c>
      <c r="C1971" t="s">
        <v>18</v>
      </c>
      <c r="D1971" t="s">
        <v>19</v>
      </c>
      <c r="E1971" t="s">
        <v>20</v>
      </c>
      <c r="F1971" t="s">
        <v>21</v>
      </c>
      <c r="G1971" t="s">
        <v>22</v>
      </c>
      <c r="H1971" t="s">
        <v>23</v>
      </c>
      <c r="I1971" t="s">
        <v>24</v>
      </c>
      <c r="J1971" t="s">
        <v>25</v>
      </c>
      <c r="K1971" t="s">
        <v>26</v>
      </c>
      <c r="L1971" t="s">
        <v>27</v>
      </c>
      <c r="M1971" t="s">
        <v>28</v>
      </c>
      <c r="N1971" s="1" t="e">
        <f t="shared" si="432"/>
        <v>#VALUE!</v>
      </c>
      <c r="O1971" s="1" t="e">
        <f t="shared" si="433"/>
        <v>#VALUE!</v>
      </c>
      <c r="P1971" s="1" t="e">
        <f t="shared" si="434"/>
        <v>#VALUE!</v>
      </c>
      <c r="Q1971" s="1" t="e">
        <f t="shared" si="435"/>
        <v>#VALUE!</v>
      </c>
      <c r="R1971" s="1" t="e">
        <f t="shared" si="436"/>
        <v>#VALUE!</v>
      </c>
      <c r="S1971" s="1" t="e">
        <f t="shared" si="437"/>
        <v>#VALUE!</v>
      </c>
      <c r="T1971" s="1" t="e">
        <f t="shared" si="438"/>
        <v>#VALUE!</v>
      </c>
      <c r="U1971" s="26" t="e">
        <f t="shared" si="439"/>
        <v>#VALUE!</v>
      </c>
      <c r="V1971" s="26" t="e">
        <f t="shared" si="440"/>
        <v>#VALUE!</v>
      </c>
      <c r="W1971" s="1" t="e">
        <f t="shared" si="441"/>
        <v>#VALUE!</v>
      </c>
      <c r="X1971" s="26" t="e">
        <f t="shared" si="442"/>
        <v>#VALUE!</v>
      </c>
      <c r="Y1971" s="26" t="e">
        <f t="shared" si="443"/>
        <v>#VALUE!</v>
      </c>
      <c r="Z1971" s="1" t="e">
        <f t="shared" si="444"/>
        <v>#VALUE!</v>
      </c>
      <c r="AA1971"/>
      <c r="AB1971"/>
    </row>
    <row r="1972" spans="1:28" x14ac:dyDescent="0.55000000000000004">
      <c r="A1972" s="1">
        <f t="shared" si="431"/>
        <v>1972</v>
      </c>
      <c r="B1972" t="s">
        <v>31</v>
      </c>
      <c r="C1972" t="s">
        <v>18</v>
      </c>
      <c r="D1972" t="s">
        <v>19</v>
      </c>
      <c r="E1972" t="s">
        <v>20</v>
      </c>
      <c r="F1972" t="s">
        <v>21</v>
      </c>
      <c r="G1972" t="s">
        <v>22</v>
      </c>
      <c r="H1972" t="s">
        <v>23</v>
      </c>
      <c r="I1972" t="s">
        <v>24</v>
      </c>
      <c r="J1972" t="s">
        <v>25</v>
      </c>
      <c r="K1972" t="s">
        <v>26</v>
      </c>
      <c r="L1972" t="s">
        <v>27</v>
      </c>
      <c r="M1972" t="s">
        <v>28</v>
      </c>
      <c r="N1972" s="1" t="e">
        <f t="shared" si="432"/>
        <v>#VALUE!</v>
      </c>
      <c r="O1972" s="1" t="e">
        <f t="shared" si="433"/>
        <v>#VALUE!</v>
      </c>
      <c r="P1972" s="1" t="e">
        <f t="shared" si="434"/>
        <v>#VALUE!</v>
      </c>
      <c r="Q1972" s="1" t="e">
        <f t="shared" si="435"/>
        <v>#VALUE!</v>
      </c>
      <c r="R1972" s="1" t="e">
        <f t="shared" si="436"/>
        <v>#VALUE!</v>
      </c>
      <c r="S1972" s="1" t="e">
        <f t="shared" si="437"/>
        <v>#VALUE!</v>
      </c>
      <c r="T1972" s="1" t="e">
        <f t="shared" si="438"/>
        <v>#VALUE!</v>
      </c>
      <c r="U1972" s="26" t="e">
        <f t="shared" si="439"/>
        <v>#VALUE!</v>
      </c>
      <c r="V1972" s="26" t="e">
        <f t="shared" si="440"/>
        <v>#VALUE!</v>
      </c>
      <c r="W1972" s="1" t="e">
        <f t="shared" si="441"/>
        <v>#VALUE!</v>
      </c>
      <c r="X1972" s="26" t="e">
        <f t="shared" si="442"/>
        <v>#VALUE!</v>
      </c>
      <c r="Y1972" s="26" t="e">
        <f t="shared" si="443"/>
        <v>#VALUE!</v>
      </c>
      <c r="Z1972" s="1" t="e">
        <f t="shared" si="444"/>
        <v>#VALUE!</v>
      </c>
      <c r="AA1972"/>
      <c r="AB1972"/>
    </row>
    <row r="1973" spans="1:28" x14ac:dyDescent="0.55000000000000004">
      <c r="A1973" s="1">
        <f t="shared" si="431"/>
        <v>1973</v>
      </c>
      <c r="B1973" t="s">
        <v>31</v>
      </c>
      <c r="C1973" t="s">
        <v>18</v>
      </c>
      <c r="D1973" t="s">
        <v>19</v>
      </c>
      <c r="E1973" t="s">
        <v>20</v>
      </c>
      <c r="F1973" t="s">
        <v>21</v>
      </c>
      <c r="G1973" t="s">
        <v>22</v>
      </c>
      <c r="H1973" t="s">
        <v>23</v>
      </c>
      <c r="I1973" t="s">
        <v>24</v>
      </c>
      <c r="J1973" t="s">
        <v>25</v>
      </c>
      <c r="K1973" t="s">
        <v>26</v>
      </c>
      <c r="L1973" t="s">
        <v>27</v>
      </c>
      <c r="M1973" t="s">
        <v>28</v>
      </c>
      <c r="N1973" s="1" t="e">
        <f t="shared" si="432"/>
        <v>#VALUE!</v>
      </c>
      <c r="O1973" s="1" t="e">
        <f t="shared" si="433"/>
        <v>#VALUE!</v>
      </c>
      <c r="P1973" s="1" t="e">
        <f t="shared" si="434"/>
        <v>#VALUE!</v>
      </c>
      <c r="Q1973" s="1" t="e">
        <f t="shared" si="435"/>
        <v>#VALUE!</v>
      </c>
      <c r="R1973" s="1" t="e">
        <f t="shared" si="436"/>
        <v>#VALUE!</v>
      </c>
      <c r="S1973" s="1" t="e">
        <f t="shared" si="437"/>
        <v>#VALUE!</v>
      </c>
      <c r="T1973" s="1" t="e">
        <f t="shared" si="438"/>
        <v>#VALUE!</v>
      </c>
      <c r="U1973" s="26" t="e">
        <f t="shared" si="439"/>
        <v>#VALUE!</v>
      </c>
      <c r="V1973" s="26" t="e">
        <f t="shared" si="440"/>
        <v>#VALUE!</v>
      </c>
      <c r="W1973" s="1" t="e">
        <f t="shared" si="441"/>
        <v>#VALUE!</v>
      </c>
      <c r="X1973" s="26" t="e">
        <f t="shared" si="442"/>
        <v>#VALUE!</v>
      </c>
      <c r="Y1973" s="26" t="e">
        <f t="shared" si="443"/>
        <v>#VALUE!</v>
      </c>
      <c r="Z1973" s="1" t="e">
        <f t="shared" si="444"/>
        <v>#VALUE!</v>
      </c>
      <c r="AA1973"/>
      <c r="AB1973"/>
    </row>
    <row r="1974" spans="1:28" x14ac:dyDescent="0.55000000000000004">
      <c r="A1974" s="1">
        <f t="shared" si="431"/>
        <v>1974</v>
      </c>
      <c r="B1974" t="s">
        <v>31</v>
      </c>
      <c r="C1974" t="s">
        <v>18</v>
      </c>
      <c r="D1974" t="s">
        <v>19</v>
      </c>
      <c r="E1974" t="s">
        <v>20</v>
      </c>
      <c r="F1974" t="s">
        <v>21</v>
      </c>
      <c r="G1974" t="s">
        <v>22</v>
      </c>
      <c r="H1974" t="s">
        <v>23</v>
      </c>
      <c r="I1974" t="s">
        <v>24</v>
      </c>
      <c r="J1974" t="s">
        <v>25</v>
      </c>
      <c r="K1974" t="s">
        <v>26</v>
      </c>
      <c r="L1974" t="s">
        <v>27</v>
      </c>
      <c r="M1974" t="s">
        <v>28</v>
      </c>
      <c r="N1974" s="1" t="e">
        <f t="shared" si="432"/>
        <v>#VALUE!</v>
      </c>
      <c r="O1974" s="1" t="e">
        <f t="shared" si="433"/>
        <v>#VALUE!</v>
      </c>
      <c r="P1974" s="1" t="e">
        <f t="shared" si="434"/>
        <v>#VALUE!</v>
      </c>
      <c r="Q1974" s="1" t="e">
        <f t="shared" si="435"/>
        <v>#VALUE!</v>
      </c>
      <c r="R1974" s="1" t="e">
        <f t="shared" si="436"/>
        <v>#VALUE!</v>
      </c>
      <c r="S1974" s="1" t="e">
        <f t="shared" si="437"/>
        <v>#VALUE!</v>
      </c>
      <c r="T1974" s="1" t="e">
        <f t="shared" si="438"/>
        <v>#VALUE!</v>
      </c>
      <c r="U1974" s="26" t="e">
        <f t="shared" si="439"/>
        <v>#VALUE!</v>
      </c>
      <c r="V1974" s="26" t="e">
        <f t="shared" si="440"/>
        <v>#VALUE!</v>
      </c>
      <c r="W1974" s="1" t="e">
        <f t="shared" si="441"/>
        <v>#VALUE!</v>
      </c>
      <c r="X1974" s="26" t="e">
        <f t="shared" si="442"/>
        <v>#VALUE!</v>
      </c>
      <c r="Y1974" s="26" t="e">
        <f t="shared" si="443"/>
        <v>#VALUE!</v>
      </c>
      <c r="Z1974" s="1" t="e">
        <f t="shared" si="444"/>
        <v>#VALUE!</v>
      </c>
      <c r="AA1974"/>
      <c r="AB1974"/>
    </row>
    <row r="1975" spans="1:28" x14ac:dyDescent="0.55000000000000004">
      <c r="A1975" s="1">
        <f t="shared" si="431"/>
        <v>1975</v>
      </c>
      <c r="B1975" t="s">
        <v>33</v>
      </c>
      <c r="C1975" t="s">
        <v>18</v>
      </c>
      <c r="D1975" t="s">
        <v>19</v>
      </c>
      <c r="E1975" t="s">
        <v>20</v>
      </c>
      <c r="F1975" t="s">
        <v>21</v>
      </c>
      <c r="G1975" t="s">
        <v>22</v>
      </c>
      <c r="H1975" t="s">
        <v>23</v>
      </c>
      <c r="I1975" t="s">
        <v>24</v>
      </c>
      <c r="J1975" t="s">
        <v>25</v>
      </c>
      <c r="K1975" t="s">
        <v>26</v>
      </c>
      <c r="L1975" t="s">
        <v>27</v>
      </c>
      <c r="M1975" t="s">
        <v>28</v>
      </c>
      <c r="N1975" s="1" t="e">
        <f t="shared" si="432"/>
        <v>#VALUE!</v>
      </c>
      <c r="O1975" s="1" t="e">
        <f t="shared" si="433"/>
        <v>#VALUE!</v>
      </c>
      <c r="P1975" s="1" t="e">
        <f t="shared" si="434"/>
        <v>#VALUE!</v>
      </c>
      <c r="Q1975" s="1" t="e">
        <f t="shared" si="435"/>
        <v>#VALUE!</v>
      </c>
      <c r="R1975" s="1" t="e">
        <f t="shared" si="436"/>
        <v>#VALUE!</v>
      </c>
      <c r="S1975" s="1" t="e">
        <f t="shared" si="437"/>
        <v>#VALUE!</v>
      </c>
      <c r="T1975" s="1" t="e">
        <f t="shared" si="438"/>
        <v>#VALUE!</v>
      </c>
      <c r="U1975" s="26" t="e">
        <f t="shared" si="439"/>
        <v>#VALUE!</v>
      </c>
      <c r="V1975" s="26" t="e">
        <f t="shared" si="440"/>
        <v>#VALUE!</v>
      </c>
      <c r="W1975" s="1" t="e">
        <f t="shared" si="441"/>
        <v>#VALUE!</v>
      </c>
      <c r="X1975" s="26" t="e">
        <f t="shared" si="442"/>
        <v>#VALUE!</v>
      </c>
      <c r="Y1975" s="26" t="e">
        <f t="shared" si="443"/>
        <v>#VALUE!</v>
      </c>
      <c r="Z1975" s="1" t="e">
        <f t="shared" si="444"/>
        <v>#VALUE!</v>
      </c>
      <c r="AA1975"/>
      <c r="AB1975"/>
    </row>
    <row r="1976" spans="1:28" x14ac:dyDescent="0.55000000000000004">
      <c r="A1976" s="1">
        <f t="shared" si="431"/>
        <v>1976</v>
      </c>
      <c r="B1976" t="s">
        <v>33</v>
      </c>
      <c r="C1976" t="s">
        <v>18</v>
      </c>
      <c r="D1976" t="s">
        <v>19</v>
      </c>
      <c r="E1976" t="s">
        <v>20</v>
      </c>
      <c r="F1976" t="s">
        <v>21</v>
      </c>
      <c r="G1976" t="s">
        <v>22</v>
      </c>
      <c r="H1976" t="s">
        <v>23</v>
      </c>
      <c r="I1976" t="s">
        <v>24</v>
      </c>
      <c r="J1976" t="s">
        <v>25</v>
      </c>
      <c r="K1976" t="s">
        <v>26</v>
      </c>
      <c r="L1976" t="s">
        <v>27</v>
      </c>
      <c r="M1976" t="s">
        <v>28</v>
      </c>
      <c r="N1976" s="1" t="e">
        <f t="shared" si="432"/>
        <v>#VALUE!</v>
      </c>
      <c r="O1976" s="1" t="e">
        <f t="shared" si="433"/>
        <v>#VALUE!</v>
      </c>
      <c r="P1976" s="1" t="e">
        <f t="shared" si="434"/>
        <v>#VALUE!</v>
      </c>
      <c r="Q1976" s="1" t="e">
        <f t="shared" si="435"/>
        <v>#VALUE!</v>
      </c>
      <c r="R1976" s="1" t="e">
        <f t="shared" si="436"/>
        <v>#VALUE!</v>
      </c>
      <c r="S1976" s="1" t="e">
        <f t="shared" si="437"/>
        <v>#VALUE!</v>
      </c>
      <c r="T1976" s="1" t="e">
        <f t="shared" si="438"/>
        <v>#VALUE!</v>
      </c>
      <c r="U1976" s="26" t="e">
        <f t="shared" si="439"/>
        <v>#VALUE!</v>
      </c>
      <c r="V1976" s="26" t="e">
        <f t="shared" si="440"/>
        <v>#VALUE!</v>
      </c>
      <c r="W1976" s="1" t="e">
        <f t="shared" si="441"/>
        <v>#VALUE!</v>
      </c>
      <c r="X1976" s="26" t="e">
        <f t="shared" si="442"/>
        <v>#VALUE!</v>
      </c>
      <c r="Y1976" s="26" t="e">
        <f t="shared" si="443"/>
        <v>#VALUE!</v>
      </c>
      <c r="Z1976" s="1" t="e">
        <f t="shared" si="444"/>
        <v>#VALUE!</v>
      </c>
      <c r="AA1976"/>
      <c r="AB1976"/>
    </row>
    <row r="1977" spans="1:28" x14ac:dyDescent="0.55000000000000004">
      <c r="A1977" s="1">
        <f t="shared" si="431"/>
        <v>1977</v>
      </c>
      <c r="B1977" t="s">
        <v>33</v>
      </c>
      <c r="C1977" t="s">
        <v>18</v>
      </c>
      <c r="D1977" t="s">
        <v>19</v>
      </c>
      <c r="E1977" t="s">
        <v>20</v>
      </c>
      <c r="F1977" t="s">
        <v>21</v>
      </c>
      <c r="G1977" t="s">
        <v>22</v>
      </c>
      <c r="H1977" t="s">
        <v>23</v>
      </c>
      <c r="I1977" t="s">
        <v>24</v>
      </c>
      <c r="J1977" t="s">
        <v>25</v>
      </c>
      <c r="K1977" t="s">
        <v>26</v>
      </c>
      <c r="L1977" t="s">
        <v>27</v>
      </c>
      <c r="M1977" t="s">
        <v>28</v>
      </c>
      <c r="N1977" s="1" t="e">
        <f t="shared" si="432"/>
        <v>#VALUE!</v>
      </c>
      <c r="O1977" s="1" t="e">
        <f t="shared" si="433"/>
        <v>#VALUE!</v>
      </c>
      <c r="P1977" s="1" t="e">
        <f t="shared" si="434"/>
        <v>#VALUE!</v>
      </c>
      <c r="Q1977" s="1" t="e">
        <f t="shared" si="435"/>
        <v>#VALUE!</v>
      </c>
      <c r="R1977" s="1" t="e">
        <f t="shared" si="436"/>
        <v>#VALUE!</v>
      </c>
      <c r="S1977" s="1" t="e">
        <f t="shared" si="437"/>
        <v>#VALUE!</v>
      </c>
      <c r="T1977" s="1" t="e">
        <f t="shared" si="438"/>
        <v>#VALUE!</v>
      </c>
      <c r="U1977" s="26" t="e">
        <f t="shared" si="439"/>
        <v>#VALUE!</v>
      </c>
      <c r="V1977" s="26" t="e">
        <f t="shared" si="440"/>
        <v>#VALUE!</v>
      </c>
      <c r="W1977" s="1" t="e">
        <f t="shared" si="441"/>
        <v>#VALUE!</v>
      </c>
      <c r="X1977" s="26" t="e">
        <f t="shared" si="442"/>
        <v>#VALUE!</v>
      </c>
      <c r="Y1977" s="26" t="e">
        <f t="shared" si="443"/>
        <v>#VALUE!</v>
      </c>
      <c r="Z1977" s="1" t="e">
        <f t="shared" si="444"/>
        <v>#VALUE!</v>
      </c>
      <c r="AA1977"/>
      <c r="AB1977"/>
    </row>
    <row r="1978" spans="1:28" x14ac:dyDescent="0.55000000000000004">
      <c r="A1978" s="1">
        <f t="shared" si="431"/>
        <v>1978</v>
      </c>
      <c r="B1978" t="s">
        <v>33</v>
      </c>
      <c r="C1978" t="s">
        <v>18</v>
      </c>
      <c r="D1978" t="s">
        <v>19</v>
      </c>
      <c r="E1978" t="s">
        <v>20</v>
      </c>
      <c r="F1978" t="s">
        <v>21</v>
      </c>
      <c r="G1978" t="s">
        <v>22</v>
      </c>
      <c r="H1978" t="s">
        <v>23</v>
      </c>
      <c r="I1978" t="s">
        <v>24</v>
      </c>
      <c r="J1978" t="s">
        <v>25</v>
      </c>
      <c r="K1978" t="s">
        <v>26</v>
      </c>
      <c r="L1978" t="s">
        <v>27</v>
      </c>
      <c r="M1978" t="s">
        <v>28</v>
      </c>
      <c r="N1978" s="1" t="e">
        <f t="shared" si="432"/>
        <v>#VALUE!</v>
      </c>
      <c r="O1978" s="1" t="e">
        <f t="shared" si="433"/>
        <v>#VALUE!</v>
      </c>
      <c r="P1978" s="1" t="e">
        <f t="shared" si="434"/>
        <v>#VALUE!</v>
      </c>
      <c r="Q1978" s="1" t="e">
        <f t="shared" si="435"/>
        <v>#VALUE!</v>
      </c>
      <c r="R1978" s="1" t="e">
        <f t="shared" si="436"/>
        <v>#VALUE!</v>
      </c>
      <c r="S1978" s="1" t="e">
        <f t="shared" si="437"/>
        <v>#VALUE!</v>
      </c>
      <c r="T1978" s="1" t="e">
        <f t="shared" si="438"/>
        <v>#VALUE!</v>
      </c>
      <c r="U1978" s="26" t="e">
        <f t="shared" si="439"/>
        <v>#VALUE!</v>
      </c>
      <c r="V1978" s="26" t="e">
        <f t="shared" si="440"/>
        <v>#VALUE!</v>
      </c>
      <c r="W1978" s="1" t="e">
        <f t="shared" si="441"/>
        <v>#VALUE!</v>
      </c>
      <c r="X1978" s="26" t="e">
        <f t="shared" si="442"/>
        <v>#VALUE!</v>
      </c>
      <c r="Y1978" s="26" t="e">
        <f t="shared" si="443"/>
        <v>#VALUE!</v>
      </c>
      <c r="Z1978" s="1" t="e">
        <f t="shared" si="444"/>
        <v>#VALUE!</v>
      </c>
      <c r="AA1978"/>
      <c r="AB1978"/>
    </row>
    <row r="1979" spans="1:28" x14ac:dyDescent="0.55000000000000004">
      <c r="A1979" s="1">
        <f t="shared" si="431"/>
        <v>1979</v>
      </c>
      <c r="B1979" t="s">
        <v>33</v>
      </c>
      <c r="C1979" t="s">
        <v>18</v>
      </c>
      <c r="D1979" t="s">
        <v>19</v>
      </c>
      <c r="E1979" t="s">
        <v>20</v>
      </c>
      <c r="F1979" t="s">
        <v>21</v>
      </c>
      <c r="G1979" t="s">
        <v>22</v>
      </c>
      <c r="H1979" t="s">
        <v>23</v>
      </c>
      <c r="I1979" t="s">
        <v>24</v>
      </c>
      <c r="J1979" t="s">
        <v>25</v>
      </c>
      <c r="K1979" t="s">
        <v>26</v>
      </c>
      <c r="L1979" t="s">
        <v>27</v>
      </c>
      <c r="M1979" t="s">
        <v>28</v>
      </c>
      <c r="N1979" s="1" t="e">
        <f t="shared" si="432"/>
        <v>#VALUE!</v>
      </c>
      <c r="O1979" s="1" t="e">
        <f t="shared" si="433"/>
        <v>#VALUE!</v>
      </c>
      <c r="P1979" s="1" t="e">
        <f t="shared" si="434"/>
        <v>#VALUE!</v>
      </c>
      <c r="Q1979" s="1" t="e">
        <f t="shared" si="435"/>
        <v>#VALUE!</v>
      </c>
      <c r="R1979" s="1" t="e">
        <f t="shared" si="436"/>
        <v>#VALUE!</v>
      </c>
      <c r="S1979" s="1" t="e">
        <f t="shared" si="437"/>
        <v>#VALUE!</v>
      </c>
      <c r="T1979" s="1" t="e">
        <f t="shared" si="438"/>
        <v>#VALUE!</v>
      </c>
      <c r="U1979" s="26" t="e">
        <f t="shared" si="439"/>
        <v>#VALUE!</v>
      </c>
      <c r="V1979" s="26" t="e">
        <f t="shared" si="440"/>
        <v>#VALUE!</v>
      </c>
      <c r="W1979" s="1" t="e">
        <f t="shared" si="441"/>
        <v>#VALUE!</v>
      </c>
      <c r="X1979" s="26" t="e">
        <f t="shared" si="442"/>
        <v>#VALUE!</v>
      </c>
      <c r="Y1979" s="26" t="e">
        <f t="shared" si="443"/>
        <v>#VALUE!</v>
      </c>
      <c r="Z1979" s="1" t="e">
        <f t="shared" si="444"/>
        <v>#VALUE!</v>
      </c>
      <c r="AA1979"/>
      <c r="AB1979"/>
    </row>
    <row r="1980" spans="1:28" x14ac:dyDescent="0.55000000000000004">
      <c r="A1980" s="1">
        <f t="shared" si="431"/>
        <v>1980</v>
      </c>
      <c r="B1980" t="s">
        <v>33</v>
      </c>
      <c r="C1980" t="s">
        <v>18</v>
      </c>
      <c r="D1980" t="s">
        <v>19</v>
      </c>
      <c r="E1980" t="s">
        <v>20</v>
      </c>
      <c r="F1980" t="s">
        <v>21</v>
      </c>
      <c r="G1980" t="s">
        <v>22</v>
      </c>
      <c r="H1980" t="s">
        <v>23</v>
      </c>
      <c r="I1980" t="s">
        <v>24</v>
      </c>
      <c r="J1980" t="s">
        <v>25</v>
      </c>
      <c r="K1980" t="s">
        <v>26</v>
      </c>
      <c r="L1980" t="s">
        <v>27</v>
      </c>
      <c r="M1980" t="s">
        <v>28</v>
      </c>
      <c r="N1980" s="1" t="e">
        <f t="shared" si="432"/>
        <v>#VALUE!</v>
      </c>
      <c r="O1980" s="1" t="e">
        <f t="shared" si="433"/>
        <v>#VALUE!</v>
      </c>
      <c r="P1980" s="1" t="e">
        <f t="shared" si="434"/>
        <v>#VALUE!</v>
      </c>
      <c r="Q1980" s="1" t="e">
        <f t="shared" si="435"/>
        <v>#VALUE!</v>
      </c>
      <c r="R1980" s="1" t="e">
        <f t="shared" si="436"/>
        <v>#VALUE!</v>
      </c>
      <c r="S1980" s="1" t="e">
        <f t="shared" si="437"/>
        <v>#VALUE!</v>
      </c>
      <c r="T1980" s="1" t="e">
        <f t="shared" si="438"/>
        <v>#VALUE!</v>
      </c>
      <c r="U1980" s="26" t="e">
        <f t="shared" si="439"/>
        <v>#VALUE!</v>
      </c>
      <c r="V1980" s="26" t="e">
        <f t="shared" si="440"/>
        <v>#VALUE!</v>
      </c>
      <c r="W1980" s="1" t="e">
        <f t="shared" si="441"/>
        <v>#VALUE!</v>
      </c>
      <c r="X1980" s="26" t="e">
        <f t="shared" si="442"/>
        <v>#VALUE!</v>
      </c>
      <c r="Y1980" s="26" t="e">
        <f t="shared" si="443"/>
        <v>#VALUE!</v>
      </c>
      <c r="Z1980" s="1" t="e">
        <f t="shared" si="444"/>
        <v>#VALUE!</v>
      </c>
      <c r="AA1980"/>
      <c r="AB1980"/>
    </row>
    <row r="1981" spans="1:28" x14ac:dyDescent="0.55000000000000004">
      <c r="A1981" s="1">
        <f t="shared" si="431"/>
        <v>1981</v>
      </c>
      <c r="B1981" t="s">
        <v>33</v>
      </c>
      <c r="C1981" t="s">
        <v>18</v>
      </c>
      <c r="D1981" t="s">
        <v>19</v>
      </c>
      <c r="E1981" t="s">
        <v>20</v>
      </c>
      <c r="F1981" t="s">
        <v>21</v>
      </c>
      <c r="G1981" t="s">
        <v>22</v>
      </c>
      <c r="H1981" t="s">
        <v>23</v>
      </c>
      <c r="I1981" t="s">
        <v>24</v>
      </c>
      <c r="J1981" t="s">
        <v>25</v>
      </c>
      <c r="K1981" t="s">
        <v>26</v>
      </c>
      <c r="L1981" t="s">
        <v>27</v>
      </c>
      <c r="M1981" t="s">
        <v>28</v>
      </c>
      <c r="N1981" s="1" t="e">
        <f t="shared" si="432"/>
        <v>#VALUE!</v>
      </c>
      <c r="O1981" s="1" t="e">
        <f t="shared" si="433"/>
        <v>#VALUE!</v>
      </c>
      <c r="P1981" s="1" t="e">
        <f t="shared" si="434"/>
        <v>#VALUE!</v>
      </c>
      <c r="Q1981" s="1" t="e">
        <f t="shared" si="435"/>
        <v>#VALUE!</v>
      </c>
      <c r="R1981" s="1" t="e">
        <f t="shared" si="436"/>
        <v>#VALUE!</v>
      </c>
      <c r="S1981" s="1" t="e">
        <f t="shared" si="437"/>
        <v>#VALUE!</v>
      </c>
      <c r="T1981" s="1" t="e">
        <f t="shared" si="438"/>
        <v>#VALUE!</v>
      </c>
      <c r="U1981" s="26" t="e">
        <f t="shared" si="439"/>
        <v>#VALUE!</v>
      </c>
      <c r="V1981" s="26" t="e">
        <f t="shared" si="440"/>
        <v>#VALUE!</v>
      </c>
      <c r="W1981" s="1" t="e">
        <f t="shared" si="441"/>
        <v>#VALUE!</v>
      </c>
      <c r="X1981" s="26" t="e">
        <f t="shared" si="442"/>
        <v>#VALUE!</v>
      </c>
      <c r="Y1981" s="26" t="e">
        <f t="shared" si="443"/>
        <v>#VALUE!</v>
      </c>
      <c r="Z1981" s="1" t="e">
        <f t="shared" si="444"/>
        <v>#VALUE!</v>
      </c>
      <c r="AA1981"/>
      <c r="AB1981"/>
    </row>
    <row r="1982" spans="1:28" x14ac:dyDescent="0.55000000000000004">
      <c r="A1982" s="1">
        <f t="shared" si="431"/>
        <v>1982</v>
      </c>
      <c r="B1982" t="s">
        <v>33</v>
      </c>
      <c r="C1982" t="s">
        <v>18</v>
      </c>
      <c r="D1982" t="s">
        <v>19</v>
      </c>
      <c r="E1982" t="s">
        <v>20</v>
      </c>
      <c r="F1982" t="s">
        <v>21</v>
      </c>
      <c r="G1982" t="s">
        <v>22</v>
      </c>
      <c r="H1982" t="s">
        <v>23</v>
      </c>
      <c r="I1982" t="s">
        <v>24</v>
      </c>
      <c r="J1982" t="s">
        <v>25</v>
      </c>
      <c r="K1982" t="s">
        <v>26</v>
      </c>
      <c r="L1982" t="s">
        <v>27</v>
      </c>
      <c r="M1982" t="s">
        <v>28</v>
      </c>
      <c r="N1982" s="1" t="e">
        <f t="shared" si="432"/>
        <v>#VALUE!</v>
      </c>
      <c r="O1982" s="1" t="e">
        <f t="shared" si="433"/>
        <v>#VALUE!</v>
      </c>
      <c r="P1982" s="1" t="e">
        <f t="shared" si="434"/>
        <v>#VALUE!</v>
      </c>
      <c r="Q1982" s="1" t="e">
        <f t="shared" si="435"/>
        <v>#VALUE!</v>
      </c>
      <c r="R1982" s="1" t="e">
        <f t="shared" si="436"/>
        <v>#VALUE!</v>
      </c>
      <c r="S1982" s="1" t="e">
        <f t="shared" si="437"/>
        <v>#VALUE!</v>
      </c>
      <c r="T1982" s="1" t="e">
        <f t="shared" si="438"/>
        <v>#VALUE!</v>
      </c>
      <c r="U1982" s="26" t="e">
        <f t="shared" si="439"/>
        <v>#VALUE!</v>
      </c>
      <c r="V1982" s="26" t="e">
        <f t="shared" si="440"/>
        <v>#VALUE!</v>
      </c>
      <c r="W1982" s="1" t="e">
        <f t="shared" si="441"/>
        <v>#VALUE!</v>
      </c>
      <c r="X1982" s="26" t="e">
        <f t="shared" si="442"/>
        <v>#VALUE!</v>
      </c>
      <c r="Y1982" s="26" t="e">
        <f t="shared" si="443"/>
        <v>#VALUE!</v>
      </c>
      <c r="Z1982" s="1" t="e">
        <f t="shared" si="444"/>
        <v>#VALUE!</v>
      </c>
      <c r="AA1982"/>
      <c r="AB1982"/>
    </row>
    <row r="1983" spans="1:28" x14ac:dyDescent="0.55000000000000004">
      <c r="A1983" s="1">
        <f t="shared" si="431"/>
        <v>1983</v>
      </c>
      <c r="B1983" t="s">
        <v>34</v>
      </c>
      <c r="C1983" t="s">
        <v>18</v>
      </c>
      <c r="D1983" t="s">
        <v>19</v>
      </c>
      <c r="E1983" t="s">
        <v>20</v>
      </c>
      <c r="F1983" t="s">
        <v>21</v>
      </c>
      <c r="G1983" t="s">
        <v>22</v>
      </c>
      <c r="H1983" t="s">
        <v>23</v>
      </c>
      <c r="I1983" t="s">
        <v>24</v>
      </c>
      <c r="J1983" t="s">
        <v>25</v>
      </c>
      <c r="K1983" t="s">
        <v>26</v>
      </c>
      <c r="L1983" t="s">
        <v>27</v>
      </c>
      <c r="M1983" t="s">
        <v>28</v>
      </c>
      <c r="N1983" s="1" t="e">
        <f t="shared" si="432"/>
        <v>#VALUE!</v>
      </c>
      <c r="O1983" s="1" t="e">
        <f t="shared" si="433"/>
        <v>#VALUE!</v>
      </c>
      <c r="P1983" s="1" t="e">
        <f t="shared" si="434"/>
        <v>#VALUE!</v>
      </c>
      <c r="Q1983" s="1" t="e">
        <f t="shared" si="435"/>
        <v>#VALUE!</v>
      </c>
      <c r="R1983" s="1" t="e">
        <f t="shared" si="436"/>
        <v>#VALUE!</v>
      </c>
      <c r="S1983" s="1" t="e">
        <f t="shared" si="437"/>
        <v>#VALUE!</v>
      </c>
      <c r="T1983" s="1" t="e">
        <f t="shared" si="438"/>
        <v>#VALUE!</v>
      </c>
      <c r="U1983" s="26" t="e">
        <f t="shared" si="439"/>
        <v>#VALUE!</v>
      </c>
      <c r="V1983" s="26" t="e">
        <f t="shared" si="440"/>
        <v>#VALUE!</v>
      </c>
      <c r="W1983" s="1" t="e">
        <f t="shared" si="441"/>
        <v>#VALUE!</v>
      </c>
      <c r="X1983" s="26" t="e">
        <f t="shared" si="442"/>
        <v>#VALUE!</v>
      </c>
      <c r="Y1983" s="26" t="e">
        <f t="shared" si="443"/>
        <v>#VALUE!</v>
      </c>
      <c r="Z1983" s="1" t="e">
        <f t="shared" si="444"/>
        <v>#VALUE!</v>
      </c>
      <c r="AA1983"/>
      <c r="AB1983"/>
    </row>
    <row r="1984" spans="1:28" x14ac:dyDescent="0.55000000000000004">
      <c r="A1984" s="1">
        <f t="shared" si="431"/>
        <v>1984</v>
      </c>
      <c r="B1984" t="s">
        <v>34</v>
      </c>
      <c r="C1984" t="s">
        <v>18</v>
      </c>
      <c r="D1984" t="s">
        <v>19</v>
      </c>
      <c r="E1984" t="s">
        <v>20</v>
      </c>
      <c r="F1984" t="s">
        <v>21</v>
      </c>
      <c r="G1984" t="s">
        <v>22</v>
      </c>
      <c r="H1984" t="s">
        <v>23</v>
      </c>
      <c r="I1984" t="s">
        <v>24</v>
      </c>
      <c r="J1984" t="s">
        <v>25</v>
      </c>
      <c r="K1984" t="s">
        <v>26</v>
      </c>
      <c r="L1984" t="s">
        <v>27</v>
      </c>
      <c r="M1984" t="s">
        <v>28</v>
      </c>
      <c r="N1984" s="1" t="e">
        <f t="shared" si="432"/>
        <v>#VALUE!</v>
      </c>
      <c r="O1984" s="1" t="e">
        <f t="shared" si="433"/>
        <v>#VALUE!</v>
      </c>
      <c r="P1984" s="1" t="e">
        <f t="shared" si="434"/>
        <v>#VALUE!</v>
      </c>
      <c r="Q1984" s="1" t="e">
        <f t="shared" si="435"/>
        <v>#VALUE!</v>
      </c>
      <c r="R1984" s="1" t="e">
        <f t="shared" si="436"/>
        <v>#VALUE!</v>
      </c>
      <c r="S1984" s="1" t="e">
        <f t="shared" si="437"/>
        <v>#VALUE!</v>
      </c>
      <c r="T1984" s="1" t="e">
        <f t="shared" si="438"/>
        <v>#VALUE!</v>
      </c>
      <c r="U1984" s="26" t="e">
        <f t="shared" si="439"/>
        <v>#VALUE!</v>
      </c>
      <c r="V1984" s="26" t="e">
        <f t="shared" si="440"/>
        <v>#VALUE!</v>
      </c>
      <c r="W1984" s="1" t="e">
        <f t="shared" si="441"/>
        <v>#VALUE!</v>
      </c>
      <c r="X1984" s="26" t="e">
        <f t="shared" si="442"/>
        <v>#VALUE!</v>
      </c>
      <c r="Y1984" s="26" t="e">
        <f t="shared" si="443"/>
        <v>#VALUE!</v>
      </c>
      <c r="Z1984" s="1" t="e">
        <f t="shared" si="444"/>
        <v>#VALUE!</v>
      </c>
      <c r="AA1984"/>
      <c r="AB1984"/>
    </row>
    <row r="1985" spans="1:28" x14ac:dyDescent="0.55000000000000004">
      <c r="A1985" s="1">
        <f t="shared" si="431"/>
        <v>1985</v>
      </c>
      <c r="B1985" t="s">
        <v>34</v>
      </c>
      <c r="C1985" t="s">
        <v>18</v>
      </c>
      <c r="D1985" t="s">
        <v>19</v>
      </c>
      <c r="E1985" t="s">
        <v>20</v>
      </c>
      <c r="F1985" t="s">
        <v>21</v>
      </c>
      <c r="G1985" t="s">
        <v>22</v>
      </c>
      <c r="H1985" t="s">
        <v>23</v>
      </c>
      <c r="I1985" t="s">
        <v>24</v>
      </c>
      <c r="J1985" t="s">
        <v>25</v>
      </c>
      <c r="K1985" t="s">
        <v>26</v>
      </c>
      <c r="L1985" t="s">
        <v>27</v>
      </c>
      <c r="M1985" t="s">
        <v>28</v>
      </c>
      <c r="N1985" s="1" t="e">
        <f t="shared" si="432"/>
        <v>#VALUE!</v>
      </c>
      <c r="O1985" s="1" t="e">
        <f t="shared" si="433"/>
        <v>#VALUE!</v>
      </c>
      <c r="P1985" s="1" t="e">
        <f t="shared" si="434"/>
        <v>#VALUE!</v>
      </c>
      <c r="Q1985" s="1" t="e">
        <f t="shared" si="435"/>
        <v>#VALUE!</v>
      </c>
      <c r="R1985" s="1" t="e">
        <f t="shared" si="436"/>
        <v>#VALUE!</v>
      </c>
      <c r="S1985" s="1" t="e">
        <f t="shared" si="437"/>
        <v>#VALUE!</v>
      </c>
      <c r="T1985" s="1" t="e">
        <f t="shared" si="438"/>
        <v>#VALUE!</v>
      </c>
      <c r="U1985" s="26" t="e">
        <f t="shared" si="439"/>
        <v>#VALUE!</v>
      </c>
      <c r="V1985" s="26" t="e">
        <f t="shared" si="440"/>
        <v>#VALUE!</v>
      </c>
      <c r="W1985" s="1" t="e">
        <f t="shared" si="441"/>
        <v>#VALUE!</v>
      </c>
      <c r="X1985" s="26" t="e">
        <f t="shared" si="442"/>
        <v>#VALUE!</v>
      </c>
      <c r="Y1985" s="26" t="e">
        <f t="shared" si="443"/>
        <v>#VALUE!</v>
      </c>
      <c r="Z1985" s="1" t="e">
        <f t="shared" si="444"/>
        <v>#VALUE!</v>
      </c>
      <c r="AA1985"/>
      <c r="AB1985"/>
    </row>
    <row r="1986" spans="1:28" x14ac:dyDescent="0.55000000000000004">
      <c r="A1986" s="1">
        <f t="shared" si="431"/>
        <v>1986</v>
      </c>
      <c r="B1986" t="s">
        <v>34</v>
      </c>
      <c r="C1986" t="s">
        <v>18</v>
      </c>
      <c r="D1986" t="s">
        <v>19</v>
      </c>
      <c r="E1986" t="s">
        <v>20</v>
      </c>
      <c r="F1986" t="s">
        <v>21</v>
      </c>
      <c r="G1986" t="s">
        <v>22</v>
      </c>
      <c r="H1986" t="s">
        <v>23</v>
      </c>
      <c r="I1986" t="s">
        <v>24</v>
      </c>
      <c r="J1986" t="s">
        <v>25</v>
      </c>
      <c r="K1986" t="s">
        <v>26</v>
      </c>
      <c r="L1986" t="s">
        <v>27</v>
      </c>
      <c r="M1986" t="s">
        <v>28</v>
      </c>
      <c r="N1986" s="1" t="e">
        <f t="shared" si="432"/>
        <v>#VALUE!</v>
      </c>
      <c r="O1986" s="1" t="e">
        <f t="shared" si="433"/>
        <v>#VALUE!</v>
      </c>
      <c r="P1986" s="1" t="e">
        <f t="shared" si="434"/>
        <v>#VALUE!</v>
      </c>
      <c r="Q1986" s="1" t="e">
        <f t="shared" si="435"/>
        <v>#VALUE!</v>
      </c>
      <c r="R1986" s="1" t="e">
        <f t="shared" si="436"/>
        <v>#VALUE!</v>
      </c>
      <c r="S1986" s="1" t="e">
        <f t="shared" si="437"/>
        <v>#VALUE!</v>
      </c>
      <c r="T1986" s="1" t="e">
        <f t="shared" si="438"/>
        <v>#VALUE!</v>
      </c>
      <c r="U1986" s="26" t="e">
        <f t="shared" si="439"/>
        <v>#VALUE!</v>
      </c>
      <c r="V1986" s="26" t="e">
        <f t="shared" si="440"/>
        <v>#VALUE!</v>
      </c>
      <c r="W1986" s="1" t="e">
        <f t="shared" si="441"/>
        <v>#VALUE!</v>
      </c>
      <c r="X1986" s="26" t="e">
        <f t="shared" si="442"/>
        <v>#VALUE!</v>
      </c>
      <c r="Y1986" s="26" t="e">
        <f t="shared" si="443"/>
        <v>#VALUE!</v>
      </c>
      <c r="Z1986" s="1" t="e">
        <f t="shared" si="444"/>
        <v>#VALUE!</v>
      </c>
      <c r="AA1986"/>
      <c r="AB1986"/>
    </row>
    <row r="1987" spans="1:28" x14ac:dyDescent="0.55000000000000004">
      <c r="A1987" s="1">
        <f t="shared" ref="A1987:A2050" si="445">A1986+1</f>
        <v>1987</v>
      </c>
      <c r="B1987" t="s">
        <v>35</v>
      </c>
      <c r="C1987" t="s">
        <v>18</v>
      </c>
      <c r="D1987" t="s">
        <v>19</v>
      </c>
      <c r="E1987" t="s">
        <v>20</v>
      </c>
      <c r="F1987" t="s">
        <v>21</v>
      </c>
      <c r="G1987" t="s">
        <v>22</v>
      </c>
      <c r="H1987" t="s">
        <v>23</v>
      </c>
      <c r="I1987" t="s">
        <v>24</v>
      </c>
      <c r="J1987" t="s">
        <v>25</v>
      </c>
      <c r="K1987" t="s">
        <v>26</v>
      </c>
      <c r="L1987" t="s">
        <v>27</v>
      </c>
      <c r="M1987" t="s">
        <v>28</v>
      </c>
      <c r="N1987" s="1" t="e">
        <f t="shared" ref="N1987:N2050" si="446">VALUE(LEFT(H1987,1))</f>
        <v>#VALUE!</v>
      </c>
      <c r="O1987" s="1" t="e">
        <f t="shared" ref="O1987:O2050" si="447">VALUE(RIGHT(H1987,1))</f>
        <v>#VALUE!</v>
      </c>
      <c r="P1987" s="1" t="e">
        <f t="shared" ref="P1987:P2050" si="448">SUM(N1987,O1987)</f>
        <v>#VALUE!</v>
      </c>
      <c r="Q1987" s="1" t="e">
        <f t="shared" ref="Q1987:Q2050" si="449">IF(N1987&lt;&gt;O1987, 1, 0)</f>
        <v>#VALUE!</v>
      </c>
      <c r="R1987" s="1" t="e">
        <f t="shared" ref="R1987:R2050" si="450">IF(P1987&lt;=4,1,0)</f>
        <v>#VALUE!</v>
      </c>
      <c r="S1987" s="1" t="e">
        <f t="shared" ref="S1987:S2050" si="451">IF(AND(Q1987=1,R1987=1),1,0)</f>
        <v>#VALUE!</v>
      </c>
      <c r="T1987" s="1" t="e">
        <f t="shared" ref="T1987:T2050" si="452">IF(N1987&lt;=2,1,0)</f>
        <v>#VALUE!</v>
      </c>
      <c r="U1987" s="26" t="e">
        <f t="shared" ref="U1987:U2050" si="453">IF(AND(N1987&gt;=1,N1987&lt;=3),1,0)</f>
        <v>#VALUE!</v>
      </c>
      <c r="V1987" s="26" t="e">
        <f t="shared" ref="V1987:V2050" si="454">IF(AND(N1987&gt;=2,N1987&lt;=5),1,0)</f>
        <v>#VALUE!</v>
      </c>
      <c r="W1987" s="1" t="e">
        <f t="shared" ref="W1987:W2050" si="455">IF(O1987&lt;=2,1,0)</f>
        <v>#VALUE!</v>
      </c>
      <c r="X1987" s="26" t="e">
        <f t="shared" ref="X1987:X2050" si="456">IF(AND(O1987&gt;=1,O1987&lt;=3),1,0)</f>
        <v>#VALUE!</v>
      </c>
      <c r="Y1987" s="26" t="e">
        <f t="shared" ref="Y1987:Y2050" si="457">IF(AND(O1987&gt;=2,O1987&lt;=5),1,0)</f>
        <v>#VALUE!</v>
      </c>
      <c r="Z1987" s="1" t="e">
        <f t="shared" ref="Z1987:Z2050" si="458">IF(P1987&gt;=2,1,0)</f>
        <v>#VALUE!</v>
      </c>
      <c r="AA1987"/>
      <c r="AB1987"/>
    </row>
    <row r="1988" spans="1:28" x14ac:dyDescent="0.55000000000000004">
      <c r="A1988" s="1">
        <f t="shared" si="445"/>
        <v>1988</v>
      </c>
      <c r="B1988" t="s">
        <v>35</v>
      </c>
      <c r="C1988" t="s">
        <v>18</v>
      </c>
      <c r="D1988" t="s">
        <v>19</v>
      </c>
      <c r="E1988" t="s">
        <v>20</v>
      </c>
      <c r="F1988" t="s">
        <v>21</v>
      </c>
      <c r="G1988" t="s">
        <v>22</v>
      </c>
      <c r="H1988" t="s">
        <v>23</v>
      </c>
      <c r="I1988" t="s">
        <v>24</v>
      </c>
      <c r="J1988" t="s">
        <v>25</v>
      </c>
      <c r="K1988" t="s">
        <v>26</v>
      </c>
      <c r="L1988" t="s">
        <v>27</v>
      </c>
      <c r="M1988" t="s">
        <v>28</v>
      </c>
      <c r="N1988" s="1" t="e">
        <f t="shared" si="446"/>
        <v>#VALUE!</v>
      </c>
      <c r="O1988" s="1" t="e">
        <f t="shared" si="447"/>
        <v>#VALUE!</v>
      </c>
      <c r="P1988" s="1" t="e">
        <f t="shared" si="448"/>
        <v>#VALUE!</v>
      </c>
      <c r="Q1988" s="1" t="e">
        <f t="shared" si="449"/>
        <v>#VALUE!</v>
      </c>
      <c r="R1988" s="1" t="e">
        <f t="shared" si="450"/>
        <v>#VALUE!</v>
      </c>
      <c r="S1988" s="1" t="e">
        <f t="shared" si="451"/>
        <v>#VALUE!</v>
      </c>
      <c r="T1988" s="1" t="e">
        <f t="shared" si="452"/>
        <v>#VALUE!</v>
      </c>
      <c r="U1988" s="26" t="e">
        <f t="shared" si="453"/>
        <v>#VALUE!</v>
      </c>
      <c r="V1988" s="26" t="e">
        <f t="shared" si="454"/>
        <v>#VALUE!</v>
      </c>
      <c r="W1988" s="1" t="e">
        <f t="shared" si="455"/>
        <v>#VALUE!</v>
      </c>
      <c r="X1988" s="26" t="e">
        <f t="shared" si="456"/>
        <v>#VALUE!</v>
      </c>
      <c r="Y1988" s="26" t="e">
        <f t="shared" si="457"/>
        <v>#VALUE!</v>
      </c>
      <c r="Z1988" s="1" t="e">
        <f t="shared" si="458"/>
        <v>#VALUE!</v>
      </c>
      <c r="AA1988"/>
      <c r="AB1988"/>
    </row>
    <row r="1989" spans="1:28" x14ac:dyDescent="0.55000000000000004">
      <c r="A1989" s="1">
        <f t="shared" si="445"/>
        <v>1989</v>
      </c>
      <c r="B1989" t="s">
        <v>35</v>
      </c>
      <c r="C1989" t="s">
        <v>18</v>
      </c>
      <c r="D1989" t="s">
        <v>19</v>
      </c>
      <c r="E1989" t="s">
        <v>20</v>
      </c>
      <c r="F1989" t="s">
        <v>21</v>
      </c>
      <c r="G1989" t="s">
        <v>22</v>
      </c>
      <c r="H1989" t="s">
        <v>23</v>
      </c>
      <c r="I1989" t="s">
        <v>24</v>
      </c>
      <c r="J1989" t="s">
        <v>25</v>
      </c>
      <c r="K1989" t="s">
        <v>26</v>
      </c>
      <c r="L1989" t="s">
        <v>27</v>
      </c>
      <c r="M1989" t="s">
        <v>28</v>
      </c>
      <c r="N1989" s="1" t="e">
        <f t="shared" si="446"/>
        <v>#VALUE!</v>
      </c>
      <c r="O1989" s="1" t="e">
        <f t="shared" si="447"/>
        <v>#VALUE!</v>
      </c>
      <c r="P1989" s="1" t="e">
        <f t="shared" si="448"/>
        <v>#VALUE!</v>
      </c>
      <c r="Q1989" s="1" t="e">
        <f t="shared" si="449"/>
        <v>#VALUE!</v>
      </c>
      <c r="R1989" s="1" t="e">
        <f t="shared" si="450"/>
        <v>#VALUE!</v>
      </c>
      <c r="S1989" s="1" t="e">
        <f t="shared" si="451"/>
        <v>#VALUE!</v>
      </c>
      <c r="T1989" s="1" t="e">
        <f t="shared" si="452"/>
        <v>#VALUE!</v>
      </c>
      <c r="U1989" s="26" t="e">
        <f t="shared" si="453"/>
        <v>#VALUE!</v>
      </c>
      <c r="V1989" s="26" t="e">
        <f t="shared" si="454"/>
        <v>#VALUE!</v>
      </c>
      <c r="W1989" s="1" t="e">
        <f t="shared" si="455"/>
        <v>#VALUE!</v>
      </c>
      <c r="X1989" s="26" t="e">
        <f t="shared" si="456"/>
        <v>#VALUE!</v>
      </c>
      <c r="Y1989" s="26" t="e">
        <f t="shared" si="457"/>
        <v>#VALUE!</v>
      </c>
      <c r="Z1989" s="1" t="e">
        <f t="shared" si="458"/>
        <v>#VALUE!</v>
      </c>
      <c r="AA1989"/>
      <c r="AB1989"/>
    </row>
    <row r="1990" spans="1:28" x14ac:dyDescent="0.55000000000000004">
      <c r="A1990" s="1">
        <f t="shared" si="445"/>
        <v>1990</v>
      </c>
      <c r="B1990" t="s">
        <v>35</v>
      </c>
      <c r="C1990" t="s">
        <v>18</v>
      </c>
      <c r="D1990" t="s">
        <v>19</v>
      </c>
      <c r="E1990" t="s">
        <v>20</v>
      </c>
      <c r="F1990" t="s">
        <v>21</v>
      </c>
      <c r="G1990" t="s">
        <v>22</v>
      </c>
      <c r="H1990" t="s">
        <v>23</v>
      </c>
      <c r="I1990" t="s">
        <v>24</v>
      </c>
      <c r="J1990" t="s">
        <v>25</v>
      </c>
      <c r="K1990" t="s">
        <v>26</v>
      </c>
      <c r="L1990" t="s">
        <v>27</v>
      </c>
      <c r="M1990" t="s">
        <v>28</v>
      </c>
      <c r="N1990" s="1" t="e">
        <f t="shared" si="446"/>
        <v>#VALUE!</v>
      </c>
      <c r="O1990" s="1" t="e">
        <f t="shared" si="447"/>
        <v>#VALUE!</v>
      </c>
      <c r="P1990" s="1" t="e">
        <f t="shared" si="448"/>
        <v>#VALUE!</v>
      </c>
      <c r="Q1990" s="1" t="e">
        <f t="shared" si="449"/>
        <v>#VALUE!</v>
      </c>
      <c r="R1990" s="1" t="e">
        <f t="shared" si="450"/>
        <v>#VALUE!</v>
      </c>
      <c r="S1990" s="1" t="e">
        <f t="shared" si="451"/>
        <v>#VALUE!</v>
      </c>
      <c r="T1990" s="1" t="e">
        <f t="shared" si="452"/>
        <v>#VALUE!</v>
      </c>
      <c r="U1990" s="26" t="e">
        <f t="shared" si="453"/>
        <v>#VALUE!</v>
      </c>
      <c r="V1990" s="26" t="e">
        <f t="shared" si="454"/>
        <v>#VALUE!</v>
      </c>
      <c r="W1990" s="1" t="e">
        <f t="shared" si="455"/>
        <v>#VALUE!</v>
      </c>
      <c r="X1990" s="26" t="e">
        <f t="shared" si="456"/>
        <v>#VALUE!</v>
      </c>
      <c r="Y1990" s="26" t="e">
        <f t="shared" si="457"/>
        <v>#VALUE!</v>
      </c>
      <c r="Z1990" s="1" t="e">
        <f t="shared" si="458"/>
        <v>#VALUE!</v>
      </c>
      <c r="AA1990"/>
      <c r="AB1990"/>
    </row>
    <row r="1991" spans="1:28" x14ac:dyDescent="0.55000000000000004">
      <c r="A1991" s="1">
        <f t="shared" si="445"/>
        <v>1991</v>
      </c>
      <c r="B1991" t="s">
        <v>35</v>
      </c>
      <c r="C1991" t="s">
        <v>18</v>
      </c>
      <c r="D1991" t="s">
        <v>19</v>
      </c>
      <c r="E1991" t="s">
        <v>20</v>
      </c>
      <c r="F1991" t="s">
        <v>21</v>
      </c>
      <c r="G1991" t="s">
        <v>22</v>
      </c>
      <c r="H1991" t="s">
        <v>23</v>
      </c>
      <c r="I1991" t="s">
        <v>24</v>
      </c>
      <c r="J1991" t="s">
        <v>25</v>
      </c>
      <c r="K1991" t="s">
        <v>26</v>
      </c>
      <c r="L1991" t="s">
        <v>27</v>
      </c>
      <c r="M1991" t="s">
        <v>28</v>
      </c>
      <c r="N1991" s="1" t="e">
        <f t="shared" si="446"/>
        <v>#VALUE!</v>
      </c>
      <c r="O1991" s="1" t="e">
        <f t="shared" si="447"/>
        <v>#VALUE!</v>
      </c>
      <c r="P1991" s="1" t="e">
        <f t="shared" si="448"/>
        <v>#VALUE!</v>
      </c>
      <c r="Q1991" s="1" t="e">
        <f t="shared" si="449"/>
        <v>#VALUE!</v>
      </c>
      <c r="R1991" s="1" t="e">
        <f t="shared" si="450"/>
        <v>#VALUE!</v>
      </c>
      <c r="S1991" s="1" t="e">
        <f t="shared" si="451"/>
        <v>#VALUE!</v>
      </c>
      <c r="T1991" s="1" t="e">
        <f t="shared" si="452"/>
        <v>#VALUE!</v>
      </c>
      <c r="U1991" s="26" t="e">
        <f t="shared" si="453"/>
        <v>#VALUE!</v>
      </c>
      <c r="V1991" s="26" t="e">
        <f t="shared" si="454"/>
        <v>#VALUE!</v>
      </c>
      <c r="W1991" s="1" t="e">
        <f t="shared" si="455"/>
        <v>#VALUE!</v>
      </c>
      <c r="X1991" s="26" t="e">
        <f t="shared" si="456"/>
        <v>#VALUE!</v>
      </c>
      <c r="Y1991" s="26" t="e">
        <f t="shared" si="457"/>
        <v>#VALUE!</v>
      </c>
      <c r="Z1991" s="1" t="e">
        <f t="shared" si="458"/>
        <v>#VALUE!</v>
      </c>
      <c r="AA1991"/>
      <c r="AB1991"/>
    </row>
    <row r="1992" spans="1:28" x14ac:dyDescent="0.55000000000000004">
      <c r="A1992" s="1">
        <f t="shared" si="445"/>
        <v>1992</v>
      </c>
      <c r="B1992" t="s">
        <v>35</v>
      </c>
      <c r="C1992" t="s">
        <v>18</v>
      </c>
      <c r="D1992" t="s">
        <v>19</v>
      </c>
      <c r="E1992" t="s">
        <v>20</v>
      </c>
      <c r="F1992" t="s">
        <v>21</v>
      </c>
      <c r="G1992" t="s">
        <v>22</v>
      </c>
      <c r="H1992" t="s">
        <v>23</v>
      </c>
      <c r="I1992" t="s">
        <v>24</v>
      </c>
      <c r="J1992" t="s">
        <v>25</v>
      </c>
      <c r="K1992" t="s">
        <v>26</v>
      </c>
      <c r="L1992" t="s">
        <v>27</v>
      </c>
      <c r="M1992" t="s">
        <v>28</v>
      </c>
      <c r="N1992" s="1" t="e">
        <f t="shared" si="446"/>
        <v>#VALUE!</v>
      </c>
      <c r="O1992" s="1" t="e">
        <f t="shared" si="447"/>
        <v>#VALUE!</v>
      </c>
      <c r="P1992" s="1" t="e">
        <f t="shared" si="448"/>
        <v>#VALUE!</v>
      </c>
      <c r="Q1992" s="1" t="e">
        <f t="shared" si="449"/>
        <v>#VALUE!</v>
      </c>
      <c r="R1992" s="1" t="e">
        <f t="shared" si="450"/>
        <v>#VALUE!</v>
      </c>
      <c r="S1992" s="1" t="e">
        <f t="shared" si="451"/>
        <v>#VALUE!</v>
      </c>
      <c r="T1992" s="1" t="e">
        <f t="shared" si="452"/>
        <v>#VALUE!</v>
      </c>
      <c r="U1992" s="26" t="e">
        <f t="shared" si="453"/>
        <v>#VALUE!</v>
      </c>
      <c r="V1992" s="26" t="e">
        <f t="shared" si="454"/>
        <v>#VALUE!</v>
      </c>
      <c r="W1992" s="1" t="e">
        <f t="shared" si="455"/>
        <v>#VALUE!</v>
      </c>
      <c r="X1992" s="26" t="e">
        <f t="shared" si="456"/>
        <v>#VALUE!</v>
      </c>
      <c r="Y1992" s="26" t="e">
        <f t="shared" si="457"/>
        <v>#VALUE!</v>
      </c>
      <c r="Z1992" s="1" t="e">
        <f t="shared" si="458"/>
        <v>#VALUE!</v>
      </c>
      <c r="AA1992"/>
      <c r="AB1992"/>
    </row>
    <row r="1993" spans="1:28" x14ac:dyDescent="0.55000000000000004">
      <c r="A1993" s="1">
        <f t="shared" si="445"/>
        <v>1993</v>
      </c>
      <c r="B1993" t="s">
        <v>35</v>
      </c>
      <c r="C1993" t="s">
        <v>18</v>
      </c>
      <c r="D1993" t="s">
        <v>19</v>
      </c>
      <c r="E1993" t="s">
        <v>20</v>
      </c>
      <c r="F1993" t="s">
        <v>21</v>
      </c>
      <c r="G1993" t="s">
        <v>22</v>
      </c>
      <c r="H1993" t="s">
        <v>23</v>
      </c>
      <c r="I1993" t="s">
        <v>24</v>
      </c>
      <c r="J1993" t="s">
        <v>25</v>
      </c>
      <c r="K1993" t="s">
        <v>26</v>
      </c>
      <c r="L1993" t="s">
        <v>27</v>
      </c>
      <c r="M1993" t="s">
        <v>28</v>
      </c>
      <c r="N1993" s="1" t="e">
        <f t="shared" si="446"/>
        <v>#VALUE!</v>
      </c>
      <c r="O1993" s="1" t="e">
        <f t="shared" si="447"/>
        <v>#VALUE!</v>
      </c>
      <c r="P1993" s="1" t="e">
        <f t="shared" si="448"/>
        <v>#VALUE!</v>
      </c>
      <c r="Q1993" s="1" t="e">
        <f t="shared" si="449"/>
        <v>#VALUE!</v>
      </c>
      <c r="R1993" s="1" t="e">
        <f t="shared" si="450"/>
        <v>#VALUE!</v>
      </c>
      <c r="S1993" s="1" t="e">
        <f t="shared" si="451"/>
        <v>#VALUE!</v>
      </c>
      <c r="T1993" s="1" t="e">
        <f t="shared" si="452"/>
        <v>#VALUE!</v>
      </c>
      <c r="U1993" s="26" t="e">
        <f t="shared" si="453"/>
        <v>#VALUE!</v>
      </c>
      <c r="V1993" s="26" t="e">
        <f t="shared" si="454"/>
        <v>#VALUE!</v>
      </c>
      <c r="W1993" s="1" t="e">
        <f t="shared" si="455"/>
        <v>#VALUE!</v>
      </c>
      <c r="X1993" s="26" t="e">
        <f t="shared" si="456"/>
        <v>#VALUE!</v>
      </c>
      <c r="Y1993" s="26" t="e">
        <f t="shared" si="457"/>
        <v>#VALUE!</v>
      </c>
      <c r="Z1993" s="1" t="e">
        <f t="shared" si="458"/>
        <v>#VALUE!</v>
      </c>
      <c r="AA1993"/>
      <c r="AB1993"/>
    </row>
    <row r="1994" spans="1:28" x14ac:dyDescent="0.55000000000000004">
      <c r="A1994" s="1">
        <f t="shared" si="445"/>
        <v>1994</v>
      </c>
      <c r="B1994" t="s">
        <v>35</v>
      </c>
      <c r="C1994" t="s">
        <v>18</v>
      </c>
      <c r="D1994" t="s">
        <v>19</v>
      </c>
      <c r="E1994" t="s">
        <v>20</v>
      </c>
      <c r="F1994" t="s">
        <v>21</v>
      </c>
      <c r="G1994" t="s">
        <v>22</v>
      </c>
      <c r="H1994" t="s">
        <v>23</v>
      </c>
      <c r="I1994" t="s">
        <v>24</v>
      </c>
      <c r="J1994" t="s">
        <v>25</v>
      </c>
      <c r="K1994" t="s">
        <v>26</v>
      </c>
      <c r="L1994" t="s">
        <v>27</v>
      </c>
      <c r="M1994" t="s">
        <v>28</v>
      </c>
      <c r="N1994" s="1" t="e">
        <f t="shared" si="446"/>
        <v>#VALUE!</v>
      </c>
      <c r="O1994" s="1" t="e">
        <f t="shared" si="447"/>
        <v>#VALUE!</v>
      </c>
      <c r="P1994" s="1" t="e">
        <f t="shared" si="448"/>
        <v>#VALUE!</v>
      </c>
      <c r="Q1994" s="1" t="e">
        <f t="shared" si="449"/>
        <v>#VALUE!</v>
      </c>
      <c r="R1994" s="1" t="e">
        <f t="shared" si="450"/>
        <v>#VALUE!</v>
      </c>
      <c r="S1994" s="1" t="e">
        <f t="shared" si="451"/>
        <v>#VALUE!</v>
      </c>
      <c r="T1994" s="1" t="e">
        <f t="shared" si="452"/>
        <v>#VALUE!</v>
      </c>
      <c r="U1994" s="26" t="e">
        <f t="shared" si="453"/>
        <v>#VALUE!</v>
      </c>
      <c r="V1994" s="26" t="e">
        <f t="shared" si="454"/>
        <v>#VALUE!</v>
      </c>
      <c r="W1994" s="1" t="e">
        <f t="shared" si="455"/>
        <v>#VALUE!</v>
      </c>
      <c r="X1994" s="26" t="e">
        <f t="shared" si="456"/>
        <v>#VALUE!</v>
      </c>
      <c r="Y1994" s="26" t="e">
        <f t="shared" si="457"/>
        <v>#VALUE!</v>
      </c>
      <c r="Z1994" s="1" t="e">
        <f t="shared" si="458"/>
        <v>#VALUE!</v>
      </c>
      <c r="AA1994"/>
      <c r="AB1994"/>
    </row>
    <row r="1995" spans="1:28" x14ac:dyDescent="0.55000000000000004">
      <c r="A1995" s="1">
        <f t="shared" si="445"/>
        <v>1995</v>
      </c>
      <c r="B1995" t="s">
        <v>35</v>
      </c>
      <c r="C1995" t="s">
        <v>18</v>
      </c>
      <c r="D1995" t="s">
        <v>19</v>
      </c>
      <c r="E1995" t="s">
        <v>20</v>
      </c>
      <c r="F1995" t="s">
        <v>21</v>
      </c>
      <c r="G1995" t="s">
        <v>22</v>
      </c>
      <c r="H1995" t="s">
        <v>23</v>
      </c>
      <c r="I1995" t="s">
        <v>24</v>
      </c>
      <c r="J1995" t="s">
        <v>25</v>
      </c>
      <c r="K1995" t="s">
        <v>26</v>
      </c>
      <c r="L1995" t="s">
        <v>27</v>
      </c>
      <c r="M1995" t="s">
        <v>28</v>
      </c>
      <c r="N1995" s="1" t="e">
        <f t="shared" si="446"/>
        <v>#VALUE!</v>
      </c>
      <c r="O1995" s="1" t="e">
        <f t="shared" si="447"/>
        <v>#VALUE!</v>
      </c>
      <c r="P1995" s="1" t="e">
        <f t="shared" si="448"/>
        <v>#VALUE!</v>
      </c>
      <c r="Q1995" s="1" t="e">
        <f t="shared" si="449"/>
        <v>#VALUE!</v>
      </c>
      <c r="R1995" s="1" t="e">
        <f t="shared" si="450"/>
        <v>#VALUE!</v>
      </c>
      <c r="S1995" s="1" t="e">
        <f t="shared" si="451"/>
        <v>#VALUE!</v>
      </c>
      <c r="T1995" s="1" t="e">
        <f t="shared" si="452"/>
        <v>#VALUE!</v>
      </c>
      <c r="U1995" s="26" t="e">
        <f t="shared" si="453"/>
        <v>#VALUE!</v>
      </c>
      <c r="V1995" s="26" t="e">
        <f t="shared" si="454"/>
        <v>#VALUE!</v>
      </c>
      <c r="W1995" s="1" t="e">
        <f t="shared" si="455"/>
        <v>#VALUE!</v>
      </c>
      <c r="X1995" s="26" t="e">
        <f t="shared" si="456"/>
        <v>#VALUE!</v>
      </c>
      <c r="Y1995" s="26" t="e">
        <f t="shared" si="457"/>
        <v>#VALUE!</v>
      </c>
      <c r="Z1995" s="1" t="e">
        <f t="shared" si="458"/>
        <v>#VALUE!</v>
      </c>
      <c r="AA1995"/>
      <c r="AB1995"/>
    </row>
    <row r="1996" spans="1:28" x14ac:dyDescent="0.55000000000000004">
      <c r="A1996" s="1">
        <f t="shared" si="445"/>
        <v>1996</v>
      </c>
      <c r="B1996" t="s">
        <v>37</v>
      </c>
      <c r="C1996" t="s">
        <v>18</v>
      </c>
      <c r="D1996" t="s">
        <v>19</v>
      </c>
      <c r="E1996" t="s">
        <v>20</v>
      </c>
      <c r="F1996" t="s">
        <v>21</v>
      </c>
      <c r="G1996" t="s">
        <v>22</v>
      </c>
      <c r="H1996" t="s">
        <v>23</v>
      </c>
      <c r="I1996" t="s">
        <v>24</v>
      </c>
      <c r="J1996" t="s">
        <v>25</v>
      </c>
      <c r="K1996" t="s">
        <v>26</v>
      </c>
      <c r="L1996" t="s">
        <v>27</v>
      </c>
      <c r="M1996" t="s">
        <v>28</v>
      </c>
      <c r="N1996" s="1" t="e">
        <f t="shared" si="446"/>
        <v>#VALUE!</v>
      </c>
      <c r="O1996" s="1" t="e">
        <f t="shared" si="447"/>
        <v>#VALUE!</v>
      </c>
      <c r="P1996" s="1" t="e">
        <f t="shared" si="448"/>
        <v>#VALUE!</v>
      </c>
      <c r="Q1996" s="1" t="e">
        <f t="shared" si="449"/>
        <v>#VALUE!</v>
      </c>
      <c r="R1996" s="1" t="e">
        <f t="shared" si="450"/>
        <v>#VALUE!</v>
      </c>
      <c r="S1996" s="1" t="e">
        <f t="shared" si="451"/>
        <v>#VALUE!</v>
      </c>
      <c r="T1996" s="1" t="e">
        <f t="shared" si="452"/>
        <v>#VALUE!</v>
      </c>
      <c r="U1996" s="26" t="e">
        <f t="shared" si="453"/>
        <v>#VALUE!</v>
      </c>
      <c r="V1996" s="26" t="e">
        <f t="shared" si="454"/>
        <v>#VALUE!</v>
      </c>
      <c r="W1996" s="1" t="e">
        <f t="shared" si="455"/>
        <v>#VALUE!</v>
      </c>
      <c r="X1996" s="26" t="e">
        <f t="shared" si="456"/>
        <v>#VALUE!</v>
      </c>
      <c r="Y1996" s="26" t="e">
        <f t="shared" si="457"/>
        <v>#VALUE!</v>
      </c>
      <c r="Z1996" s="1" t="e">
        <f t="shared" si="458"/>
        <v>#VALUE!</v>
      </c>
      <c r="AA1996"/>
      <c r="AB1996"/>
    </row>
    <row r="1997" spans="1:28" x14ac:dyDescent="0.55000000000000004">
      <c r="A1997" s="1">
        <f t="shared" si="445"/>
        <v>1997</v>
      </c>
      <c r="B1997" t="s">
        <v>37</v>
      </c>
      <c r="C1997" t="s">
        <v>18</v>
      </c>
      <c r="D1997" t="s">
        <v>19</v>
      </c>
      <c r="E1997" t="s">
        <v>20</v>
      </c>
      <c r="F1997" t="s">
        <v>21</v>
      </c>
      <c r="G1997" t="s">
        <v>22</v>
      </c>
      <c r="H1997" t="s">
        <v>23</v>
      </c>
      <c r="I1997" t="s">
        <v>24</v>
      </c>
      <c r="J1997" t="s">
        <v>25</v>
      </c>
      <c r="K1997" t="s">
        <v>26</v>
      </c>
      <c r="L1997" t="s">
        <v>27</v>
      </c>
      <c r="M1997" t="s">
        <v>28</v>
      </c>
      <c r="N1997" s="1" t="e">
        <f t="shared" si="446"/>
        <v>#VALUE!</v>
      </c>
      <c r="O1997" s="1" t="e">
        <f t="shared" si="447"/>
        <v>#VALUE!</v>
      </c>
      <c r="P1997" s="1" t="e">
        <f t="shared" si="448"/>
        <v>#VALUE!</v>
      </c>
      <c r="Q1997" s="1" t="e">
        <f t="shared" si="449"/>
        <v>#VALUE!</v>
      </c>
      <c r="R1997" s="1" t="e">
        <f t="shared" si="450"/>
        <v>#VALUE!</v>
      </c>
      <c r="S1997" s="1" t="e">
        <f t="shared" si="451"/>
        <v>#VALUE!</v>
      </c>
      <c r="T1997" s="1" t="e">
        <f t="shared" si="452"/>
        <v>#VALUE!</v>
      </c>
      <c r="U1997" s="26" t="e">
        <f t="shared" si="453"/>
        <v>#VALUE!</v>
      </c>
      <c r="V1997" s="26" t="e">
        <f t="shared" si="454"/>
        <v>#VALUE!</v>
      </c>
      <c r="W1997" s="1" t="e">
        <f t="shared" si="455"/>
        <v>#VALUE!</v>
      </c>
      <c r="X1997" s="26" t="e">
        <f t="shared" si="456"/>
        <v>#VALUE!</v>
      </c>
      <c r="Y1997" s="26" t="e">
        <f t="shared" si="457"/>
        <v>#VALUE!</v>
      </c>
      <c r="Z1997" s="1" t="e">
        <f t="shared" si="458"/>
        <v>#VALUE!</v>
      </c>
      <c r="AA1997"/>
      <c r="AB1997"/>
    </row>
    <row r="1998" spans="1:28" x14ac:dyDescent="0.55000000000000004">
      <c r="A1998" s="1">
        <f t="shared" si="445"/>
        <v>1998</v>
      </c>
      <c r="B1998" t="s">
        <v>37</v>
      </c>
      <c r="C1998" t="s">
        <v>18</v>
      </c>
      <c r="D1998" t="s">
        <v>19</v>
      </c>
      <c r="E1998" t="s">
        <v>20</v>
      </c>
      <c r="F1998" t="s">
        <v>21</v>
      </c>
      <c r="G1998" t="s">
        <v>22</v>
      </c>
      <c r="H1998" t="s">
        <v>23</v>
      </c>
      <c r="I1998" t="s">
        <v>24</v>
      </c>
      <c r="J1998" t="s">
        <v>25</v>
      </c>
      <c r="K1998" t="s">
        <v>26</v>
      </c>
      <c r="L1998" t="s">
        <v>27</v>
      </c>
      <c r="M1998" t="s">
        <v>28</v>
      </c>
      <c r="N1998" s="1" t="e">
        <f t="shared" si="446"/>
        <v>#VALUE!</v>
      </c>
      <c r="O1998" s="1" t="e">
        <f t="shared" si="447"/>
        <v>#VALUE!</v>
      </c>
      <c r="P1998" s="1" t="e">
        <f t="shared" si="448"/>
        <v>#VALUE!</v>
      </c>
      <c r="Q1998" s="1" t="e">
        <f t="shared" si="449"/>
        <v>#VALUE!</v>
      </c>
      <c r="R1998" s="1" t="e">
        <f t="shared" si="450"/>
        <v>#VALUE!</v>
      </c>
      <c r="S1998" s="1" t="e">
        <f t="shared" si="451"/>
        <v>#VALUE!</v>
      </c>
      <c r="T1998" s="1" t="e">
        <f t="shared" si="452"/>
        <v>#VALUE!</v>
      </c>
      <c r="U1998" s="26" t="e">
        <f t="shared" si="453"/>
        <v>#VALUE!</v>
      </c>
      <c r="V1998" s="26" t="e">
        <f t="shared" si="454"/>
        <v>#VALUE!</v>
      </c>
      <c r="W1998" s="1" t="e">
        <f t="shared" si="455"/>
        <v>#VALUE!</v>
      </c>
      <c r="X1998" s="26" t="e">
        <f t="shared" si="456"/>
        <v>#VALUE!</v>
      </c>
      <c r="Y1998" s="26" t="e">
        <f t="shared" si="457"/>
        <v>#VALUE!</v>
      </c>
      <c r="Z1998" s="1" t="e">
        <f t="shared" si="458"/>
        <v>#VALUE!</v>
      </c>
      <c r="AA1998"/>
      <c r="AB1998"/>
    </row>
    <row r="1999" spans="1:28" x14ac:dyDescent="0.55000000000000004">
      <c r="A1999" s="1">
        <f t="shared" si="445"/>
        <v>1999</v>
      </c>
      <c r="B1999" t="s">
        <v>37</v>
      </c>
      <c r="C1999" t="s">
        <v>18</v>
      </c>
      <c r="D1999" t="s">
        <v>19</v>
      </c>
      <c r="E1999" t="s">
        <v>20</v>
      </c>
      <c r="F1999" t="s">
        <v>21</v>
      </c>
      <c r="G1999" t="s">
        <v>22</v>
      </c>
      <c r="H1999" t="s">
        <v>23</v>
      </c>
      <c r="I1999" t="s">
        <v>24</v>
      </c>
      <c r="J1999" t="s">
        <v>25</v>
      </c>
      <c r="K1999" t="s">
        <v>26</v>
      </c>
      <c r="L1999" t="s">
        <v>27</v>
      </c>
      <c r="M1999" t="s">
        <v>28</v>
      </c>
      <c r="N1999" s="1" t="e">
        <f t="shared" si="446"/>
        <v>#VALUE!</v>
      </c>
      <c r="O1999" s="1" t="e">
        <f t="shared" si="447"/>
        <v>#VALUE!</v>
      </c>
      <c r="P1999" s="1" t="e">
        <f t="shared" si="448"/>
        <v>#VALUE!</v>
      </c>
      <c r="Q1999" s="1" t="e">
        <f t="shared" si="449"/>
        <v>#VALUE!</v>
      </c>
      <c r="R1999" s="1" t="e">
        <f t="shared" si="450"/>
        <v>#VALUE!</v>
      </c>
      <c r="S1999" s="1" t="e">
        <f t="shared" si="451"/>
        <v>#VALUE!</v>
      </c>
      <c r="T1999" s="1" t="e">
        <f t="shared" si="452"/>
        <v>#VALUE!</v>
      </c>
      <c r="U1999" s="26" t="e">
        <f t="shared" si="453"/>
        <v>#VALUE!</v>
      </c>
      <c r="V1999" s="26" t="e">
        <f t="shared" si="454"/>
        <v>#VALUE!</v>
      </c>
      <c r="W1999" s="1" t="e">
        <f t="shared" si="455"/>
        <v>#VALUE!</v>
      </c>
      <c r="X1999" s="26" t="e">
        <f t="shared" si="456"/>
        <v>#VALUE!</v>
      </c>
      <c r="Y1999" s="26" t="e">
        <f t="shared" si="457"/>
        <v>#VALUE!</v>
      </c>
      <c r="Z1999" s="1" t="e">
        <f t="shared" si="458"/>
        <v>#VALUE!</v>
      </c>
      <c r="AA1999"/>
      <c r="AB1999"/>
    </row>
    <row r="2000" spans="1:28" x14ac:dyDescent="0.55000000000000004">
      <c r="A2000" s="1">
        <f t="shared" si="445"/>
        <v>2000</v>
      </c>
      <c r="B2000" t="s">
        <v>37</v>
      </c>
      <c r="C2000" t="s">
        <v>18</v>
      </c>
      <c r="D2000" t="s">
        <v>19</v>
      </c>
      <c r="E2000" t="s">
        <v>20</v>
      </c>
      <c r="F2000" t="s">
        <v>21</v>
      </c>
      <c r="G2000" t="s">
        <v>22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28</v>
      </c>
      <c r="N2000" s="1" t="e">
        <f t="shared" si="446"/>
        <v>#VALUE!</v>
      </c>
      <c r="O2000" s="1" t="e">
        <f t="shared" si="447"/>
        <v>#VALUE!</v>
      </c>
      <c r="P2000" s="1" t="e">
        <f t="shared" si="448"/>
        <v>#VALUE!</v>
      </c>
      <c r="Q2000" s="1" t="e">
        <f t="shared" si="449"/>
        <v>#VALUE!</v>
      </c>
      <c r="R2000" s="1" t="e">
        <f t="shared" si="450"/>
        <v>#VALUE!</v>
      </c>
      <c r="S2000" s="1" t="e">
        <f t="shared" si="451"/>
        <v>#VALUE!</v>
      </c>
      <c r="T2000" s="1" t="e">
        <f t="shared" si="452"/>
        <v>#VALUE!</v>
      </c>
      <c r="U2000" s="26" t="e">
        <f t="shared" si="453"/>
        <v>#VALUE!</v>
      </c>
      <c r="V2000" s="26" t="e">
        <f t="shared" si="454"/>
        <v>#VALUE!</v>
      </c>
      <c r="W2000" s="1" t="e">
        <f t="shared" si="455"/>
        <v>#VALUE!</v>
      </c>
      <c r="X2000" s="26" t="e">
        <f t="shared" si="456"/>
        <v>#VALUE!</v>
      </c>
      <c r="Y2000" s="26" t="e">
        <f t="shared" si="457"/>
        <v>#VALUE!</v>
      </c>
      <c r="Z2000" s="1" t="e">
        <f t="shared" si="458"/>
        <v>#VALUE!</v>
      </c>
      <c r="AA2000"/>
      <c r="AB2000"/>
    </row>
    <row r="2001" spans="1:28" x14ac:dyDescent="0.55000000000000004">
      <c r="A2001" s="1">
        <f t="shared" si="445"/>
        <v>2001</v>
      </c>
      <c r="B2001" t="s">
        <v>37</v>
      </c>
      <c r="C2001" t="s">
        <v>18</v>
      </c>
      <c r="D2001" t="s">
        <v>19</v>
      </c>
      <c r="E2001" t="s">
        <v>20</v>
      </c>
      <c r="F2001" t="s">
        <v>21</v>
      </c>
      <c r="G2001" t="s">
        <v>22</v>
      </c>
      <c r="H2001" t="s">
        <v>23</v>
      </c>
      <c r="I2001" t="s">
        <v>24</v>
      </c>
      <c r="J2001" t="s">
        <v>25</v>
      </c>
      <c r="K2001" t="s">
        <v>26</v>
      </c>
      <c r="L2001" t="s">
        <v>27</v>
      </c>
      <c r="M2001" t="s">
        <v>28</v>
      </c>
      <c r="N2001" s="1" t="e">
        <f t="shared" si="446"/>
        <v>#VALUE!</v>
      </c>
      <c r="O2001" s="1" t="e">
        <f t="shared" si="447"/>
        <v>#VALUE!</v>
      </c>
      <c r="P2001" s="1" t="e">
        <f t="shared" si="448"/>
        <v>#VALUE!</v>
      </c>
      <c r="Q2001" s="1" t="e">
        <f t="shared" si="449"/>
        <v>#VALUE!</v>
      </c>
      <c r="R2001" s="1" t="e">
        <f t="shared" si="450"/>
        <v>#VALUE!</v>
      </c>
      <c r="S2001" s="1" t="e">
        <f t="shared" si="451"/>
        <v>#VALUE!</v>
      </c>
      <c r="T2001" s="1" t="e">
        <f t="shared" si="452"/>
        <v>#VALUE!</v>
      </c>
      <c r="U2001" s="26" t="e">
        <f t="shared" si="453"/>
        <v>#VALUE!</v>
      </c>
      <c r="V2001" s="26" t="e">
        <f t="shared" si="454"/>
        <v>#VALUE!</v>
      </c>
      <c r="W2001" s="1" t="e">
        <f t="shared" si="455"/>
        <v>#VALUE!</v>
      </c>
      <c r="X2001" s="26" t="e">
        <f t="shared" si="456"/>
        <v>#VALUE!</v>
      </c>
      <c r="Y2001" s="26" t="e">
        <f t="shared" si="457"/>
        <v>#VALUE!</v>
      </c>
      <c r="Z2001" s="1" t="e">
        <f t="shared" si="458"/>
        <v>#VALUE!</v>
      </c>
      <c r="AA2001"/>
      <c r="AB2001"/>
    </row>
    <row r="2002" spans="1:28" x14ac:dyDescent="0.55000000000000004">
      <c r="A2002" s="1">
        <f t="shared" si="445"/>
        <v>2002</v>
      </c>
      <c r="B2002" t="s">
        <v>37</v>
      </c>
      <c r="C2002" t="s">
        <v>18</v>
      </c>
      <c r="D2002" t="s">
        <v>19</v>
      </c>
      <c r="E2002" t="s">
        <v>20</v>
      </c>
      <c r="F2002" t="s">
        <v>21</v>
      </c>
      <c r="G2002" t="s">
        <v>22</v>
      </c>
      <c r="H2002" t="s">
        <v>23</v>
      </c>
      <c r="I2002" t="s">
        <v>24</v>
      </c>
      <c r="J2002" t="s">
        <v>25</v>
      </c>
      <c r="K2002" t="s">
        <v>26</v>
      </c>
      <c r="L2002" t="s">
        <v>27</v>
      </c>
      <c r="M2002" t="s">
        <v>28</v>
      </c>
      <c r="N2002" s="1" t="e">
        <f t="shared" si="446"/>
        <v>#VALUE!</v>
      </c>
      <c r="O2002" s="1" t="e">
        <f t="shared" si="447"/>
        <v>#VALUE!</v>
      </c>
      <c r="P2002" s="1" t="e">
        <f t="shared" si="448"/>
        <v>#VALUE!</v>
      </c>
      <c r="Q2002" s="1" t="e">
        <f t="shared" si="449"/>
        <v>#VALUE!</v>
      </c>
      <c r="R2002" s="1" t="e">
        <f t="shared" si="450"/>
        <v>#VALUE!</v>
      </c>
      <c r="S2002" s="1" t="e">
        <f t="shared" si="451"/>
        <v>#VALUE!</v>
      </c>
      <c r="T2002" s="1" t="e">
        <f t="shared" si="452"/>
        <v>#VALUE!</v>
      </c>
      <c r="U2002" s="26" t="e">
        <f t="shared" si="453"/>
        <v>#VALUE!</v>
      </c>
      <c r="V2002" s="26" t="e">
        <f t="shared" si="454"/>
        <v>#VALUE!</v>
      </c>
      <c r="W2002" s="1" t="e">
        <f t="shared" si="455"/>
        <v>#VALUE!</v>
      </c>
      <c r="X2002" s="26" t="e">
        <f t="shared" si="456"/>
        <v>#VALUE!</v>
      </c>
      <c r="Y2002" s="26" t="e">
        <f t="shared" si="457"/>
        <v>#VALUE!</v>
      </c>
      <c r="Z2002" s="1" t="e">
        <f t="shared" si="458"/>
        <v>#VALUE!</v>
      </c>
      <c r="AA2002"/>
      <c r="AB2002"/>
    </row>
    <row r="2003" spans="1:28" x14ac:dyDescent="0.55000000000000004">
      <c r="A2003" s="1">
        <f t="shared" si="445"/>
        <v>2003</v>
      </c>
      <c r="B2003" t="s">
        <v>38</v>
      </c>
      <c r="C2003" t="s">
        <v>18</v>
      </c>
      <c r="D2003" t="s">
        <v>19</v>
      </c>
      <c r="E2003" t="s">
        <v>20</v>
      </c>
      <c r="F2003" t="s">
        <v>21</v>
      </c>
      <c r="G2003" t="s">
        <v>22</v>
      </c>
      <c r="H2003" t="s">
        <v>23</v>
      </c>
      <c r="I2003" t="s">
        <v>24</v>
      </c>
      <c r="J2003" t="s">
        <v>25</v>
      </c>
      <c r="K2003" t="s">
        <v>26</v>
      </c>
      <c r="L2003" t="s">
        <v>27</v>
      </c>
      <c r="M2003" t="s">
        <v>28</v>
      </c>
      <c r="N2003" s="1" t="e">
        <f t="shared" si="446"/>
        <v>#VALUE!</v>
      </c>
      <c r="O2003" s="1" t="e">
        <f t="shared" si="447"/>
        <v>#VALUE!</v>
      </c>
      <c r="P2003" s="1" t="e">
        <f t="shared" si="448"/>
        <v>#VALUE!</v>
      </c>
      <c r="Q2003" s="1" t="e">
        <f t="shared" si="449"/>
        <v>#VALUE!</v>
      </c>
      <c r="R2003" s="1" t="e">
        <f t="shared" si="450"/>
        <v>#VALUE!</v>
      </c>
      <c r="S2003" s="1" t="e">
        <f t="shared" si="451"/>
        <v>#VALUE!</v>
      </c>
      <c r="T2003" s="1" t="e">
        <f t="shared" si="452"/>
        <v>#VALUE!</v>
      </c>
      <c r="U2003" s="26" t="e">
        <f t="shared" si="453"/>
        <v>#VALUE!</v>
      </c>
      <c r="V2003" s="26" t="e">
        <f t="shared" si="454"/>
        <v>#VALUE!</v>
      </c>
      <c r="W2003" s="1" t="e">
        <f t="shared" si="455"/>
        <v>#VALUE!</v>
      </c>
      <c r="X2003" s="26" t="e">
        <f t="shared" si="456"/>
        <v>#VALUE!</v>
      </c>
      <c r="Y2003" s="26" t="e">
        <f t="shared" si="457"/>
        <v>#VALUE!</v>
      </c>
      <c r="Z2003" s="1" t="e">
        <f t="shared" si="458"/>
        <v>#VALUE!</v>
      </c>
      <c r="AA2003"/>
      <c r="AB2003"/>
    </row>
    <row r="2004" spans="1:28" x14ac:dyDescent="0.55000000000000004">
      <c r="A2004" s="1">
        <f t="shared" si="445"/>
        <v>2004</v>
      </c>
      <c r="B2004" t="s">
        <v>38</v>
      </c>
      <c r="C2004" t="s">
        <v>18</v>
      </c>
      <c r="D2004" t="s">
        <v>19</v>
      </c>
      <c r="E2004" t="s">
        <v>20</v>
      </c>
      <c r="F2004" t="s">
        <v>21</v>
      </c>
      <c r="G2004" t="s">
        <v>22</v>
      </c>
      <c r="H2004" t="s">
        <v>23</v>
      </c>
      <c r="I2004" t="s">
        <v>24</v>
      </c>
      <c r="J2004" t="s">
        <v>25</v>
      </c>
      <c r="K2004" t="s">
        <v>26</v>
      </c>
      <c r="L2004" t="s">
        <v>27</v>
      </c>
      <c r="M2004" t="s">
        <v>28</v>
      </c>
      <c r="N2004" s="1" t="e">
        <f t="shared" si="446"/>
        <v>#VALUE!</v>
      </c>
      <c r="O2004" s="1" t="e">
        <f t="shared" si="447"/>
        <v>#VALUE!</v>
      </c>
      <c r="P2004" s="1" t="e">
        <f t="shared" si="448"/>
        <v>#VALUE!</v>
      </c>
      <c r="Q2004" s="1" t="e">
        <f t="shared" si="449"/>
        <v>#VALUE!</v>
      </c>
      <c r="R2004" s="1" t="e">
        <f t="shared" si="450"/>
        <v>#VALUE!</v>
      </c>
      <c r="S2004" s="1" t="e">
        <f t="shared" si="451"/>
        <v>#VALUE!</v>
      </c>
      <c r="T2004" s="1" t="e">
        <f t="shared" si="452"/>
        <v>#VALUE!</v>
      </c>
      <c r="U2004" s="26" t="e">
        <f t="shared" si="453"/>
        <v>#VALUE!</v>
      </c>
      <c r="V2004" s="26" t="e">
        <f t="shared" si="454"/>
        <v>#VALUE!</v>
      </c>
      <c r="W2004" s="1" t="e">
        <f t="shared" si="455"/>
        <v>#VALUE!</v>
      </c>
      <c r="X2004" s="26" t="e">
        <f t="shared" si="456"/>
        <v>#VALUE!</v>
      </c>
      <c r="Y2004" s="26" t="e">
        <f t="shared" si="457"/>
        <v>#VALUE!</v>
      </c>
      <c r="Z2004" s="1" t="e">
        <f t="shared" si="458"/>
        <v>#VALUE!</v>
      </c>
      <c r="AA2004"/>
      <c r="AB2004"/>
    </row>
    <row r="2005" spans="1:28" x14ac:dyDescent="0.55000000000000004">
      <c r="A2005" s="1">
        <f t="shared" si="445"/>
        <v>2005</v>
      </c>
      <c r="B2005" t="s">
        <v>38</v>
      </c>
      <c r="C2005" t="s">
        <v>18</v>
      </c>
      <c r="D2005" t="s">
        <v>19</v>
      </c>
      <c r="E2005" t="s">
        <v>20</v>
      </c>
      <c r="F2005" t="s">
        <v>21</v>
      </c>
      <c r="G2005" t="s">
        <v>22</v>
      </c>
      <c r="H2005" t="s">
        <v>23</v>
      </c>
      <c r="I2005" t="s">
        <v>24</v>
      </c>
      <c r="J2005" t="s">
        <v>25</v>
      </c>
      <c r="K2005" t="s">
        <v>26</v>
      </c>
      <c r="L2005" t="s">
        <v>27</v>
      </c>
      <c r="M2005" t="s">
        <v>28</v>
      </c>
      <c r="N2005" s="1" t="e">
        <f t="shared" si="446"/>
        <v>#VALUE!</v>
      </c>
      <c r="O2005" s="1" t="e">
        <f t="shared" si="447"/>
        <v>#VALUE!</v>
      </c>
      <c r="P2005" s="1" t="e">
        <f t="shared" si="448"/>
        <v>#VALUE!</v>
      </c>
      <c r="Q2005" s="1" t="e">
        <f t="shared" si="449"/>
        <v>#VALUE!</v>
      </c>
      <c r="R2005" s="1" t="e">
        <f t="shared" si="450"/>
        <v>#VALUE!</v>
      </c>
      <c r="S2005" s="1" t="e">
        <f t="shared" si="451"/>
        <v>#VALUE!</v>
      </c>
      <c r="T2005" s="1" t="e">
        <f t="shared" si="452"/>
        <v>#VALUE!</v>
      </c>
      <c r="U2005" s="26" t="e">
        <f t="shared" si="453"/>
        <v>#VALUE!</v>
      </c>
      <c r="V2005" s="26" t="e">
        <f t="shared" si="454"/>
        <v>#VALUE!</v>
      </c>
      <c r="W2005" s="1" t="e">
        <f t="shared" si="455"/>
        <v>#VALUE!</v>
      </c>
      <c r="X2005" s="26" t="e">
        <f t="shared" si="456"/>
        <v>#VALUE!</v>
      </c>
      <c r="Y2005" s="26" t="e">
        <f t="shared" si="457"/>
        <v>#VALUE!</v>
      </c>
      <c r="Z2005" s="1" t="e">
        <f t="shared" si="458"/>
        <v>#VALUE!</v>
      </c>
      <c r="AA2005"/>
      <c r="AB2005"/>
    </row>
    <row r="2006" spans="1:28" x14ac:dyDescent="0.55000000000000004">
      <c r="A2006" s="1">
        <f t="shared" si="445"/>
        <v>2006</v>
      </c>
      <c r="B2006" t="s">
        <v>38</v>
      </c>
      <c r="C2006" t="s">
        <v>18</v>
      </c>
      <c r="D2006" t="s">
        <v>19</v>
      </c>
      <c r="E2006" t="s">
        <v>20</v>
      </c>
      <c r="F2006" t="s">
        <v>21</v>
      </c>
      <c r="G2006" t="s">
        <v>22</v>
      </c>
      <c r="H2006" t="s">
        <v>23</v>
      </c>
      <c r="I2006" t="s">
        <v>24</v>
      </c>
      <c r="J2006" t="s">
        <v>25</v>
      </c>
      <c r="K2006" t="s">
        <v>26</v>
      </c>
      <c r="L2006" t="s">
        <v>27</v>
      </c>
      <c r="M2006" t="s">
        <v>28</v>
      </c>
      <c r="N2006" s="1" t="e">
        <f t="shared" si="446"/>
        <v>#VALUE!</v>
      </c>
      <c r="O2006" s="1" t="e">
        <f t="shared" si="447"/>
        <v>#VALUE!</v>
      </c>
      <c r="P2006" s="1" t="e">
        <f t="shared" si="448"/>
        <v>#VALUE!</v>
      </c>
      <c r="Q2006" s="1" t="e">
        <f t="shared" si="449"/>
        <v>#VALUE!</v>
      </c>
      <c r="R2006" s="1" t="e">
        <f t="shared" si="450"/>
        <v>#VALUE!</v>
      </c>
      <c r="S2006" s="1" t="e">
        <f t="shared" si="451"/>
        <v>#VALUE!</v>
      </c>
      <c r="T2006" s="1" t="e">
        <f t="shared" si="452"/>
        <v>#VALUE!</v>
      </c>
      <c r="U2006" s="26" t="e">
        <f t="shared" si="453"/>
        <v>#VALUE!</v>
      </c>
      <c r="V2006" s="26" t="e">
        <f t="shared" si="454"/>
        <v>#VALUE!</v>
      </c>
      <c r="W2006" s="1" t="e">
        <f t="shared" si="455"/>
        <v>#VALUE!</v>
      </c>
      <c r="X2006" s="26" t="e">
        <f t="shared" si="456"/>
        <v>#VALUE!</v>
      </c>
      <c r="Y2006" s="26" t="e">
        <f t="shared" si="457"/>
        <v>#VALUE!</v>
      </c>
      <c r="Z2006" s="1" t="e">
        <f t="shared" si="458"/>
        <v>#VALUE!</v>
      </c>
      <c r="AA2006"/>
      <c r="AB2006"/>
    </row>
    <row r="2007" spans="1:28" x14ac:dyDescent="0.55000000000000004">
      <c r="A2007" s="1">
        <f t="shared" si="445"/>
        <v>2007</v>
      </c>
      <c r="B2007" t="s">
        <v>38</v>
      </c>
      <c r="C2007" t="s">
        <v>18</v>
      </c>
      <c r="D2007" t="s">
        <v>19</v>
      </c>
      <c r="E2007" t="s">
        <v>20</v>
      </c>
      <c r="F2007" t="s">
        <v>21</v>
      </c>
      <c r="G2007" t="s">
        <v>22</v>
      </c>
      <c r="H2007" t="s">
        <v>23</v>
      </c>
      <c r="I2007" t="s">
        <v>24</v>
      </c>
      <c r="J2007" t="s">
        <v>25</v>
      </c>
      <c r="K2007" t="s">
        <v>26</v>
      </c>
      <c r="L2007" t="s">
        <v>27</v>
      </c>
      <c r="M2007" t="s">
        <v>28</v>
      </c>
      <c r="N2007" s="1" t="e">
        <f t="shared" si="446"/>
        <v>#VALUE!</v>
      </c>
      <c r="O2007" s="1" t="e">
        <f t="shared" si="447"/>
        <v>#VALUE!</v>
      </c>
      <c r="P2007" s="1" t="e">
        <f t="shared" si="448"/>
        <v>#VALUE!</v>
      </c>
      <c r="Q2007" s="1" t="e">
        <f t="shared" si="449"/>
        <v>#VALUE!</v>
      </c>
      <c r="R2007" s="1" t="e">
        <f t="shared" si="450"/>
        <v>#VALUE!</v>
      </c>
      <c r="S2007" s="1" t="e">
        <f t="shared" si="451"/>
        <v>#VALUE!</v>
      </c>
      <c r="T2007" s="1" t="e">
        <f t="shared" si="452"/>
        <v>#VALUE!</v>
      </c>
      <c r="U2007" s="26" t="e">
        <f t="shared" si="453"/>
        <v>#VALUE!</v>
      </c>
      <c r="V2007" s="26" t="e">
        <f t="shared" si="454"/>
        <v>#VALUE!</v>
      </c>
      <c r="W2007" s="1" t="e">
        <f t="shared" si="455"/>
        <v>#VALUE!</v>
      </c>
      <c r="X2007" s="26" t="e">
        <f t="shared" si="456"/>
        <v>#VALUE!</v>
      </c>
      <c r="Y2007" s="26" t="e">
        <f t="shared" si="457"/>
        <v>#VALUE!</v>
      </c>
      <c r="Z2007" s="1" t="e">
        <f t="shared" si="458"/>
        <v>#VALUE!</v>
      </c>
      <c r="AA2007"/>
      <c r="AB2007"/>
    </row>
    <row r="2008" spans="1:28" x14ac:dyDescent="0.55000000000000004">
      <c r="A2008" s="1">
        <f t="shared" si="445"/>
        <v>2008</v>
      </c>
      <c r="B2008" t="s">
        <v>38</v>
      </c>
      <c r="C2008" t="s">
        <v>18</v>
      </c>
      <c r="D2008" t="s">
        <v>19</v>
      </c>
      <c r="E2008" t="s">
        <v>20</v>
      </c>
      <c r="F2008" t="s">
        <v>21</v>
      </c>
      <c r="G2008" t="s">
        <v>22</v>
      </c>
      <c r="H2008" t="s">
        <v>23</v>
      </c>
      <c r="I2008" t="s">
        <v>24</v>
      </c>
      <c r="J2008" t="s">
        <v>25</v>
      </c>
      <c r="K2008" t="s">
        <v>26</v>
      </c>
      <c r="L2008" t="s">
        <v>27</v>
      </c>
      <c r="M2008" t="s">
        <v>28</v>
      </c>
      <c r="N2008" s="1" t="e">
        <f t="shared" si="446"/>
        <v>#VALUE!</v>
      </c>
      <c r="O2008" s="1" t="e">
        <f t="shared" si="447"/>
        <v>#VALUE!</v>
      </c>
      <c r="P2008" s="1" t="e">
        <f t="shared" si="448"/>
        <v>#VALUE!</v>
      </c>
      <c r="Q2008" s="1" t="e">
        <f t="shared" si="449"/>
        <v>#VALUE!</v>
      </c>
      <c r="R2008" s="1" t="e">
        <f t="shared" si="450"/>
        <v>#VALUE!</v>
      </c>
      <c r="S2008" s="1" t="e">
        <f t="shared" si="451"/>
        <v>#VALUE!</v>
      </c>
      <c r="T2008" s="1" t="e">
        <f t="shared" si="452"/>
        <v>#VALUE!</v>
      </c>
      <c r="U2008" s="26" t="e">
        <f t="shared" si="453"/>
        <v>#VALUE!</v>
      </c>
      <c r="V2008" s="26" t="e">
        <f t="shared" si="454"/>
        <v>#VALUE!</v>
      </c>
      <c r="W2008" s="1" t="e">
        <f t="shared" si="455"/>
        <v>#VALUE!</v>
      </c>
      <c r="X2008" s="26" t="e">
        <f t="shared" si="456"/>
        <v>#VALUE!</v>
      </c>
      <c r="Y2008" s="26" t="e">
        <f t="shared" si="457"/>
        <v>#VALUE!</v>
      </c>
      <c r="Z2008" s="1" t="e">
        <f t="shared" si="458"/>
        <v>#VALUE!</v>
      </c>
      <c r="AA2008"/>
      <c r="AB2008"/>
    </row>
    <row r="2009" spans="1:28" x14ac:dyDescent="0.55000000000000004">
      <c r="A2009" s="1">
        <f t="shared" si="445"/>
        <v>2009</v>
      </c>
      <c r="B2009" t="s">
        <v>38</v>
      </c>
      <c r="C2009" t="s">
        <v>18</v>
      </c>
      <c r="D2009" t="s">
        <v>19</v>
      </c>
      <c r="E2009" t="s">
        <v>20</v>
      </c>
      <c r="F2009" t="s">
        <v>21</v>
      </c>
      <c r="G2009" t="s">
        <v>22</v>
      </c>
      <c r="H2009" t="s">
        <v>23</v>
      </c>
      <c r="I2009" t="s">
        <v>24</v>
      </c>
      <c r="J2009" t="s">
        <v>25</v>
      </c>
      <c r="K2009" t="s">
        <v>26</v>
      </c>
      <c r="L2009" t="s">
        <v>27</v>
      </c>
      <c r="M2009" t="s">
        <v>28</v>
      </c>
      <c r="N2009" s="1" t="e">
        <f t="shared" si="446"/>
        <v>#VALUE!</v>
      </c>
      <c r="O2009" s="1" t="e">
        <f t="shared" si="447"/>
        <v>#VALUE!</v>
      </c>
      <c r="P2009" s="1" t="e">
        <f t="shared" si="448"/>
        <v>#VALUE!</v>
      </c>
      <c r="Q2009" s="1" t="e">
        <f t="shared" si="449"/>
        <v>#VALUE!</v>
      </c>
      <c r="R2009" s="1" t="e">
        <f t="shared" si="450"/>
        <v>#VALUE!</v>
      </c>
      <c r="S2009" s="1" t="e">
        <f t="shared" si="451"/>
        <v>#VALUE!</v>
      </c>
      <c r="T2009" s="1" t="e">
        <f t="shared" si="452"/>
        <v>#VALUE!</v>
      </c>
      <c r="U2009" s="26" t="e">
        <f t="shared" si="453"/>
        <v>#VALUE!</v>
      </c>
      <c r="V2009" s="26" t="e">
        <f t="shared" si="454"/>
        <v>#VALUE!</v>
      </c>
      <c r="W2009" s="1" t="e">
        <f t="shared" si="455"/>
        <v>#VALUE!</v>
      </c>
      <c r="X2009" s="26" t="e">
        <f t="shared" si="456"/>
        <v>#VALUE!</v>
      </c>
      <c r="Y2009" s="26" t="e">
        <f t="shared" si="457"/>
        <v>#VALUE!</v>
      </c>
      <c r="Z2009" s="1" t="e">
        <f t="shared" si="458"/>
        <v>#VALUE!</v>
      </c>
      <c r="AA2009"/>
      <c r="AB2009"/>
    </row>
    <row r="2010" spans="1:28" x14ac:dyDescent="0.55000000000000004">
      <c r="A2010" s="1">
        <f t="shared" si="445"/>
        <v>2010</v>
      </c>
      <c r="B2010" t="s">
        <v>38</v>
      </c>
      <c r="C2010" t="s">
        <v>18</v>
      </c>
      <c r="D2010" t="s">
        <v>19</v>
      </c>
      <c r="E2010" t="s">
        <v>20</v>
      </c>
      <c r="F2010" t="s">
        <v>21</v>
      </c>
      <c r="G2010" t="s">
        <v>22</v>
      </c>
      <c r="H2010" t="s">
        <v>23</v>
      </c>
      <c r="I2010" t="s">
        <v>24</v>
      </c>
      <c r="J2010" t="s">
        <v>25</v>
      </c>
      <c r="K2010" t="s">
        <v>26</v>
      </c>
      <c r="L2010" t="s">
        <v>27</v>
      </c>
      <c r="M2010" t="s">
        <v>28</v>
      </c>
      <c r="N2010" s="1" t="e">
        <f t="shared" si="446"/>
        <v>#VALUE!</v>
      </c>
      <c r="O2010" s="1" t="e">
        <f t="shared" si="447"/>
        <v>#VALUE!</v>
      </c>
      <c r="P2010" s="1" t="e">
        <f t="shared" si="448"/>
        <v>#VALUE!</v>
      </c>
      <c r="Q2010" s="1" t="e">
        <f t="shared" si="449"/>
        <v>#VALUE!</v>
      </c>
      <c r="R2010" s="1" t="e">
        <f t="shared" si="450"/>
        <v>#VALUE!</v>
      </c>
      <c r="S2010" s="1" t="e">
        <f t="shared" si="451"/>
        <v>#VALUE!</v>
      </c>
      <c r="T2010" s="1" t="e">
        <f t="shared" si="452"/>
        <v>#VALUE!</v>
      </c>
      <c r="U2010" s="26" t="e">
        <f t="shared" si="453"/>
        <v>#VALUE!</v>
      </c>
      <c r="V2010" s="26" t="e">
        <f t="shared" si="454"/>
        <v>#VALUE!</v>
      </c>
      <c r="W2010" s="1" t="e">
        <f t="shared" si="455"/>
        <v>#VALUE!</v>
      </c>
      <c r="X2010" s="26" t="e">
        <f t="shared" si="456"/>
        <v>#VALUE!</v>
      </c>
      <c r="Y2010" s="26" t="e">
        <f t="shared" si="457"/>
        <v>#VALUE!</v>
      </c>
      <c r="Z2010" s="1" t="e">
        <f t="shared" si="458"/>
        <v>#VALUE!</v>
      </c>
      <c r="AA2010"/>
      <c r="AB2010"/>
    </row>
    <row r="2011" spans="1:28" x14ac:dyDescent="0.55000000000000004">
      <c r="A2011" s="1">
        <f t="shared" si="445"/>
        <v>2011</v>
      </c>
      <c r="B2011" t="s">
        <v>38</v>
      </c>
      <c r="C2011" t="s">
        <v>18</v>
      </c>
      <c r="D2011" t="s">
        <v>19</v>
      </c>
      <c r="E2011" t="s">
        <v>20</v>
      </c>
      <c r="F2011" t="s">
        <v>21</v>
      </c>
      <c r="G2011" t="s">
        <v>22</v>
      </c>
      <c r="H2011" t="s">
        <v>23</v>
      </c>
      <c r="I2011" t="s">
        <v>24</v>
      </c>
      <c r="J2011" t="s">
        <v>25</v>
      </c>
      <c r="K2011" t="s">
        <v>26</v>
      </c>
      <c r="L2011" t="s">
        <v>27</v>
      </c>
      <c r="M2011" t="s">
        <v>28</v>
      </c>
      <c r="N2011" s="1" t="e">
        <f t="shared" si="446"/>
        <v>#VALUE!</v>
      </c>
      <c r="O2011" s="1" t="e">
        <f t="shared" si="447"/>
        <v>#VALUE!</v>
      </c>
      <c r="P2011" s="1" t="e">
        <f t="shared" si="448"/>
        <v>#VALUE!</v>
      </c>
      <c r="Q2011" s="1" t="e">
        <f t="shared" si="449"/>
        <v>#VALUE!</v>
      </c>
      <c r="R2011" s="1" t="e">
        <f t="shared" si="450"/>
        <v>#VALUE!</v>
      </c>
      <c r="S2011" s="1" t="e">
        <f t="shared" si="451"/>
        <v>#VALUE!</v>
      </c>
      <c r="T2011" s="1" t="e">
        <f t="shared" si="452"/>
        <v>#VALUE!</v>
      </c>
      <c r="U2011" s="26" t="e">
        <f t="shared" si="453"/>
        <v>#VALUE!</v>
      </c>
      <c r="V2011" s="26" t="e">
        <f t="shared" si="454"/>
        <v>#VALUE!</v>
      </c>
      <c r="W2011" s="1" t="e">
        <f t="shared" si="455"/>
        <v>#VALUE!</v>
      </c>
      <c r="X2011" s="26" t="e">
        <f t="shared" si="456"/>
        <v>#VALUE!</v>
      </c>
      <c r="Y2011" s="26" t="e">
        <f t="shared" si="457"/>
        <v>#VALUE!</v>
      </c>
      <c r="Z2011" s="1" t="e">
        <f t="shared" si="458"/>
        <v>#VALUE!</v>
      </c>
      <c r="AA2011"/>
      <c r="AB2011"/>
    </row>
    <row r="2012" spans="1:28" x14ac:dyDescent="0.55000000000000004">
      <c r="A2012" s="1">
        <f t="shared" si="445"/>
        <v>2012</v>
      </c>
      <c r="B2012" t="s">
        <v>38</v>
      </c>
      <c r="C2012" t="s">
        <v>18</v>
      </c>
      <c r="D2012" t="s">
        <v>19</v>
      </c>
      <c r="E2012" t="s">
        <v>20</v>
      </c>
      <c r="F2012" t="s">
        <v>21</v>
      </c>
      <c r="G2012" t="s">
        <v>22</v>
      </c>
      <c r="H2012" t="s">
        <v>23</v>
      </c>
      <c r="I2012" t="s">
        <v>24</v>
      </c>
      <c r="J2012" t="s">
        <v>25</v>
      </c>
      <c r="K2012" t="s">
        <v>26</v>
      </c>
      <c r="L2012" t="s">
        <v>27</v>
      </c>
      <c r="M2012" t="s">
        <v>28</v>
      </c>
      <c r="N2012" s="1" t="e">
        <f t="shared" si="446"/>
        <v>#VALUE!</v>
      </c>
      <c r="O2012" s="1" t="e">
        <f t="shared" si="447"/>
        <v>#VALUE!</v>
      </c>
      <c r="P2012" s="1" t="e">
        <f t="shared" si="448"/>
        <v>#VALUE!</v>
      </c>
      <c r="Q2012" s="1" t="e">
        <f t="shared" si="449"/>
        <v>#VALUE!</v>
      </c>
      <c r="R2012" s="1" t="e">
        <f t="shared" si="450"/>
        <v>#VALUE!</v>
      </c>
      <c r="S2012" s="1" t="e">
        <f t="shared" si="451"/>
        <v>#VALUE!</v>
      </c>
      <c r="T2012" s="1" t="e">
        <f t="shared" si="452"/>
        <v>#VALUE!</v>
      </c>
      <c r="U2012" s="26" t="e">
        <f t="shared" si="453"/>
        <v>#VALUE!</v>
      </c>
      <c r="V2012" s="26" t="e">
        <f t="shared" si="454"/>
        <v>#VALUE!</v>
      </c>
      <c r="W2012" s="1" t="e">
        <f t="shared" si="455"/>
        <v>#VALUE!</v>
      </c>
      <c r="X2012" s="26" t="e">
        <f t="shared" si="456"/>
        <v>#VALUE!</v>
      </c>
      <c r="Y2012" s="26" t="e">
        <f t="shared" si="457"/>
        <v>#VALUE!</v>
      </c>
      <c r="Z2012" s="1" t="e">
        <f t="shared" si="458"/>
        <v>#VALUE!</v>
      </c>
      <c r="AA2012"/>
      <c r="AB2012"/>
    </row>
    <row r="2013" spans="1:28" x14ac:dyDescent="0.55000000000000004">
      <c r="A2013" s="1">
        <f t="shared" si="445"/>
        <v>2013</v>
      </c>
      <c r="B2013" t="s">
        <v>38</v>
      </c>
      <c r="C2013" t="s">
        <v>18</v>
      </c>
      <c r="D2013" t="s">
        <v>19</v>
      </c>
      <c r="E2013" t="s">
        <v>20</v>
      </c>
      <c r="F2013" t="s">
        <v>21</v>
      </c>
      <c r="G2013" t="s">
        <v>22</v>
      </c>
      <c r="H2013" t="s">
        <v>23</v>
      </c>
      <c r="I2013" t="s">
        <v>24</v>
      </c>
      <c r="J2013" t="s">
        <v>25</v>
      </c>
      <c r="K2013" t="s">
        <v>26</v>
      </c>
      <c r="L2013" t="s">
        <v>27</v>
      </c>
      <c r="M2013" t="s">
        <v>28</v>
      </c>
      <c r="N2013" s="1" t="e">
        <f t="shared" si="446"/>
        <v>#VALUE!</v>
      </c>
      <c r="O2013" s="1" t="e">
        <f t="shared" si="447"/>
        <v>#VALUE!</v>
      </c>
      <c r="P2013" s="1" t="e">
        <f t="shared" si="448"/>
        <v>#VALUE!</v>
      </c>
      <c r="Q2013" s="1" t="e">
        <f t="shared" si="449"/>
        <v>#VALUE!</v>
      </c>
      <c r="R2013" s="1" t="e">
        <f t="shared" si="450"/>
        <v>#VALUE!</v>
      </c>
      <c r="S2013" s="1" t="e">
        <f t="shared" si="451"/>
        <v>#VALUE!</v>
      </c>
      <c r="T2013" s="1" t="e">
        <f t="shared" si="452"/>
        <v>#VALUE!</v>
      </c>
      <c r="U2013" s="26" t="e">
        <f t="shared" si="453"/>
        <v>#VALUE!</v>
      </c>
      <c r="V2013" s="26" t="e">
        <f t="shared" si="454"/>
        <v>#VALUE!</v>
      </c>
      <c r="W2013" s="1" t="e">
        <f t="shared" si="455"/>
        <v>#VALUE!</v>
      </c>
      <c r="X2013" s="26" t="e">
        <f t="shared" si="456"/>
        <v>#VALUE!</v>
      </c>
      <c r="Y2013" s="26" t="e">
        <f t="shared" si="457"/>
        <v>#VALUE!</v>
      </c>
      <c r="Z2013" s="1" t="e">
        <f t="shared" si="458"/>
        <v>#VALUE!</v>
      </c>
      <c r="AA2013"/>
      <c r="AB2013"/>
    </row>
    <row r="2014" spans="1:28" x14ac:dyDescent="0.55000000000000004">
      <c r="A2014" s="1">
        <f t="shared" si="445"/>
        <v>2014</v>
      </c>
      <c r="B2014" t="s">
        <v>38</v>
      </c>
      <c r="C2014" t="s">
        <v>18</v>
      </c>
      <c r="D2014" t="s">
        <v>19</v>
      </c>
      <c r="E2014" t="s">
        <v>20</v>
      </c>
      <c r="F2014" t="s">
        <v>21</v>
      </c>
      <c r="G2014" t="s">
        <v>22</v>
      </c>
      <c r="H2014" t="s">
        <v>23</v>
      </c>
      <c r="I2014" t="s">
        <v>24</v>
      </c>
      <c r="J2014" t="s">
        <v>25</v>
      </c>
      <c r="K2014" t="s">
        <v>26</v>
      </c>
      <c r="L2014" t="s">
        <v>27</v>
      </c>
      <c r="M2014" t="s">
        <v>28</v>
      </c>
      <c r="N2014" s="1" t="e">
        <f t="shared" si="446"/>
        <v>#VALUE!</v>
      </c>
      <c r="O2014" s="1" t="e">
        <f t="shared" si="447"/>
        <v>#VALUE!</v>
      </c>
      <c r="P2014" s="1" t="e">
        <f t="shared" si="448"/>
        <v>#VALUE!</v>
      </c>
      <c r="Q2014" s="1" t="e">
        <f t="shared" si="449"/>
        <v>#VALUE!</v>
      </c>
      <c r="R2014" s="1" t="e">
        <f t="shared" si="450"/>
        <v>#VALUE!</v>
      </c>
      <c r="S2014" s="1" t="e">
        <f t="shared" si="451"/>
        <v>#VALUE!</v>
      </c>
      <c r="T2014" s="1" t="e">
        <f t="shared" si="452"/>
        <v>#VALUE!</v>
      </c>
      <c r="U2014" s="26" t="e">
        <f t="shared" si="453"/>
        <v>#VALUE!</v>
      </c>
      <c r="V2014" s="26" t="e">
        <f t="shared" si="454"/>
        <v>#VALUE!</v>
      </c>
      <c r="W2014" s="1" t="e">
        <f t="shared" si="455"/>
        <v>#VALUE!</v>
      </c>
      <c r="X2014" s="26" t="e">
        <f t="shared" si="456"/>
        <v>#VALUE!</v>
      </c>
      <c r="Y2014" s="26" t="e">
        <f t="shared" si="457"/>
        <v>#VALUE!</v>
      </c>
      <c r="Z2014" s="1" t="e">
        <f t="shared" si="458"/>
        <v>#VALUE!</v>
      </c>
      <c r="AA2014"/>
      <c r="AB2014"/>
    </row>
    <row r="2015" spans="1:28" x14ac:dyDescent="0.55000000000000004">
      <c r="A2015" s="1">
        <f t="shared" si="445"/>
        <v>2015</v>
      </c>
      <c r="B2015" t="s">
        <v>38</v>
      </c>
      <c r="C2015" t="s">
        <v>18</v>
      </c>
      <c r="D2015" t="s">
        <v>19</v>
      </c>
      <c r="E2015" t="s">
        <v>20</v>
      </c>
      <c r="F2015" t="s">
        <v>21</v>
      </c>
      <c r="G2015" t="s">
        <v>22</v>
      </c>
      <c r="H2015" t="s">
        <v>23</v>
      </c>
      <c r="I2015" t="s">
        <v>24</v>
      </c>
      <c r="J2015" t="s">
        <v>25</v>
      </c>
      <c r="K2015" t="s">
        <v>26</v>
      </c>
      <c r="L2015" t="s">
        <v>27</v>
      </c>
      <c r="M2015" t="s">
        <v>28</v>
      </c>
      <c r="N2015" s="1" t="e">
        <f t="shared" si="446"/>
        <v>#VALUE!</v>
      </c>
      <c r="O2015" s="1" t="e">
        <f t="shared" si="447"/>
        <v>#VALUE!</v>
      </c>
      <c r="P2015" s="1" t="e">
        <f t="shared" si="448"/>
        <v>#VALUE!</v>
      </c>
      <c r="Q2015" s="1" t="e">
        <f t="shared" si="449"/>
        <v>#VALUE!</v>
      </c>
      <c r="R2015" s="1" t="e">
        <f t="shared" si="450"/>
        <v>#VALUE!</v>
      </c>
      <c r="S2015" s="1" t="e">
        <f t="shared" si="451"/>
        <v>#VALUE!</v>
      </c>
      <c r="T2015" s="1" t="e">
        <f t="shared" si="452"/>
        <v>#VALUE!</v>
      </c>
      <c r="U2015" s="26" t="e">
        <f t="shared" si="453"/>
        <v>#VALUE!</v>
      </c>
      <c r="V2015" s="26" t="e">
        <f t="shared" si="454"/>
        <v>#VALUE!</v>
      </c>
      <c r="W2015" s="1" t="e">
        <f t="shared" si="455"/>
        <v>#VALUE!</v>
      </c>
      <c r="X2015" s="26" t="e">
        <f t="shared" si="456"/>
        <v>#VALUE!</v>
      </c>
      <c r="Y2015" s="26" t="e">
        <f t="shared" si="457"/>
        <v>#VALUE!</v>
      </c>
      <c r="Z2015" s="1" t="e">
        <f t="shared" si="458"/>
        <v>#VALUE!</v>
      </c>
      <c r="AA2015"/>
      <c r="AB2015"/>
    </row>
    <row r="2016" spans="1:28" x14ac:dyDescent="0.55000000000000004">
      <c r="A2016" s="1">
        <f t="shared" si="445"/>
        <v>2016</v>
      </c>
      <c r="B2016" t="s">
        <v>38</v>
      </c>
      <c r="C2016" t="s">
        <v>18</v>
      </c>
      <c r="D2016" t="s">
        <v>19</v>
      </c>
      <c r="E2016" t="s">
        <v>20</v>
      </c>
      <c r="F2016" t="s">
        <v>21</v>
      </c>
      <c r="G2016" t="s">
        <v>22</v>
      </c>
      <c r="H2016" t="s">
        <v>23</v>
      </c>
      <c r="I2016" t="s">
        <v>24</v>
      </c>
      <c r="J2016" t="s">
        <v>25</v>
      </c>
      <c r="K2016" t="s">
        <v>26</v>
      </c>
      <c r="L2016" t="s">
        <v>27</v>
      </c>
      <c r="M2016" t="s">
        <v>28</v>
      </c>
      <c r="N2016" s="1" t="e">
        <f t="shared" si="446"/>
        <v>#VALUE!</v>
      </c>
      <c r="O2016" s="1" t="e">
        <f t="shared" si="447"/>
        <v>#VALUE!</v>
      </c>
      <c r="P2016" s="1" t="e">
        <f t="shared" si="448"/>
        <v>#VALUE!</v>
      </c>
      <c r="Q2016" s="1" t="e">
        <f t="shared" si="449"/>
        <v>#VALUE!</v>
      </c>
      <c r="R2016" s="1" t="e">
        <f t="shared" si="450"/>
        <v>#VALUE!</v>
      </c>
      <c r="S2016" s="1" t="e">
        <f t="shared" si="451"/>
        <v>#VALUE!</v>
      </c>
      <c r="T2016" s="1" t="e">
        <f t="shared" si="452"/>
        <v>#VALUE!</v>
      </c>
      <c r="U2016" s="26" t="e">
        <f t="shared" si="453"/>
        <v>#VALUE!</v>
      </c>
      <c r="V2016" s="26" t="e">
        <f t="shared" si="454"/>
        <v>#VALUE!</v>
      </c>
      <c r="W2016" s="1" t="e">
        <f t="shared" si="455"/>
        <v>#VALUE!</v>
      </c>
      <c r="X2016" s="26" t="e">
        <f t="shared" si="456"/>
        <v>#VALUE!</v>
      </c>
      <c r="Y2016" s="26" t="e">
        <f t="shared" si="457"/>
        <v>#VALUE!</v>
      </c>
      <c r="Z2016" s="1" t="e">
        <f t="shared" si="458"/>
        <v>#VALUE!</v>
      </c>
      <c r="AA2016"/>
      <c r="AB2016"/>
    </row>
    <row r="2017" spans="1:28" x14ac:dyDescent="0.55000000000000004">
      <c r="A2017" s="1">
        <f t="shared" si="445"/>
        <v>2017</v>
      </c>
      <c r="B2017" t="s">
        <v>39</v>
      </c>
      <c r="C2017" t="s">
        <v>18</v>
      </c>
      <c r="D2017" t="s">
        <v>19</v>
      </c>
      <c r="E2017" t="s">
        <v>20</v>
      </c>
      <c r="F2017" t="s">
        <v>21</v>
      </c>
      <c r="G2017" t="s">
        <v>22</v>
      </c>
      <c r="H2017" t="s">
        <v>23</v>
      </c>
      <c r="I2017" t="s">
        <v>24</v>
      </c>
      <c r="J2017" t="s">
        <v>25</v>
      </c>
      <c r="K2017" t="s">
        <v>26</v>
      </c>
      <c r="L2017" t="s">
        <v>27</v>
      </c>
      <c r="M2017" t="s">
        <v>28</v>
      </c>
      <c r="N2017" s="1" t="e">
        <f t="shared" si="446"/>
        <v>#VALUE!</v>
      </c>
      <c r="O2017" s="1" t="e">
        <f t="shared" si="447"/>
        <v>#VALUE!</v>
      </c>
      <c r="P2017" s="1" t="e">
        <f t="shared" si="448"/>
        <v>#VALUE!</v>
      </c>
      <c r="Q2017" s="1" t="e">
        <f t="shared" si="449"/>
        <v>#VALUE!</v>
      </c>
      <c r="R2017" s="1" t="e">
        <f t="shared" si="450"/>
        <v>#VALUE!</v>
      </c>
      <c r="S2017" s="1" t="e">
        <f t="shared" si="451"/>
        <v>#VALUE!</v>
      </c>
      <c r="T2017" s="1" t="e">
        <f t="shared" si="452"/>
        <v>#VALUE!</v>
      </c>
      <c r="U2017" s="26" t="e">
        <f t="shared" si="453"/>
        <v>#VALUE!</v>
      </c>
      <c r="V2017" s="26" t="e">
        <f t="shared" si="454"/>
        <v>#VALUE!</v>
      </c>
      <c r="W2017" s="1" t="e">
        <f t="shared" si="455"/>
        <v>#VALUE!</v>
      </c>
      <c r="X2017" s="26" t="e">
        <f t="shared" si="456"/>
        <v>#VALUE!</v>
      </c>
      <c r="Y2017" s="26" t="e">
        <f t="shared" si="457"/>
        <v>#VALUE!</v>
      </c>
      <c r="Z2017" s="1" t="e">
        <f t="shared" si="458"/>
        <v>#VALUE!</v>
      </c>
      <c r="AA2017"/>
      <c r="AB2017"/>
    </row>
    <row r="2018" spans="1:28" x14ac:dyDescent="0.55000000000000004">
      <c r="A2018" s="1">
        <f t="shared" si="445"/>
        <v>2018</v>
      </c>
      <c r="B2018" t="s">
        <v>39</v>
      </c>
      <c r="C2018" t="s">
        <v>18</v>
      </c>
      <c r="D2018" t="s">
        <v>19</v>
      </c>
      <c r="E2018" t="s">
        <v>20</v>
      </c>
      <c r="F2018" t="s">
        <v>21</v>
      </c>
      <c r="G2018" t="s">
        <v>22</v>
      </c>
      <c r="H2018" t="s">
        <v>23</v>
      </c>
      <c r="I2018" t="s">
        <v>24</v>
      </c>
      <c r="J2018" t="s">
        <v>25</v>
      </c>
      <c r="K2018" t="s">
        <v>26</v>
      </c>
      <c r="L2018" t="s">
        <v>27</v>
      </c>
      <c r="M2018" t="s">
        <v>28</v>
      </c>
      <c r="N2018" s="1" t="e">
        <f t="shared" si="446"/>
        <v>#VALUE!</v>
      </c>
      <c r="O2018" s="1" t="e">
        <f t="shared" si="447"/>
        <v>#VALUE!</v>
      </c>
      <c r="P2018" s="1" t="e">
        <f t="shared" si="448"/>
        <v>#VALUE!</v>
      </c>
      <c r="Q2018" s="1" t="e">
        <f t="shared" si="449"/>
        <v>#VALUE!</v>
      </c>
      <c r="R2018" s="1" t="e">
        <f t="shared" si="450"/>
        <v>#VALUE!</v>
      </c>
      <c r="S2018" s="1" t="e">
        <f t="shared" si="451"/>
        <v>#VALUE!</v>
      </c>
      <c r="T2018" s="1" t="e">
        <f t="shared" si="452"/>
        <v>#VALUE!</v>
      </c>
      <c r="U2018" s="26" t="e">
        <f t="shared" si="453"/>
        <v>#VALUE!</v>
      </c>
      <c r="V2018" s="26" t="e">
        <f t="shared" si="454"/>
        <v>#VALUE!</v>
      </c>
      <c r="W2018" s="1" t="e">
        <f t="shared" si="455"/>
        <v>#VALUE!</v>
      </c>
      <c r="X2018" s="26" t="e">
        <f t="shared" si="456"/>
        <v>#VALUE!</v>
      </c>
      <c r="Y2018" s="26" t="e">
        <f t="shared" si="457"/>
        <v>#VALUE!</v>
      </c>
      <c r="Z2018" s="1" t="e">
        <f t="shared" si="458"/>
        <v>#VALUE!</v>
      </c>
      <c r="AA2018"/>
      <c r="AB2018"/>
    </row>
    <row r="2019" spans="1:28" x14ac:dyDescent="0.55000000000000004">
      <c r="A2019" s="1">
        <f t="shared" si="445"/>
        <v>2019</v>
      </c>
      <c r="B2019" t="s">
        <v>39</v>
      </c>
      <c r="C2019" t="s">
        <v>18</v>
      </c>
      <c r="D2019" t="s">
        <v>19</v>
      </c>
      <c r="E2019" t="s">
        <v>20</v>
      </c>
      <c r="F2019" t="s">
        <v>21</v>
      </c>
      <c r="G2019" t="s">
        <v>22</v>
      </c>
      <c r="H2019" t="s">
        <v>23</v>
      </c>
      <c r="I2019" t="s">
        <v>24</v>
      </c>
      <c r="J2019" t="s">
        <v>25</v>
      </c>
      <c r="K2019" t="s">
        <v>26</v>
      </c>
      <c r="L2019" t="s">
        <v>27</v>
      </c>
      <c r="M2019" t="s">
        <v>28</v>
      </c>
      <c r="N2019" s="1" t="e">
        <f t="shared" si="446"/>
        <v>#VALUE!</v>
      </c>
      <c r="O2019" s="1" t="e">
        <f t="shared" si="447"/>
        <v>#VALUE!</v>
      </c>
      <c r="P2019" s="1" t="e">
        <f t="shared" si="448"/>
        <v>#VALUE!</v>
      </c>
      <c r="Q2019" s="1" t="e">
        <f t="shared" si="449"/>
        <v>#VALUE!</v>
      </c>
      <c r="R2019" s="1" t="e">
        <f t="shared" si="450"/>
        <v>#VALUE!</v>
      </c>
      <c r="S2019" s="1" t="e">
        <f t="shared" si="451"/>
        <v>#VALUE!</v>
      </c>
      <c r="T2019" s="1" t="e">
        <f t="shared" si="452"/>
        <v>#VALUE!</v>
      </c>
      <c r="U2019" s="26" t="e">
        <f t="shared" si="453"/>
        <v>#VALUE!</v>
      </c>
      <c r="V2019" s="26" t="e">
        <f t="shared" si="454"/>
        <v>#VALUE!</v>
      </c>
      <c r="W2019" s="1" t="e">
        <f t="shared" si="455"/>
        <v>#VALUE!</v>
      </c>
      <c r="X2019" s="26" t="e">
        <f t="shared" si="456"/>
        <v>#VALUE!</v>
      </c>
      <c r="Y2019" s="26" t="e">
        <f t="shared" si="457"/>
        <v>#VALUE!</v>
      </c>
      <c r="Z2019" s="1" t="e">
        <f t="shared" si="458"/>
        <v>#VALUE!</v>
      </c>
      <c r="AA2019"/>
      <c r="AB2019"/>
    </row>
    <row r="2020" spans="1:28" x14ac:dyDescent="0.55000000000000004">
      <c r="A2020" s="1">
        <f t="shared" si="445"/>
        <v>2020</v>
      </c>
      <c r="B2020" t="s">
        <v>39</v>
      </c>
      <c r="C2020" t="s">
        <v>18</v>
      </c>
      <c r="D2020" t="s">
        <v>19</v>
      </c>
      <c r="E2020" t="s">
        <v>20</v>
      </c>
      <c r="F2020" t="s">
        <v>21</v>
      </c>
      <c r="G2020" t="s">
        <v>22</v>
      </c>
      <c r="H2020" t="s">
        <v>23</v>
      </c>
      <c r="I2020" t="s">
        <v>24</v>
      </c>
      <c r="J2020" t="s">
        <v>25</v>
      </c>
      <c r="K2020" t="s">
        <v>26</v>
      </c>
      <c r="L2020" t="s">
        <v>27</v>
      </c>
      <c r="M2020" t="s">
        <v>28</v>
      </c>
      <c r="N2020" s="1" t="e">
        <f t="shared" si="446"/>
        <v>#VALUE!</v>
      </c>
      <c r="O2020" s="1" t="e">
        <f t="shared" si="447"/>
        <v>#VALUE!</v>
      </c>
      <c r="P2020" s="1" t="e">
        <f t="shared" si="448"/>
        <v>#VALUE!</v>
      </c>
      <c r="Q2020" s="1" t="e">
        <f t="shared" si="449"/>
        <v>#VALUE!</v>
      </c>
      <c r="R2020" s="1" t="e">
        <f t="shared" si="450"/>
        <v>#VALUE!</v>
      </c>
      <c r="S2020" s="1" t="e">
        <f t="shared" si="451"/>
        <v>#VALUE!</v>
      </c>
      <c r="T2020" s="1" t="e">
        <f t="shared" si="452"/>
        <v>#VALUE!</v>
      </c>
      <c r="U2020" s="26" t="e">
        <f t="shared" si="453"/>
        <v>#VALUE!</v>
      </c>
      <c r="V2020" s="26" t="e">
        <f t="shared" si="454"/>
        <v>#VALUE!</v>
      </c>
      <c r="W2020" s="1" t="e">
        <f t="shared" si="455"/>
        <v>#VALUE!</v>
      </c>
      <c r="X2020" s="26" t="e">
        <f t="shared" si="456"/>
        <v>#VALUE!</v>
      </c>
      <c r="Y2020" s="26" t="e">
        <f t="shared" si="457"/>
        <v>#VALUE!</v>
      </c>
      <c r="Z2020" s="1" t="e">
        <f t="shared" si="458"/>
        <v>#VALUE!</v>
      </c>
      <c r="AA2020"/>
      <c r="AB2020"/>
    </row>
    <row r="2021" spans="1:28" x14ac:dyDescent="0.55000000000000004">
      <c r="A2021" s="1">
        <f t="shared" si="445"/>
        <v>2021</v>
      </c>
      <c r="B2021" t="s">
        <v>39</v>
      </c>
      <c r="C2021" t="s">
        <v>18</v>
      </c>
      <c r="D2021" t="s">
        <v>19</v>
      </c>
      <c r="E2021" t="s">
        <v>20</v>
      </c>
      <c r="F2021" t="s">
        <v>21</v>
      </c>
      <c r="G2021" t="s">
        <v>22</v>
      </c>
      <c r="H2021" t="s">
        <v>23</v>
      </c>
      <c r="I2021" t="s">
        <v>24</v>
      </c>
      <c r="J2021" t="s">
        <v>25</v>
      </c>
      <c r="K2021" t="s">
        <v>26</v>
      </c>
      <c r="L2021" t="s">
        <v>27</v>
      </c>
      <c r="M2021" t="s">
        <v>28</v>
      </c>
      <c r="N2021" s="1" t="e">
        <f t="shared" si="446"/>
        <v>#VALUE!</v>
      </c>
      <c r="O2021" s="1" t="e">
        <f t="shared" si="447"/>
        <v>#VALUE!</v>
      </c>
      <c r="P2021" s="1" t="e">
        <f t="shared" si="448"/>
        <v>#VALUE!</v>
      </c>
      <c r="Q2021" s="1" t="e">
        <f t="shared" si="449"/>
        <v>#VALUE!</v>
      </c>
      <c r="R2021" s="1" t="e">
        <f t="shared" si="450"/>
        <v>#VALUE!</v>
      </c>
      <c r="S2021" s="1" t="e">
        <f t="shared" si="451"/>
        <v>#VALUE!</v>
      </c>
      <c r="T2021" s="1" t="e">
        <f t="shared" si="452"/>
        <v>#VALUE!</v>
      </c>
      <c r="U2021" s="26" t="e">
        <f t="shared" si="453"/>
        <v>#VALUE!</v>
      </c>
      <c r="V2021" s="26" t="e">
        <f t="shared" si="454"/>
        <v>#VALUE!</v>
      </c>
      <c r="W2021" s="1" t="e">
        <f t="shared" si="455"/>
        <v>#VALUE!</v>
      </c>
      <c r="X2021" s="26" t="e">
        <f t="shared" si="456"/>
        <v>#VALUE!</v>
      </c>
      <c r="Y2021" s="26" t="e">
        <f t="shared" si="457"/>
        <v>#VALUE!</v>
      </c>
      <c r="Z2021" s="1" t="e">
        <f t="shared" si="458"/>
        <v>#VALUE!</v>
      </c>
      <c r="AA2021"/>
      <c r="AB2021"/>
    </row>
    <row r="2022" spans="1:28" x14ac:dyDescent="0.55000000000000004">
      <c r="A2022" s="1">
        <f t="shared" si="445"/>
        <v>2022</v>
      </c>
      <c r="B2022" t="s">
        <v>39</v>
      </c>
      <c r="C2022" t="s">
        <v>18</v>
      </c>
      <c r="D2022" t="s">
        <v>19</v>
      </c>
      <c r="E2022" t="s">
        <v>20</v>
      </c>
      <c r="F2022" t="s">
        <v>21</v>
      </c>
      <c r="G2022" t="s">
        <v>22</v>
      </c>
      <c r="H2022" t="s">
        <v>23</v>
      </c>
      <c r="I2022" t="s">
        <v>24</v>
      </c>
      <c r="J2022" t="s">
        <v>25</v>
      </c>
      <c r="K2022" t="s">
        <v>26</v>
      </c>
      <c r="L2022" t="s">
        <v>27</v>
      </c>
      <c r="M2022" t="s">
        <v>28</v>
      </c>
      <c r="N2022" s="1" t="e">
        <f t="shared" si="446"/>
        <v>#VALUE!</v>
      </c>
      <c r="O2022" s="1" t="e">
        <f t="shared" si="447"/>
        <v>#VALUE!</v>
      </c>
      <c r="P2022" s="1" t="e">
        <f t="shared" si="448"/>
        <v>#VALUE!</v>
      </c>
      <c r="Q2022" s="1" t="e">
        <f t="shared" si="449"/>
        <v>#VALUE!</v>
      </c>
      <c r="R2022" s="1" t="e">
        <f t="shared" si="450"/>
        <v>#VALUE!</v>
      </c>
      <c r="S2022" s="1" t="e">
        <f t="shared" si="451"/>
        <v>#VALUE!</v>
      </c>
      <c r="T2022" s="1" t="e">
        <f t="shared" si="452"/>
        <v>#VALUE!</v>
      </c>
      <c r="U2022" s="26" t="e">
        <f t="shared" si="453"/>
        <v>#VALUE!</v>
      </c>
      <c r="V2022" s="26" t="e">
        <f t="shared" si="454"/>
        <v>#VALUE!</v>
      </c>
      <c r="W2022" s="1" t="e">
        <f t="shared" si="455"/>
        <v>#VALUE!</v>
      </c>
      <c r="X2022" s="26" t="e">
        <f t="shared" si="456"/>
        <v>#VALUE!</v>
      </c>
      <c r="Y2022" s="26" t="e">
        <f t="shared" si="457"/>
        <v>#VALUE!</v>
      </c>
      <c r="Z2022" s="1" t="e">
        <f t="shared" si="458"/>
        <v>#VALUE!</v>
      </c>
      <c r="AA2022"/>
      <c r="AB2022"/>
    </row>
    <row r="2023" spans="1:28" x14ac:dyDescent="0.55000000000000004">
      <c r="A2023" s="1">
        <f t="shared" si="445"/>
        <v>2023</v>
      </c>
      <c r="B2023" t="s">
        <v>39</v>
      </c>
      <c r="C2023" t="s">
        <v>18</v>
      </c>
      <c r="D2023" t="s">
        <v>19</v>
      </c>
      <c r="E2023" t="s">
        <v>20</v>
      </c>
      <c r="F2023" t="s">
        <v>21</v>
      </c>
      <c r="G2023" t="s">
        <v>22</v>
      </c>
      <c r="H2023" t="s">
        <v>23</v>
      </c>
      <c r="I2023" t="s">
        <v>24</v>
      </c>
      <c r="J2023" t="s">
        <v>25</v>
      </c>
      <c r="K2023" t="s">
        <v>26</v>
      </c>
      <c r="L2023" t="s">
        <v>27</v>
      </c>
      <c r="M2023" t="s">
        <v>28</v>
      </c>
      <c r="N2023" s="1" t="e">
        <f t="shared" si="446"/>
        <v>#VALUE!</v>
      </c>
      <c r="O2023" s="1" t="e">
        <f t="shared" si="447"/>
        <v>#VALUE!</v>
      </c>
      <c r="P2023" s="1" t="e">
        <f t="shared" si="448"/>
        <v>#VALUE!</v>
      </c>
      <c r="Q2023" s="1" t="e">
        <f t="shared" si="449"/>
        <v>#VALUE!</v>
      </c>
      <c r="R2023" s="1" t="e">
        <f t="shared" si="450"/>
        <v>#VALUE!</v>
      </c>
      <c r="S2023" s="1" t="e">
        <f t="shared" si="451"/>
        <v>#VALUE!</v>
      </c>
      <c r="T2023" s="1" t="e">
        <f t="shared" si="452"/>
        <v>#VALUE!</v>
      </c>
      <c r="U2023" s="26" t="e">
        <f t="shared" si="453"/>
        <v>#VALUE!</v>
      </c>
      <c r="V2023" s="26" t="e">
        <f t="shared" si="454"/>
        <v>#VALUE!</v>
      </c>
      <c r="W2023" s="1" t="e">
        <f t="shared" si="455"/>
        <v>#VALUE!</v>
      </c>
      <c r="X2023" s="26" t="e">
        <f t="shared" si="456"/>
        <v>#VALUE!</v>
      </c>
      <c r="Y2023" s="26" t="e">
        <f t="shared" si="457"/>
        <v>#VALUE!</v>
      </c>
      <c r="Z2023" s="1" t="e">
        <f t="shared" si="458"/>
        <v>#VALUE!</v>
      </c>
      <c r="AA2023"/>
      <c r="AB2023"/>
    </row>
    <row r="2024" spans="1:28" x14ac:dyDescent="0.55000000000000004">
      <c r="A2024" s="1">
        <f t="shared" si="445"/>
        <v>2024</v>
      </c>
      <c r="B2024" t="s">
        <v>40</v>
      </c>
      <c r="C2024" t="s">
        <v>18</v>
      </c>
      <c r="D2024" t="s">
        <v>19</v>
      </c>
      <c r="E2024" t="s">
        <v>20</v>
      </c>
      <c r="F2024" t="s">
        <v>21</v>
      </c>
      <c r="G2024" t="s">
        <v>22</v>
      </c>
      <c r="H2024" t="s">
        <v>23</v>
      </c>
      <c r="I2024" t="s">
        <v>24</v>
      </c>
      <c r="J2024" t="s">
        <v>25</v>
      </c>
      <c r="K2024" t="s">
        <v>26</v>
      </c>
      <c r="L2024" t="s">
        <v>27</v>
      </c>
      <c r="M2024" t="s">
        <v>28</v>
      </c>
      <c r="N2024" s="1" t="e">
        <f t="shared" si="446"/>
        <v>#VALUE!</v>
      </c>
      <c r="O2024" s="1" t="e">
        <f t="shared" si="447"/>
        <v>#VALUE!</v>
      </c>
      <c r="P2024" s="1" t="e">
        <f t="shared" si="448"/>
        <v>#VALUE!</v>
      </c>
      <c r="Q2024" s="1" t="e">
        <f t="shared" si="449"/>
        <v>#VALUE!</v>
      </c>
      <c r="R2024" s="1" t="e">
        <f t="shared" si="450"/>
        <v>#VALUE!</v>
      </c>
      <c r="S2024" s="1" t="e">
        <f t="shared" si="451"/>
        <v>#VALUE!</v>
      </c>
      <c r="T2024" s="1" t="e">
        <f t="shared" si="452"/>
        <v>#VALUE!</v>
      </c>
      <c r="U2024" s="26" t="e">
        <f t="shared" si="453"/>
        <v>#VALUE!</v>
      </c>
      <c r="V2024" s="26" t="e">
        <f t="shared" si="454"/>
        <v>#VALUE!</v>
      </c>
      <c r="W2024" s="1" t="e">
        <f t="shared" si="455"/>
        <v>#VALUE!</v>
      </c>
      <c r="X2024" s="26" t="e">
        <f t="shared" si="456"/>
        <v>#VALUE!</v>
      </c>
      <c r="Y2024" s="26" t="e">
        <f t="shared" si="457"/>
        <v>#VALUE!</v>
      </c>
      <c r="Z2024" s="1" t="e">
        <f t="shared" si="458"/>
        <v>#VALUE!</v>
      </c>
      <c r="AA2024"/>
      <c r="AB2024"/>
    </row>
    <row r="2025" spans="1:28" x14ac:dyDescent="0.55000000000000004">
      <c r="A2025" s="1">
        <f t="shared" si="445"/>
        <v>2025</v>
      </c>
      <c r="B2025" t="s">
        <v>40</v>
      </c>
      <c r="C2025" t="s">
        <v>18</v>
      </c>
      <c r="D2025" t="s">
        <v>19</v>
      </c>
      <c r="E2025" t="s">
        <v>20</v>
      </c>
      <c r="F2025" t="s">
        <v>21</v>
      </c>
      <c r="G2025" t="s">
        <v>22</v>
      </c>
      <c r="H2025" t="s">
        <v>23</v>
      </c>
      <c r="I2025" t="s">
        <v>24</v>
      </c>
      <c r="J2025" t="s">
        <v>25</v>
      </c>
      <c r="K2025" t="s">
        <v>26</v>
      </c>
      <c r="L2025" t="s">
        <v>27</v>
      </c>
      <c r="M2025" t="s">
        <v>28</v>
      </c>
      <c r="N2025" s="1" t="e">
        <f t="shared" si="446"/>
        <v>#VALUE!</v>
      </c>
      <c r="O2025" s="1" t="e">
        <f t="shared" si="447"/>
        <v>#VALUE!</v>
      </c>
      <c r="P2025" s="1" t="e">
        <f t="shared" si="448"/>
        <v>#VALUE!</v>
      </c>
      <c r="Q2025" s="1" t="e">
        <f t="shared" si="449"/>
        <v>#VALUE!</v>
      </c>
      <c r="R2025" s="1" t="e">
        <f t="shared" si="450"/>
        <v>#VALUE!</v>
      </c>
      <c r="S2025" s="1" t="e">
        <f t="shared" si="451"/>
        <v>#VALUE!</v>
      </c>
      <c r="T2025" s="1" t="e">
        <f t="shared" si="452"/>
        <v>#VALUE!</v>
      </c>
      <c r="U2025" s="26" t="e">
        <f t="shared" si="453"/>
        <v>#VALUE!</v>
      </c>
      <c r="V2025" s="26" t="e">
        <f t="shared" si="454"/>
        <v>#VALUE!</v>
      </c>
      <c r="W2025" s="1" t="e">
        <f t="shared" si="455"/>
        <v>#VALUE!</v>
      </c>
      <c r="X2025" s="26" t="e">
        <f t="shared" si="456"/>
        <v>#VALUE!</v>
      </c>
      <c r="Y2025" s="26" t="e">
        <f t="shared" si="457"/>
        <v>#VALUE!</v>
      </c>
      <c r="Z2025" s="1" t="e">
        <f t="shared" si="458"/>
        <v>#VALUE!</v>
      </c>
      <c r="AA2025"/>
      <c r="AB2025"/>
    </row>
    <row r="2026" spans="1:28" x14ac:dyDescent="0.55000000000000004">
      <c r="A2026" s="1">
        <f t="shared" si="445"/>
        <v>2026</v>
      </c>
      <c r="B2026" t="s">
        <v>40</v>
      </c>
      <c r="C2026" t="s">
        <v>18</v>
      </c>
      <c r="D2026" t="s">
        <v>19</v>
      </c>
      <c r="E2026" t="s">
        <v>20</v>
      </c>
      <c r="F2026" t="s">
        <v>21</v>
      </c>
      <c r="G2026" t="s">
        <v>22</v>
      </c>
      <c r="H2026" t="s">
        <v>23</v>
      </c>
      <c r="I2026" t="s">
        <v>24</v>
      </c>
      <c r="J2026" t="s">
        <v>25</v>
      </c>
      <c r="K2026" t="s">
        <v>26</v>
      </c>
      <c r="L2026" t="s">
        <v>27</v>
      </c>
      <c r="M2026" t="s">
        <v>28</v>
      </c>
      <c r="N2026" s="1" t="e">
        <f t="shared" si="446"/>
        <v>#VALUE!</v>
      </c>
      <c r="O2026" s="1" t="e">
        <f t="shared" si="447"/>
        <v>#VALUE!</v>
      </c>
      <c r="P2026" s="1" t="e">
        <f t="shared" si="448"/>
        <v>#VALUE!</v>
      </c>
      <c r="Q2026" s="1" t="e">
        <f t="shared" si="449"/>
        <v>#VALUE!</v>
      </c>
      <c r="R2026" s="1" t="e">
        <f t="shared" si="450"/>
        <v>#VALUE!</v>
      </c>
      <c r="S2026" s="1" t="e">
        <f t="shared" si="451"/>
        <v>#VALUE!</v>
      </c>
      <c r="T2026" s="1" t="e">
        <f t="shared" si="452"/>
        <v>#VALUE!</v>
      </c>
      <c r="U2026" s="26" t="e">
        <f t="shared" si="453"/>
        <v>#VALUE!</v>
      </c>
      <c r="V2026" s="26" t="e">
        <f t="shared" si="454"/>
        <v>#VALUE!</v>
      </c>
      <c r="W2026" s="1" t="e">
        <f t="shared" si="455"/>
        <v>#VALUE!</v>
      </c>
      <c r="X2026" s="26" t="e">
        <f t="shared" si="456"/>
        <v>#VALUE!</v>
      </c>
      <c r="Y2026" s="26" t="e">
        <f t="shared" si="457"/>
        <v>#VALUE!</v>
      </c>
      <c r="Z2026" s="1" t="e">
        <f t="shared" si="458"/>
        <v>#VALUE!</v>
      </c>
      <c r="AA2026"/>
      <c r="AB2026"/>
    </row>
    <row r="2027" spans="1:28" x14ac:dyDescent="0.55000000000000004">
      <c r="A2027" s="1">
        <f t="shared" si="445"/>
        <v>2027</v>
      </c>
      <c r="B2027" t="s">
        <v>40</v>
      </c>
      <c r="C2027" t="s">
        <v>18</v>
      </c>
      <c r="D2027" t="s">
        <v>19</v>
      </c>
      <c r="E2027" t="s">
        <v>20</v>
      </c>
      <c r="F2027" t="s">
        <v>21</v>
      </c>
      <c r="G2027" t="s">
        <v>22</v>
      </c>
      <c r="H2027" t="s">
        <v>23</v>
      </c>
      <c r="I2027" t="s">
        <v>24</v>
      </c>
      <c r="J2027" t="s">
        <v>25</v>
      </c>
      <c r="K2027" t="s">
        <v>26</v>
      </c>
      <c r="L2027" t="s">
        <v>27</v>
      </c>
      <c r="M2027" t="s">
        <v>28</v>
      </c>
      <c r="N2027" s="1" t="e">
        <f t="shared" si="446"/>
        <v>#VALUE!</v>
      </c>
      <c r="O2027" s="1" t="e">
        <f t="shared" si="447"/>
        <v>#VALUE!</v>
      </c>
      <c r="P2027" s="1" t="e">
        <f t="shared" si="448"/>
        <v>#VALUE!</v>
      </c>
      <c r="Q2027" s="1" t="e">
        <f t="shared" si="449"/>
        <v>#VALUE!</v>
      </c>
      <c r="R2027" s="1" t="e">
        <f t="shared" si="450"/>
        <v>#VALUE!</v>
      </c>
      <c r="S2027" s="1" t="e">
        <f t="shared" si="451"/>
        <v>#VALUE!</v>
      </c>
      <c r="T2027" s="1" t="e">
        <f t="shared" si="452"/>
        <v>#VALUE!</v>
      </c>
      <c r="U2027" s="26" t="e">
        <f t="shared" si="453"/>
        <v>#VALUE!</v>
      </c>
      <c r="V2027" s="26" t="e">
        <f t="shared" si="454"/>
        <v>#VALUE!</v>
      </c>
      <c r="W2027" s="1" t="e">
        <f t="shared" si="455"/>
        <v>#VALUE!</v>
      </c>
      <c r="X2027" s="26" t="e">
        <f t="shared" si="456"/>
        <v>#VALUE!</v>
      </c>
      <c r="Y2027" s="26" t="e">
        <f t="shared" si="457"/>
        <v>#VALUE!</v>
      </c>
      <c r="Z2027" s="1" t="e">
        <f t="shared" si="458"/>
        <v>#VALUE!</v>
      </c>
      <c r="AA2027"/>
      <c r="AB2027"/>
    </row>
    <row r="2028" spans="1:28" x14ac:dyDescent="0.55000000000000004">
      <c r="A2028" s="1">
        <f t="shared" si="445"/>
        <v>2028</v>
      </c>
      <c r="B2028" t="s">
        <v>40</v>
      </c>
      <c r="C2028" t="s">
        <v>18</v>
      </c>
      <c r="D2028" t="s">
        <v>19</v>
      </c>
      <c r="E2028" t="s">
        <v>20</v>
      </c>
      <c r="F2028" t="s">
        <v>21</v>
      </c>
      <c r="G2028" t="s">
        <v>22</v>
      </c>
      <c r="H2028" t="s">
        <v>23</v>
      </c>
      <c r="I2028" t="s">
        <v>24</v>
      </c>
      <c r="J2028" t="s">
        <v>25</v>
      </c>
      <c r="K2028" t="s">
        <v>26</v>
      </c>
      <c r="L2028" t="s">
        <v>27</v>
      </c>
      <c r="M2028" t="s">
        <v>28</v>
      </c>
      <c r="N2028" s="1" t="e">
        <f t="shared" si="446"/>
        <v>#VALUE!</v>
      </c>
      <c r="O2028" s="1" t="e">
        <f t="shared" si="447"/>
        <v>#VALUE!</v>
      </c>
      <c r="P2028" s="1" t="e">
        <f t="shared" si="448"/>
        <v>#VALUE!</v>
      </c>
      <c r="Q2028" s="1" t="e">
        <f t="shared" si="449"/>
        <v>#VALUE!</v>
      </c>
      <c r="R2028" s="1" t="e">
        <f t="shared" si="450"/>
        <v>#VALUE!</v>
      </c>
      <c r="S2028" s="1" t="e">
        <f t="shared" si="451"/>
        <v>#VALUE!</v>
      </c>
      <c r="T2028" s="1" t="e">
        <f t="shared" si="452"/>
        <v>#VALUE!</v>
      </c>
      <c r="U2028" s="26" t="e">
        <f t="shared" si="453"/>
        <v>#VALUE!</v>
      </c>
      <c r="V2028" s="26" t="e">
        <f t="shared" si="454"/>
        <v>#VALUE!</v>
      </c>
      <c r="W2028" s="1" t="e">
        <f t="shared" si="455"/>
        <v>#VALUE!</v>
      </c>
      <c r="X2028" s="26" t="e">
        <f t="shared" si="456"/>
        <v>#VALUE!</v>
      </c>
      <c r="Y2028" s="26" t="e">
        <f t="shared" si="457"/>
        <v>#VALUE!</v>
      </c>
      <c r="Z2028" s="1" t="e">
        <f t="shared" si="458"/>
        <v>#VALUE!</v>
      </c>
      <c r="AA2028"/>
      <c r="AB2028"/>
    </row>
    <row r="2029" spans="1:28" x14ac:dyDescent="0.55000000000000004">
      <c r="A2029" s="1">
        <f t="shared" si="445"/>
        <v>2029</v>
      </c>
      <c r="B2029" t="s">
        <v>30</v>
      </c>
      <c r="N2029" s="1" t="e">
        <f t="shared" si="446"/>
        <v>#VALUE!</v>
      </c>
      <c r="O2029" s="1" t="e">
        <f t="shared" si="447"/>
        <v>#VALUE!</v>
      </c>
      <c r="P2029" s="1" t="e">
        <f t="shared" si="448"/>
        <v>#VALUE!</v>
      </c>
      <c r="Q2029" s="1" t="e">
        <f t="shared" si="449"/>
        <v>#VALUE!</v>
      </c>
      <c r="R2029" s="1" t="e">
        <f t="shared" si="450"/>
        <v>#VALUE!</v>
      </c>
      <c r="S2029" s="1" t="e">
        <f t="shared" si="451"/>
        <v>#VALUE!</v>
      </c>
      <c r="T2029" s="1" t="e">
        <f t="shared" si="452"/>
        <v>#VALUE!</v>
      </c>
      <c r="U2029" s="26" t="e">
        <f t="shared" si="453"/>
        <v>#VALUE!</v>
      </c>
      <c r="V2029" s="26" t="e">
        <f t="shared" si="454"/>
        <v>#VALUE!</v>
      </c>
      <c r="W2029" s="1" t="e">
        <f t="shared" si="455"/>
        <v>#VALUE!</v>
      </c>
      <c r="X2029" s="26" t="e">
        <f t="shared" si="456"/>
        <v>#VALUE!</v>
      </c>
      <c r="Y2029" s="26" t="e">
        <f t="shared" si="457"/>
        <v>#VALUE!</v>
      </c>
      <c r="Z2029" s="1" t="e">
        <f t="shared" si="458"/>
        <v>#VALUE!</v>
      </c>
      <c r="AA2029"/>
      <c r="AB2029"/>
    </row>
    <row r="2030" spans="1:28" x14ac:dyDescent="0.55000000000000004">
      <c r="A2030" s="1">
        <f t="shared" si="445"/>
        <v>2030</v>
      </c>
      <c r="B2030" t="s">
        <v>30</v>
      </c>
      <c r="N2030" s="1" t="e">
        <f t="shared" si="446"/>
        <v>#VALUE!</v>
      </c>
      <c r="O2030" s="1" t="e">
        <f t="shared" si="447"/>
        <v>#VALUE!</v>
      </c>
      <c r="P2030" s="1" t="e">
        <f t="shared" si="448"/>
        <v>#VALUE!</v>
      </c>
      <c r="Q2030" s="1" t="e">
        <f t="shared" si="449"/>
        <v>#VALUE!</v>
      </c>
      <c r="R2030" s="1" t="e">
        <f t="shared" si="450"/>
        <v>#VALUE!</v>
      </c>
      <c r="S2030" s="1" t="e">
        <f t="shared" si="451"/>
        <v>#VALUE!</v>
      </c>
      <c r="T2030" s="1" t="e">
        <f t="shared" si="452"/>
        <v>#VALUE!</v>
      </c>
      <c r="U2030" s="26" t="e">
        <f t="shared" si="453"/>
        <v>#VALUE!</v>
      </c>
      <c r="V2030" s="26" t="e">
        <f t="shared" si="454"/>
        <v>#VALUE!</v>
      </c>
      <c r="W2030" s="1" t="e">
        <f t="shared" si="455"/>
        <v>#VALUE!</v>
      </c>
      <c r="X2030" s="26" t="e">
        <f t="shared" si="456"/>
        <v>#VALUE!</v>
      </c>
      <c r="Y2030" s="26" t="e">
        <f t="shared" si="457"/>
        <v>#VALUE!</v>
      </c>
      <c r="Z2030" s="1" t="e">
        <f t="shared" si="458"/>
        <v>#VALUE!</v>
      </c>
      <c r="AA2030"/>
      <c r="AB2030"/>
    </row>
    <row r="2031" spans="1:28" x14ac:dyDescent="0.55000000000000004">
      <c r="A2031" s="1">
        <f t="shared" si="445"/>
        <v>2031</v>
      </c>
      <c r="B2031" t="s">
        <v>30</v>
      </c>
      <c r="N2031" s="1" t="e">
        <f t="shared" si="446"/>
        <v>#VALUE!</v>
      </c>
      <c r="O2031" s="1" t="e">
        <f t="shared" si="447"/>
        <v>#VALUE!</v>
      </c>
      <c r="P2031" s="1" t="e">
        <f t="shared" si="448"/>
        <v>#VALUE!</v>
      </c>
      <c r="Q2031" s="1" t="e">
        <f t="shared" si="449"/>
        <v>#VALUE!</v>
      </c>
      <c r="R2031" s="1" t="e">
        <f t="shared" si="450"/>
        <v>#VALUE!</v>
      </c>
      <c r="S2031" s="1" t="e">
        <f t="shared" si="451"/>
        <v>#VALUE!</v>
      </c>
      <c r="T2031" s="1" t="e">
        <f t="shared" si="452"/>
        <v>#VALUE!</v>
      </c>
      <c r="U2031" s="26" t="e">
        <f t="shared" si="453"/>
        <v>#VALUE!</v>
      </c>
      <c r="V2031" s="26" t="e">
        <f t="shared" si="454"/>
        <v>#VALUE!</v>
      </c>
      <c r="W2031" s="1" t="e">
        <f t="shared" si="455"/>
        <v>#VALUE!</v>
      </c>
      <c r="X2031" s="26" t="e">
        <f t="shared" si="456"/>
        <v>#VALUE!</v>
      </c>
      <c r="Y2031" s="26" t="e">
        <f t="shared" si="457"/>
        <v>#VALUE!</v>
      </c>
      <c r="Z2031" s="1" t="e">
        <f t="shared" si="458"/>
        <v>#VALUE!</v>
      </c>
      <c r="AA2031"/>
      <c r="AB2031"/>
    </row>
    <row r="2032" spans="1:28" x14ac:dyDescent="0.55000000000000004">
      <c r="A2032" s="1">
        <f t="shared" si="445"/>
        <v>2032</v>
      </c>
      <c r="B2032" t="s">
        <v>30</v>
      </c>
      <c r="N2032" s="1" t="e">
        <f t="shared" si="446"/>
        <v>#VALUE!</v>
      </c>
      <c r="O2032" s="1" t="e">
        <f t="shared" si="447"/>
        <v>#VALUE!</v>
      </c>
      <c r="P2032" s="1" t="e">
        <f t="shared" si="448"/>
        <v>#VALUE!</v>
      </c>
      <c r="Q2032" s="1" t="e">
        <f t="shared" si="449"/>
        <v>#VALUE!</v>
      </c>
      <c r="R2032" s="1" t="e">
        <f t="shared" si="450"/>
        <v>#VALUE!</v>
      </c>
      <c r="S2032" s="1" t="e">
        <f t="shared" si="451"/>
        <v>#VALUE!</v>
      </c>
      <c r="T2032" s="1" t="e">
        <f t="shared" si="452"/>
        <v>#VALUE!</v>
      </c>
      <c r="U2032" s="26" t="e">
        <f t="shared" si="453"/>
        <v>#VALUE!</v>
      </c>
      <c r="V2032" s="26" t="e">
        <f t="shared" si="454"/>
        <v>#VALUE!</v>
      </c>
      <c r="W2032" s="1" t="e">
        <f t="shared" si="455"/>
        <v>#VALUE!</v>
      </c>
      <c r="X2032" s="26" t="e">
        <f t="shared" si="456"/>
        <v>#VALUE!</v>
      </c>
      <c r="Y2032" s="26" t="e">
        <f t="shared" si="457"/>
        <v>#VALUE!</v>
      </c>
      <c r="Z2032" s="1" t="e">
        <f t="shared" si="458"/>
        <v>#VALUE!</v>
      </c>
      <c r="AA2032"/>
      <c r="AB2032"/>
    </row>
    <row r="2033" spans="1:28" x14ac:dyDescent="0.55000000000000004">
      <c r="A2033" s="1">
        <f t="shared" si="445"/>
        <v>2033</v>
      </c>
      <c r="B2033" t="s">
        <v>30</v>
      </c>
      <c r="N2033" s="1" t="e">
        <f t="shared" si="446"/>
        <v>#VALUE!</v>
      </c>
      <c r="O2033" s="1" t="e">
        <f t="shared" si="447"/>
        <v>#VALUE!</v>
      </c>
      <c r="P2033" s="1" t="e">
        <f t="shared" si="448"/>
        <v>#VALUE!</v>
      </c>
      <c r="Q2033" s="1" t="e">
        <f t="shared" si="449"/>
        <v>#VALUE!</v>
      </c>
      <c r="R2033" s="1" t="e">
        <f t="shared" si="450"/>
        <v>#VALUE!</v>
      </c>
      <c r="S2033" s="1" t="e">
        <f t="shared" si="451"/>
        <v>#VALUE!</v>
      </c>
      <c r="T2033" s="1" t="e">
        <f t="shared" si="452"/>
        <v>#VALUE!</v>
      </c>
      <c r="U2033" s="26" t="e">
        <f t="shared" si="453"/>
        <v>#VALUE!</v>
      </c>
      <c r="V2033" s="26" t="e">
        <f t="shared" si="454"/>
        <v>#VALUE!</v>
      </c>
      <c r="W2033" s="1" t="e">
        <f t="shared" si="455"/>
        <v>#VALUE!</v>
      </c>
      <c r="X2033" s="26" t="e">
        <f t="shared" si="456"/>
        <v>#VALUE!</v>
      </c>
      <c r="Y2033" s="26" t="e">
        <f t="shared" si="457"/>
        <v>#VALUE!</v>
      </c>
      <c r="Z2033" s="1" t="e">
        <f t="shared" si="458"/>
        <v>#VALUE!</v>
      </c>
      <c r="AA2033"/>
      <c r="AB2033"/>
    </row>
    <row r="2034" spans="1:28" x14ac:dyDescent="0.55000000000000004">
      <c r="A2034" s="1">
        <f t="shared" si="445"/>
        <v>2034</v>
      </c>
      <c r="B2034" t="s">
        <v>30</v>
      </c>
      <c r="N2034" s="1" t="e">
        <f t="shared" si="446"/>
        <v>#VALUE!</v>
      </c>
      <c r="O2034" s="1" t="e">
        <f t="shared" si="447"/>
        <v>#VALUE!</v>
      </c>
      <c r="P2034" s="1" t="e">
        <f t="shared" si="448"/>
        <v>#VALUE!</v>
      </c>
      <c r="Q2034" s="1" t="e">
        <f t="shared" si="449"/>
        <v>#VALUE!</v>
      </c>
      <c r="R2034" s="1" t="e">
        <f t="shared" si="450"/>
        <v>#VALUE!</v>
      </c>
      <c r="S2034" s="1" t="e">
        <f t="shared" si="451"/>
        <v>#VALUE!</v>
      </c>
      <c r="T2034" s="1" t="e">
        <f t="shared" si="452"/>
        <v>#VALUE!</v>
      </c>
      <c r="U2034" s="26" t="e">
        <f t="shared" si="453"/>
        <v>#VALUE!</v>
      </c>
      <c r="V2034" s="26" t="e">
        <f t="shared" si="454"/>
        <v>#VALUE!</v>
      </c>
      <c r="W2034" s="1" t="e">
        <f t="shared" si="455"/>
        <v>#VALUE!</v>
      </c>
      <c r="X2034" s="26" t="e">
        <f t="shared" si="456"/>
        <v>#VALUE!</v>
      </c>
      <c r="Y2034" s="26" t="e">
        <f t="shared" si="457"/>
        <v>#VALUE!</v>
      </c>
      <c r="Z2034" s="1" t="e">
        <f t="shared" si="458"/>
        <v>#VALUE!</v>
      </c>
      <c r="AA2034"/>
      <c r="AB2034"/>
    </row>
    <row r="2035" spans="1:28" x14ac:dyDescent="0.55000000000000004">
      <c r="A2035" s="1">
        <f t="shared" si="445"/>
        <v>2035</v>
      </c>
      <c r="B2035" t="s">
        <v>30</v>
      </c>
      <c r="N2035" s="1" t="e">
        <f t="shared" si="446"/>
        <v>#VALUE!</v>
      </c>
      <c r="O2035" s="1" t="e">
        <f t="shared" si="447"/>
        <v>#VALUE!</v>
      </c>
      <c r="P2035" s="1" t="e">
        <f t="shared" si="448"/>
        <v>#VALUE!</v>
      </c>
      <c r="Q2035" s="1" t="e">
        <f t="shared" si="449"/>
        <v>#VALUE!</v>
      </c>
      <c r="R2035" s="1" t="e">
        <f t="shared" si="450"/>
        <v>#VALUE!</v>
      </c>
      <c r="S2035" s="1" t="e">
        <f t="shared" si="451"/>
        <v>#VALUE!</v>
      </c>
      <c r="T2035" s="1" t="e">
        <f t="shared" si="452"/>
        <v>#VALUE!</v>
      </c>
      <c r="U2035" s="26" t="e">
        <f t="shared" si="453"/>
        <v>#VALUE!</v>
      </c>
      <c r="V2035" s="26" t="e">
        <f t="shared" si="454"/>
        <v>#VALUE!</v>
      </c>
      <c r="W2035" s="1" t="e">
        <f t="shared" si="455"/>
        <v>#VALUE!</v>
      </c>
      <c r="X2035" s="26" t="e">
        <f t="shared" si="456"/>
        <v>#VALUE!</v>
      </c>
      <c r="Y2035" s="26" t="e">
        <f t="shared" si="457"/>
        <v>#VALUE!</v>
      </c>
      <c r="Z2035" s="1" t="e">
        <f t="shared" si="458"/>
        <v>#VALUE!</v>
      </c>
      <c r="AA2035"/>
      <c r="AB2035"/>
    </row>
    <row r="2036" spans="1:28" x14ac:dyDescent="0.55000000000000004">
      <c r="A2036" s="1">
        <f t="shared" si="445"/>
        <v>2036</v>
      </c>
      <c r="B2036" t="s">
        <v>30</v>
      </c>
      <c r="N2036" s="1" t="e">
        <f t="shared" si="446"/>
        <v>#VALUE!</v>
      </c>
      <c r="O2036" s="1" t="e">
        <f t="shared" si="447"/>
        <v>#VALUE!</v>
      </c>
      <c r="P2036" s="1" t="e">
        <f t="shared" si="448"/>
        <v>#VALUE!</v>
      </c>
      <c r="Q2036" s="1" t="e">
        <f t="shared" si="449"/>
        <v>#VALUE!</v>
      </c>
      <c r="R2036" s="1" t="e">
        <f t="shared" si="450"/>
        <v>#VALUE!</v>
      </c>
      <c r="S2036" s="1" t="e">
        <f t="shared" si="451"/>
        <v>#VALUE!</v>
      </c>
      <c r="T2036" s="1" t="e">
        <f t="shared" si="452"/>
        <v>#VALUE!</v>
      </c>
      <c r="U2036" s="26" t="e">
        <f t="shared" si="453"/>
        <v>#VALUE!</v>
      </c>
      <c r="V2036" s="26" t="e">
        <f t="shared" si="454"/>
        <v>#VALUE!</v>
      </c>
      <c r="W2036" s="1" t="e">
        <f t="shared" si="455"/>
        <v>#VALUE!</v>
      </c>
      <c r="X2036" s="26" t="e">
        <f t="shared" si="456"/>
        <v>#VALUE!</v>
      </c>
      <c r="Y2036" s="26" t="e">
        <f t="shared" si="457"/>
        <v>#VALUE!</v>
      </c>
      <c r="Z2036" s="1" t="e">
        <f t="shared" si="458"/>
        <v>#VALUE!</v>
      </c>
      <c r="AA2036"/>
      <c r="AB2036"/>
    </row>
    <row r="2037" spans="1:28" x14ac:dyDescent="0.55000000000000004">
      <c r="A2037" s="1">
        <f t="shared" si="445"/>
        <v>2037</v>
      </c>
      <c r="B2037" t="s">
        <v>30</v>
      </c>
      <c r="N2037" s="1" t="e">
        <f t="shared" si="446"/>
        <v>#VALUE!</v>
      </c>
      <c r="O2037" s="1" t="e">
        <f t="shared" si="447"/>
        <v>#VALUE!</v>
      </c>
      <c r="P2037" s="1" t="e">
        <f t="shared" si="448"/>
        <v>#VALUE!</v>
      </c>
      <c r="Q2037" s="1" t="e">
        <f t="shared" si="449"/>
        <v>#VALUE!</v>
      </c>
      <c r="R2037" s="1" t="e">
        <f t="shared" si="450"/>
        <v>#VALUE!</v>
      </c>
      <c r="S2037" s="1" t="e">
        <f t="shared" si="451"/>
        <v>#VALUE!</v>
      </c>
      <c r="T2037" s="1" t="e">
        <f t="shared" si="452"/>
        <v>#VALUE!</v>
      </c>
      <c r="U2037" s="26" t="e">
        <f t="shared" si="453"/>
        <v>#VALUE!</v>
      </c>
      <c r="V2037" s="26" t="e">
        <f t="shared" si="454"/>
        <v>#VALUE!</v>
      </c>
      <c r="W2037" s="1" t="e">
        <f t="shared" si="455"/>
        <v>#VALUE!</v>
      </c>
      <c r="X2037" s="26" t="e">
        <f t="shared" si="456"/>
        <v>#VALUE!</v>
      </c>
      <c r="Y2037" s="26" t="e">
        <f t="shared" si="457"/>
        <v>#VALUE!</v>
      </c>
      <c r="Z2037" s="1" t="e">
        <f t="shared" si="458"/>
        <v>#VALUE!</v>
      </c>
      <c r="AA2037"/>
      <c r="AB2037"/>
    </row>
    <row r="2038" spans="1:28" x14ac:dyDescent="0.55000000000000004">
      <c r="A2038" s="1">
        <f t="shared" si="445"/>
        <v>2038</v>
      </c>
      <c r="B2038" t="s">
        <v>30</v>
      </c>
      <c r="N2038" s="1" t="e">
        <f t="shared" si="446"/>
        <v>#VALUE!</v>
      </c>
      <c r="O2038" s="1" t="e">
        <f t="shared" si="447"/>
        <v>#VALUE!</v>
      </c>
      <c r="P2038" s="1" t="e">
        <f t="shared" si="448"/>
        <v>#VALUE!</v>
      </c>
      <c r="Q2038" s="1" t="e">
        <f t="shared" si="449"/>
        <v>#VALUE!</v>
      </c>
      <c r="R2038" s="1" t="e">
        <f t="shared" si="450"/>
        <v>#VALUE!</v>
      </c>
      <c r="S2038" s="1" t="e">
        <f t="shared" si="451"/>
        <v>#VALUE!</v>
      </c>
      <c r="T2038" s="1" t="e">
        <f t="shared" si="452"/>
        <v>#VALUE!</v>
      </c>
      <c r="U2038" s="26" t="e">
        <f t="shared" si="453"/>
        <v>#VALUE!</v>
      </c>
      <c r="V2038" s="26" t="e">
        <f t="shared" si="454"/>
        <v>#VALUE!</v>
      </c>
      <c r="W2038" s="1" t="e">
        <f t="shared" si="455"/>
        <v>#VALUE!</v>
      </c>
      <c r="X2038" s="26" t="e">
        <f t="shared" si="456"/>
        <v>#VALUE!</v>
      </c>
      <c r="Y2038" s="26" t="e">
        <f t="shared" si="457"/>
        <v>#VALUE!</v>
      </c>
      <c r="Z2038" s="1" t="e">
        <f t="shared" si="458"/>
        <v>#VALUE!</v>
      </c>
      <c r="AA2038"/>
      <c r="AB2038"/>
    </row>
    <row r="2039" spans="1:28" x14ac:dyDescent="0.55000000000000004">
      <c r="A2039" s="1">
        <f t="shared" si="445"/>
        <v>2039</v>
      </c>
      <c r="B2039" t="s">
        <v>30</v>
      </c>
      <c r="N2039" s="1" t="e">
        <f t="shared" si="446"/>
        <v>#VALUE!</v>
      </c>
      <c r="O2039" s="1" t="e">
        <f t="shared" si="447"/>
        <v>#VALUE!</v>
      </c>
      <c r="P2039" s="1" t="e">
        <f t="shared" si="448"/>
        <v>#VALUE!</v>
      </c>
      <c r="Q2039" s="1" t="e">
        <f t="shared" si="449"/>
        <v>#VALUE!</v>
      </c>
      <c r="R2039" s="1" t="e">
        <f t="shared" si="450"/>
        <v>#VALUE!</v>
      </c>
      <c r="S2039" s="1" t="e">
        <f t="shared" si="451"/>
        <v>#VALUE!</v>
      </c>
      <c r="T2039" s="1" t="e">
        <f t="shared" si="452"/>
        <v>#VALUE!</v>
      </c>
      <c r="U2039" s="26" t="e">
        <f t="shared" si="453"/>
        <v>#VALUE!</v>
      </c>
      <c r="V2039" s="26" t="e">
        <f t="shared" si="454"/>
        <v>#VALUE!</v>
      </c>
      <c r="W2039" s="1" t="e">
        <f t="shared" si="455"/>
        <v>#VALUE!</v>
      </c>
      <c r="X2039" s="26" t="e">
        <f t="shared" si="456"/>
        <v>#VALUE!</v>
      </c>
      <c r="Y2039" s="26" t="e">
        <f t="shared" si="457"/>
        <v>#VALUE!</v>
      </c>
      <c r="Z2039" s="1" t="e">
        <f t="shared" si="458"/>
        <v>#VALUE!</v>
      </c>
      <c r="AA2039"/>
      <c r="AB2039"/>
    </row>
    <row r="2040" spans="1:28" x14ac:dyDescent="0.55000000000000004">
      <c r="A2040" s="1">
        <f t="shared" si="445"/>
        <v>2040</v>
      </c>
      <c r="B2040" t="s">
        <v>30</v>
      </c>
      <c r="N2040" s="1" t="e">
        <f t="shared" si="446"/>
        <v>#VALUE!</v>
      </c>
      <c r="O2040" s="1" t="e">
        <f t="shared" si="447"/>
        <v>#VALUE!</v>
      </c>
      <c r="P2040" s="1" t="e">
        <f t="shared" si="448"/>
        <v>#VALUE!</v>
      </c>
      <c r="Q2040" s="1" t="e">
        <f t="shared" si="449"/>
        <v>#VALUE!</v>
      </c>
      <c r="R2040" s="1" t="e">
        <f t="shared" si="450"/>
        <v>#VALUE!</v>
      </c>
      <c r="S2040" s="1" t="e">
        <f t="shared" si="451"/>
        <v>#VALUE!</v>
      </c>
      <c r="T2040" s="1" t="e">
        <f t="shared" si="452"/>
        <v>#VALUE!</v>
      </c>
      <c r="U2040" s="26" t="e">
        <f t="shared" si="453"/>
        <v>#VALUE!</v>
      </c>
      <c r="V2040" s="26" t="e">
        <f t="shared" si="454"/>
        <v>#VALUE!</v>
      </c>
      <c r="W2040" s="1" t="e">
        <f t="shared" si="455"/>
        <v>#VALUE!</v>
      </c>
      <c r="X2040" s="26" t="e">
        <f t="shared" si="456"/>
        <v>#VALUE!</v>
      </c>
      <c r="Y2040" s="26" t="e">
        <f t="shared" si="457"/>
        <v>#VALUE!</v>
      </c>
      <c r="Z2040" s="1" t="e">
        <f t="shared" si="458"/>
        <v>#VALUE!</v>
      </c>
      <c r="AA2040"/>
      <c r="AB2040"/>
    </row>
    <row r="2041" spans="1:28" x14ac:dyDescent="0.55000000000000004">
      <c r="A2041" s="1">
        <f t="shared" si="445"/>
        <v>2041</v>
      </c>
      <c r="B2041" t="s">
        <v>30</v>
      </c>
      <c r="N2041" s="1" t="e">
        <f t="shared" si="446"/>
        <v>#VALUE!</v>
      </c>
      <c r="O2041" s="1" t="e">
        <f t="shared" si="447"/>
        <v>#VALUE!</v>
      </c>
      <c r="P2041" s="1" t="e">
        <f t="shared" si="448"/>
        <v>#VALUE!</v>
      </c>
      <c r="Q2041" s="1" t="e">
        <f t="shared" si="449"/>
        <v>#VALUE!</v>
      </c>
      <c r="R2041" s="1" t="e">
        <f t="shared" si="450"/>
        <v>#VALUE!</v>
      </c>
      <c r="S2041" s="1" t="e">
        <f t="shared" si="451"/>
        <v>#VALUE!</v>
      </c>
      <c r="T2041" s="1" t="e">
        <f t="shared" si="452"/>
        <v>#VALUE!</v>
      </c>
      <c r="U2041" s="26" t="e">
        <f t="shared" si="453"/>
        <v>#VALUE!</v>
      </c>
      <c r="V2041" s="26" t="e">
        <f t="shared" si="454"/>
        <v>#VALUE!</v>
      </c>
      <c r="W2041" s="1" t="e">
        <f t="shared" si="455"/>
        <v>#VALUE!</v>
      </c>
      <c r="X2041" s="26" t="e">
        <f t="shared" si="456"/>
        <v>#VALUE!</v>
      </c>
      <c r="Y2041" s="26" t="e">
        <f t="shared" si="457"/>
        <v>#VALUE!</v>
      </c>
      <c r="Z2041" s="1" t="e">
        <f t="shared" si="458"/>
        <v>#VALUE!</v>
      </c>
      <c r="AA2041"/>
      <c r="AB2041"/>
    </row>
    <row r="2042" spans="1:28" x14ac:dyDescent="0.55000000000000004">
      <c r="A2042" s="1">
        <f t="shared" si="445"/>
        <v>2042</v>
      </c>
      <c r="B2042" t="s">
        <v>30</v>
      </c>
      <c r="N2042" s="1" t="e">
        <f t="shared" si="446"/>
        <v>#VALUE!</v>
      </c>
      <c r="O2042" s="1" t="e">
        <f t="shared" si="447"/>
        <v>#VALUE!</v>
      </c>
      <c r="P2042" s="1" t="e">
        <f t="shared" si="448"/>
        <v>#VALUE!</v>
      </c>
      <c r="Q2042" s="1" t="e">
        <f t="shared" si="449"/>
        <v>#VALUE!</v>
      </c>
      <c r="R2042" s="1" t="e">
        <f t="shared" si="450"/>
        <v>#VALUE!</v>
      </c>
      <c r="S2042" s="1" t="e">
        <f t="shared" si="451"/>
        <v>#VALUE!</v>
      </c>
      <c r="T2042" s="1" t="e">
        <f t="shared" si="452"/>
        <v>#VALUE!</v>
      </c>
      <c r="U2042" s="26" t="e">
        <f t="shared" si="453"/>
        <v>#VALUE!</v>
      </c>
      <c r="V2042" s="26" t="e">
        <f t="shared" si="454"/>
        <v>#VALUE!</v>
      </c>
      <c r="W2042" s="1" t="e">
        <f t="shared" si="455"/>
        <v>#VALUE!</v>
      </c>
      <c r="X2042" s="26" t="e">
        <f t="shared" si="456"/>
        <v>#VALUE!</v>
      </c>
      <c r="Y2042" s="26" t="e">
        <f t="shared" si="457"/>
        <v>#VALUE!</v>
      </c>
      <c r="Z2042" s="1" t="e">
        <f t="shared" si="458"/>
        <v>#VALUE!</v>
      </c>
      <c r="AA2042"/>
      <c r="AB2042"/>
    </row>
    <row r="2043" spans="1:28" x14ac:dyDescent="0.55000000000000004">
      <c r="A2043" s="1">
        <f t="shared" si="445"/>
        <v>2043</v>
      </c>
      <c r="B2043" t="s">
        <v>30</v>
      </c>
      <c r="N2043" s="1" t="e">
        <f t="shared" si="446"/>
        <v>#VALUE!</v>
      </c>
      <c r="O2043" s="1" t="e">
        <f t="shared" si="447"/>
        <v>#VALUE!</v>
      </c>
      <c r="P2043" s="1" t="e">
        <f t="shared" si="448"/>
        <v>#VALUE!</v>
      </c>
      <c r="Q2043" s="1" t="e">
        <f t="shared" si="449"/>
        <v>#VALUE!</v>
      </c>
      <c r="R2043" s="1" t="e">
        <f t="shared" si="450"/>
        <v>#VALUE!</v>
      </c>
      <c r="S2043" s="1" t="e">
        <f t="shared" si="451"/>
        <v>#VALUE!</v>
      </c>
      <c r="T2043" s="1" t="e">
        <f t="shared" si="452"/>
        <v>#VALUE!</v>
      </c>
      <c r="U2043" s="26" t="e">
        <f t="shared" si="453"/>
        <v>#VALUE!</v>
      </c>
      <c r="V2043" s="26" t="e">
        <f t="shared" si="454"/>
        <v>#VALUE!</v>
      </c>
      <c r="W2043" s="1" t="e">
        <f t="shared" si="455"/>
        <v>#VALUE!</v>
      </c>
      <c r="X2043" s="26" t="e">
        <f t="shared" si="456"/>
        <v>#VALUE!</v>
      </c>
      <c r="Y2043" s="26" t="e">
        <f t="shared" si="457"/>
        <v>#VALUE!</v>
      </c>
      <c r="Z2043" s="1" t="e">
        <f t="shared" si="458"/>
        <v>#VALUE!</v>
      </c>
      <c r="AA2043"/>
      <c r="AB2043"/>
    </row>
    <row r="2044" spans="1:28" x14ac:dyDescent="0.55000000000000004">
      <c r="A2044" s="1">
        <f t="shared" si="445"/>
        <v>2044</v>
      </c>
      <c r="B2044" t="s">
        <v>30</v>
      </c>
      <c r="N2044" s="1" t="e">
        <f t="shared" si="446"/>
        <v>#VALUE!</v>
      </c>
      <c r="O2044" s="1" t="e">
        <f t="shared" si="447"/>
        <v>#VALUE!</v>
      </c>
      <c r="P2044" s="1" t="e">
        <f t="shared" si="448"/>
        <v>#VALUE!</v>
      </c>
      <c r="Q2044" s="1" t="e">
        <f t="shared" si="449"/>
        <v>#VALUE!</v>
      </c>
      <c r="R2044" s="1" t="e">
        <f t="shared" si="450"/>
        <v>#VALUE!</v>
      </c>
      <c r="S2044" s="1" t="e">
        <f t="shared" si="451"/>
        <v>#VALUE!</v>
      </c>
      <c r="T2044" s="1" t="e">
        <f t="shared" si="452"/>
        <v>#VALUE!</v>
      </c>
      <c r="U2044" s="26" t="e">
        <f t="shared" si="453"/>
        <v>#VALUE!</v>
      </c>
      <c r="V2044" s="26" t="e">
        <f t="shared" si="454"/>
        <v>#VALUE!</v>
      </c>
      <c r="W2044" s="1" t="e">
        <f t="shared" si="455"/>
        <v>#VALUE!</v>
      </c>
      <c r="X2044" s="26" t="e">
        <f t="shared" si="456"/>
        <v>#VALUE!</v>
      </c>
      <c r="Y2044" s="26" t="e">
        <f t="shared" si="457"/>
        <v>#VALUE!</v>
      </c>
      <c r="Z2044" s="1" t="e">
        <f t="shared" si="458"/>
        <v>#VALUE!</v>
      </c>
      <c r="AA2044"/>
      <c r="AB2044"/>
    </row>
    <row r="2045" spans="1:28" x14ac:dyDescent="0.55000000000000004">
      <c r="A2045" s="1">
        <f t="shared" si="445"/>
        <v>2045</v>
      </c>
      <c r="B2045" t="s">
        <v>30</v>
      </c>
      <c r="N2045" s="1" t="e">
        <f t="shared" si="446"/>
        <v>#VALUE!</v>
      </c>
      <c r="O2045" s="1" t="e">
        <f t="shared" si="447"/>
        <v>#VALUE!</v>
      </c>
      <c r="P2045" s="1" t="e">
        <f t="shared" si="448"/>
        <v>#VALUE!</v>
      </c>
      <c r="Q2045" s="1" t="e">
        <f t="shared" si="449"/>
        <v>#VALUE!</v>
      </c>
      <c r="R2045" s="1" t="e">
        <f t="shared" si="450"/>
        <v>#VALUE!</v>
      </c>
      <c r="S2045" s="1" t="e">
        <f t="shared" si="451"/>
        <v>#VALUE!</v>
      </c>
      <c r="T2045" s="1" t="e">
        <f t="shared" si="452"/>
        <v>#VALUE!</v>
      </c>
      <c r="U2045" s="26" t="e">
        <f t="shared" si="453"/>
        <v>#VALUE!</v>
      </c>
      <c r="V2045" s="26" t="e">
        <f t="shared" si="454"/>
        <v>#VALUE!</v>
      </c>
      <c r="W2045" s="1" t="e">
        <f t="shared" si="455"/>
        <v>#VALUE!</v>
      </c>
      <c r="X2045" s="26" t="e">
        <f t="shared" si="456"/>
        <v>#VALUE!</v>
      </c>
      <c r="Y2045" s="26" t="e">
        <f t="shared" si="457"/>
        <v>#VALUE!</v>
      </c>
      <c r="Z2045" s="1" t="e">
        <f t="shared" si="458"/>
        <v>#VALUE!</v>
      </c>
      <c r="AA2045"/>
      <c r="AB2045"/>
    </row>
    <row r="2046" spans="1:28" x14ac:dyDescent="0.55000000000000004">
      <c r="A2046" s="1">
        <f t="shared" si="445"/>
        <v>2046</v>
      </c>
      <c r="B2046" t="s">
        <v>30</v>
      </c>
      <c r="N2046" s="1" t="e">
        <f t="shared" si="446"/>
        <v>#VALUE!</v>
      </c>
      <c r="O2046" s="1" t="e">
        <f t="shared" si="447"/>
        <v>#VALUE!</v>
      </c>
      <c r="P2046" s="1" t="e">
        <f t="shared" si="448"/>
        <v>#VALUE!</v>
      </c>
      <c r="Q2046" s="1" t="e">
        <f t="shared" si="449"/>
        <v>#VALUE!</v>
      </c>
      <c r="R2046" s="1" t="e">
        <f t="shared" si="450"/>
        <v>#VALUE!</v>
      </c>
      <c r="S2046" s="1" t="e">
        <f t="shared" si="451"/>
        <v>#VALUE!</v>
      </c>
      <c r="T2046" s="1" t="e">
        <f t="shared" si="452"/>
        <v>#VALUE!</v>
      </c>
      <c r="U2046" s="26" t="e">
        <f t="shared" si="453"/>
        <v>#VALUE!</v>
      </c>
      <c r="V2046" s="26" t="e">
        <f t="shared" si="454"/>
        <v>#VALUE!</v>
      </c>
      <c r="W2046" s="1" t="e">
        <f t="shared" si="455"/>
        <v>#VALUE!</v>
      </c>
      <c r="X2046" s="26" t="e">
        <f t="shared" si="456"/>
        <v>#VALUE!</v>
      </c>
      <c r="Y2046" s="26" t="e">
        <f t="shared" si="457"/>
        <v>#VALUE!</v>
      </c>
      <c r="Z2046" s="1" t="e">
        <f t="shared" si="458"/>
        <v>#VALUE!</v>
      </c>
      <c r="AA2046"/>
      <c r="AB2046"/>
    </row>
    <row r="2047" spans="1:28" x14ac:dyDescent="0.55000000000000004">
      <c r="A2047" s="1">
        <f t="shared" si="445"/>
        <v>2047</v>
      </c>
      <c r="B2047" t="s">
        <v>30</v>
      </c>
      <c r="N2047" s="1" t="e">
        <f t="shared" si="446"/>
        <v>#VALUE!</v>
      </c>
      <c r="O2047" s="1" t="e">
        <f t="shared" si="447"/>
        <v>#VALUE!</v>
      </c>
      <c r="P2047" s="1" t="e">
        <f t="shared" si="448"/>
        <v>#VALUE!</v>
      </c>
      <c r="Q2047" s="1" t="e">
        <f t="shared" si="449"/>
        <v>#VALUE!</v>
      </c>
      <c r="R2047" s="1" t="e">
        <f t="shared" si="450"/>
        <v>#VALUE!</v>
      </c>
      <c r="S2047" s="1" t="e">
        <f t="shared" si="451"/>
        <v>#VALUE!</v>
      </c>
      <c r="T2047" s="1" t="e">
        <f t="shared" si="452"/>
        <v>#VALUE!</v>
      </c>
      <c r="U2047" s="26" t="e">
        <f t="shared" si="453"/>
        <v>#VALUE!</v>
      </c>
      <c r="V2047" s="26" t="e">
        <f t="shared" si="454"/>
        <v>#VALUE!</v>
      </c>
      <c r="W2047" s="1" t="e">
        <f t="shared" si="455"/>
        <v>#VALUE!</v>
      </c>
      <c r="X2047" s="26" t="e">
        <f t="shared" si="456"/>
        <v>#VALUE!</v>
      </c>
      <c r="Y2047" s="26" t="e">
        <f t="shared" si="457"/>
        <v>#VALUE!</v>
      </c>
      <c r="Z2047" s="1" t="e">
        <f t="shared" si="458"/>
        <v>#VALUE!</v>
      </c>
      <c r="AA2047"/>
      <c r="AB2047"/>
    </row>
    <row r="2048" spans="1:28" x14ac:dyDescent="0.55000000000000004">
      <c r="A2048" s="1">
        <f t="shared" si="445"/>
        <v>2048</v>
      </c>
      <c r="B2048" t="s">
        <v>30</v>
      </c>
      <c r="N2048" s="1" t="e">
        <f t="shared" si="446"/>
        <v>#VALUE!</v>
      </c>
      <c r="O2048" s="1" t="e">
        <f t="shared" si="447"/>
        <v>#VALUE!</v>
      </c>
      <c r="P2048" s="1" t="e">
        <f t="shared" si="448"/>
        <v>#VALUE!</v>
      </c>
      <c r="Q2048" s="1" t="e">
        <f t="shared" si="449"/>
        <v>#VALUE!</v>
      </c>
      <c r="R2048" s="1" t="e">
        <f t="shared" si="450"/>
        <v>#VALUE!</v>
      </c>
      <c r="S2048" s="1" t="e">
        <f t="shared" si="451"/>
        <v>#VALUE!</v>
      </c>
      <c r="T2048" s="1" t="e">
        <f t="shared" si="452"/>
        <v>#VALUE!</v>
      </c>
      <c r="U2048" s="26" t="e">
        <f t="shared" si="453"/>
        <v>#VALUE!</v>
      </c>
      <c r="V2048" s="26" t="e">
        <f t="shared" si="454"/>
        <v>#VALUE!</v>
      </c>
      <c r="W2048" s="1" t="e">
        <f t="shared" si="455"/>
        <v>#VALUE!</v>
      </c>
      <c r="X2048" s="26" t="e">
        <f t="shared" si="456"/>
        <v>#VALUE!</v>
      </c>
      <c r="Y2048" s="26" t="e">
        <f t="shared" si="457"/>
        <v>#VALUE!</v>
      </c>
      <c r="Z2048" s="1" t="e">
        <f t="shared" si="458"/>
        <v>#VALUE!</v>
      </c>
      <c r="AA2048"/>
      <c r="AB2048"/>
    </row>
    <row r="2049" spans="1:28" x14ac:dyDescent="0.55000000000000004">
      <c r="A2049" s="1">
        <f t="shared" si="445"/>
        <v>2049</v>
      </c>
      <c r="B2049" t="s">
        <v>30</v>
      </c>
      <c r="N2049" s="1" t="e">
        <f t="shared" si="446"/>
        <v>#VALUE!</v>
      </c>
      <c r="O2049" s="1" t="e">
        <f t="shared" si="447"/>
        <v>#VALUE!</v>
      </c>
      <c r="P2049" s="1" t="e">
        <f t="shared" si="448"/>
        <v>#VALUE!</v>
      </c>
      <c r="Q2049" s="1" t="e">
        <f t="shared" si="449"/>
        <v>#VALUE!</v>
      </c>
      <c r="R2049" s="1" t="e">
        <f t="shared" si="450"/>
        <v>#VALUE!</v>
      </c>
      <c r="S2049" s="1" t="e">
        <f t="shared" si="451"/>
        <v>#VALUE!</v>
      </c>
      <c r="T2049" s="1" t="e">
        <f t="shared" si="452"/>
        <v>#VALUE!</v>
      </c>
      <c r="U2049" s="26" t="e">
        <f t="shared" si="453"/>
        <v>#VALUE!</v>
      </c>
      <c r="V2049" s="26" t="e">
        <f t="shared" si="454"/>
        <v>#VALUE!</v>
      </c>
      <c r="W2049" s="1" t="e">
        <f t="shared" si="455"/>
        <v>#VALUE!</v>
      </c>
      <c r="X2049" s="26" t="e">
        <f t="shared" si="456"/>
        <v>#VALUE!</v>
      </c>
      <c r="Y2049" s="26" t="e">
        <f t="shared" si="457"/>
        <v>#VALUE!</v>
      </c>
      <c r="Z2049" s="1" t="e">
        <f t="shared" si="458"/>
        <v>#VALUE!</v>
      </c>
      <c r="AA2049"/>
      <c r="AB2049"/>
    </row>
    <row r="2050" spans="1:28" x14ac:dyDescent="0.55000000000000004">
      <c r="A2050" s="1">
        <f t="shared" si="445"/>
        <v>2050</v>
      </c>
      <c r="B2050" t="s">
        <v>30</v>
      </c>
      <c r="N2050" s="1" t="e">
        <f t="shared" si="446"/>
        <v>#VALUE!</v>
      </c>
      <c r="O2050" s="1" t="e">
        <f t="shared" si="447"/>
        <v>#VALUE!</v>
      </c>
      <c r="P2050" s="1" t="e">
        <f t="shared" si="448"/>
        <v>#VALUE!</v>
      </c>
      <c r="Q2050" s="1" t="e">
        <f t="shared" si="449"/>
        <v>#VALUE!</v>
      </c>
      <c r="R2050" s="1" t="e">
        <f t="shared" si="450"/>
        <v>#VALUE!</v>
      </c>
      <c r="S2050" s="1" t="e">
        <f t="shared" si="451"/>
        <v>#VALUE!</v>
      </c>
      <c r="T2050" s="1" t="e">
        <f t="shared" si="452"/>
        <v>#VALUE!</v>
      </c>
      <c r="U2050" s="26" t="e">
        <f t="shared" si="453"/>
        <v>#VALUE!</v>
      </c>
      <c r="V2050" s="26" t="e">
        <f t="shared" si="454"/>
        <v>#VALUE!</v>
      </c>
      <c r="W2050" s="1" t="e">
        <f t="shared" si="455"/>
        <v>#VALUE!</v>
      </c>
      <c r="X2050" s="26" t="e">
        <f t="shared" si="456"/>
        <v>#VALUE!</v>
      </c>
      <c r="Y2050" s="26" t="e">
        <f t="shared" si="457"/>
        <v>#VALUE!</v>
      </c>
      <c r="Z2050" s="1" t="e">
        <f t="shared" si="458"/>
        <v>#VALUE!</v>
      </c>
      <c r="AA2050"/>
      <c r="AB2050"/>
    </row>
    <row r="2051" spans="1:28" x14ac:dyDescent="0.55000000000000004">
      <c r="A2051" s="1">
        <f t="shared" ref="A2051:A2114" si="459">A2050+1</f>
        <v>2051</v>
      </c>
      <c r="B2051" t="s">
        <v>30</v>
      </c>
      <c r="N2051" s="1" t="e">
        <f t="shared" ref="N2051:N2114" si="460">VALUE(LEFT(H2051,1))</f>
        <v>#VALUE!</v>
      </c>
      <c r="O2051" s="1" t="e">
        <f t="shared" ref="O2051:O2114" si="461">VALUE(RIGHT(H2051,1))</f>
        <v>#VALUE!</v>
      </c>
      <c r="P2051" s="1" t="e">
        <f t="shared" ref="P2051:P2114" si="462">SUM(N2051,O2051)</f>
        <v>#VALUE!</v>
      </c>
      <c r="Q2051" s="1" t="e">
        <f t="shared" ref="Q2051:Q2114" si="463">IF(N2051&lt;&gt;O2051, 1, 0)</f>
        <v>#VALUE!</v>
      </c>
      <c r="R2051" s="1" t="e">
        <f t="shared" ref="R2051:R2114" si="464">IF(P2051&lt;=4,1,0)</f>
        <v>#VALUE!</v>
      </c>
      <c r="S2051" s="1" t="e">
        <f t="shared" ref="S2051:S2114" si="465">IF(AND(Q2051=1,R2051=1),1,0)</f>
        <v>#VALUE!</v>
      </c>
      <c r="T2051" s="1" t="e">
        <f t="shared" ref="T2051:T2114" si="466">IF(N2051&lt;=2,1,0)</f>
        <v>#VALUE!</v>
      </c>
      <c r="U2051" s="26" t="e">
        <f t="shared" ref="U2051:U2114" si="467">IF(AND(N2051&gt;=1,N2051&lt;=3),1,0)</f>
        <v>#VALUE!</v>
      </c>
      <c r="V2051" s="26" t="e">
        <f t="shared" ref="V2051:V2114" si="468">IF(AND(N2051&gt;=2,N2051&lt;=5),1,0)</f>
        <v>#VALUE!</v>
      </c>
      <c r="W2051" s="1" t="e">
        <f t="shared" ref="W2051:W2114" si="469">IF(O2051&lt;=2,1,0)</f>
        <v>#VALUE!</v>
      </c>
      <c r="X2051" s="26" t="e">
        <f t="shared" ref="X2051:X2114" si="470">IF(AND(O2051&gt;=1,O2051&lt;=3),1,0)</f>
        <v>#VALUE!</v>
      </c>
      <c r="Y2051" s="26" t="e">
        <f t="shared" ref="Y2051:Y2114" si="471">IF(AND(O2051&gt;=2,O2051&lt;=5),1,0)</f>
        <v>#VALUE!</v>
      </c>
      <c r="Z2051" s="1" t="e">
        <f t="shared" ref="Z2051:Z2114" si="472">IF(P2051&gt;=2,1,0)</f>
        <v>#VALUE!</v>
      </c>
      <c r="AA2051"/>
      <c r="AB2051"/>
    </row>
    <row r="2052" spans="1:28" x14ac:dyDescent="0.55000000000000004">
      <c r="A2052" s="1">
        <f t="shared" si="459"/>
        <v>2052</v>
      </c>
      <c r="B2052" t="s">
        <v>30</v>
      </c>
      <c r="N2052" s="1" t="e">
        <f t="shared" si="460"/>
        <v>#VALUE!</v>
      </c>
      <c r="O2052" s="1" t="e">
        <f t="shared" si="461"/>
        <v>#VALUE!</v>
      </c>
      <c r="P2052" s="1" t="e">
        <f t="shared" si="462"/>
        <v>#VALUE!</v>
      </c>
      <c r="Q2052" s="1" t="e">
        <f t="shared" si="463"/>
        <v>#VALUE!</v>
      </c>
      <c r="R2052" s="1" t="e">
        <f t="shared" si="464"/>
        <v>#VALUE!</v>
      </c>
      <c r="S2052" s="1" t="e">
        <f t="shared" si="465"/>
        <v>#VALUE!</v>
      </c>
      <c r="T2052" s="1" t="e">
        <f t="shared" si="466"/>
        <v>#VALUE!</v>
      </c>
      <c r="U2052" s="26" t="e">
        <f t="shared" si="467"/>
        <v>#VALUE!</v>
      </c>
      <c r="V2052" s="26" t="e">
        <f t="shared" si="468"/>
        <v>#VALUE!</v>
      </c>
      <c r="W2052" s="1" t="e">
        <f t="shared" si="469"/>
        <v>#VALUE!</v>
      </c>
      <c r="X2052" s="26" t="e">
        <f t="shared" si="470"/>
        <v>#VALUE!</v>
      </c>
      <c r="Y2052" s="26" t="e">
        <f t="shared" si="471"/>
        <v>#VALUE!</v>
      </c>
      <c r="Z2052" s="1" t="e">
        <f t="shared" si="472"/>
        <v>#VALUE!</v>
      </c>
      <c r="AA2052"/>
      <c r="AB2052"/>
    </row>
    <row r="2053" spans="1:28" x14ac:dyDescent="0.55000000000000004">
      <c r="A2053" s="1">
        <f t="shared" si="459"/>
        <v>2053</v>
      </c>
      <c r="B2053" t="s">
        <v>30</v>
      </c>
      <c r="N2053" s="1" t="e">
        <f t="shared" si="460"/>
        <v>#VALUE!</v>
      </c>
      <c r="O2053" s="1" t="e">
        <f t="shared" si="461"/>
        <v>#VALUE!</v>
      </c>
      <c r="P2053" s="1" t="e">
        <f t="shared" si="462"/>
        <v>#VALUE!</v>
      </c>
      <c r="Q2053" s="1" t="e">
        <f t="shared" si="463"/>
        <v>#VALUE!</v>
      </c>
      <c r="R2053" s="1" t="e">
        <f t="shared" si="464"/>
        <v>#VALUE!</v>
      </c>
      <c r="S2053" s="1" t="e">
        <f t="shared" si="465"/>
        <v>#VALUE!</v>
      </c>
      <c r="T2053" s="1" t="e">
        <f t="shared" si="466"/>
        <v>#VALUE!</v>
      </c>
      <c r="U2053" s="26" t="e">
        <f t="shared" si="467"/>
        <v>#VALUE!</v>
      </c>
      <c r="V2053" s="26" t="e">
        <f t="shared" si="468"/>
        <v>#VALUE!</v>
      </c>
      <c r="W2053" s="1" t="e">
        <f t="shared" si="469"/>
        <v>#VALUE!</v>
      </c>
      <c r="X2053" s="26" t="e">
        <f t="shared" si="470"/>
        <v>#VALUE!</v>
      </c>
      <c r="Y2053" s="26" t="e">
        <f t="shared" si="471"/>
        <v>#VALUE!</v>
      </c>
      <c r="Z2053" s="1" t="e">
        <f t="shared" si="472"/>
        <v>#VALUE!</v>
      </c>
      <c r="AA2053"/>
      <c r="AB2053"/>
    </row>
    <row r="2054" spans="1:28" x14ac:dyDescent="0.55000000000000004">
      <c r="A2054" s="1">
        <f t="shared" si="459"/>
        <v>2054</v>
      </c>
      <c r="B2054" t="s">
        <v>30</v>
      </c>
      <c r="N2054" s="1" t="e">
        <f t="shared" si="460"/>
        <v>#VALUE!</v>
      </c>
      <c r="O2054" s="1" t="e">
        <f t="shared" si="461"/>
        <v>#VALUE!</v>
      </c>
      <c r="P2054" s="1" t="e">
        <f t="shared" si="462"/>
        <v>#VALUE!</v>
      </c>
      <c r="Q2054" s="1" t="e">
        <f t="shared" si="463"/>
        <v>#VALUE!</v>
      </c>
      <c r="R2054" s="1" t="e">
        <f t="shared" si="464"/>
        <v>#VALUE!</v>
      </c>
      <c r="S2054" s="1" t="e">
        <f t="shared" si="465"/>
        <v>#VALUE!</v>
      </c>
      <c r="T2054" s="1" t="e">
        <f t="shared" si="466"/>
        <v>#VALUE!</v>
      </c>
      <c r="U2054" s="26" t="e">
        <f t="shared" si="467"/>
        <v>#VALUE!</v>
      </c>
      <c r="V2054" s="26" t="e">
        <f t="shared" si="468"/>
        <v>#VALUE!</v>
      </c>
      <c r="W2054" s="1" t="e">
        <f t="shared" si="469"/>
        <v>#VALUE!</v>
      </c>
      <c r="X2054" s="26" t="e">
        <f t="shared" si="470"/>
        <v>#VALUE!</v>
      </c>
      <c r="Y2054" s="26" t="e">
        <f t="shared" si="471"/>
        <v>#VALUE!</v>
      </c>
      <c r="Z2054" s="1" t="e">
        <f t="shared" si="472"/>
        <v>#VALUE!</v>
      </c>
      <c r="AA2054"/>
      <c r="AB2054"/>
    </row>
    <row r="2055" spans="1:28" x14ac:dyDescent="0.55000000000000004">
      <c r="A2055" s="1">
        <f t="shared" si="459"/>
        <v>2055</v>
      </c>
      <c r="B2055" t="s">
        <v>30</v>
      </c>
      <c r="N2055" s="1" t="e">
        <f t="shared" si="460"/>
        <v>#VALUE!</v>
      </c>
      <c r="O2055" s="1" t="e">
        <f t="shared" si="461"/>
        <v>#VALUE!</v>
      </c>
      <c r="P2055" s="1" t="e">
        <f t="shared" si="462"/>
        <v>#VALUE!</v>
      </c>
      <c r="Q2055" s="1" t="e">
        <f t="shared" si="463"/>
        <v>#VALUE!</v>
      </c>
      <c r="R2055" s="1" t="e">
        <f t="shared" si="464"/>
        <v>#VALUE!</v>
      </c>
      <c r="S2055" s="1" t="e">
        <f t="shared" si="465"/>
        <v>#VALUE!</v>
      </c>
      <c r="T2055" s="1" t="e">
        <f t="shared" si="466"/>
        <v>#VALUE!</v>
      </c>
      <c r="U2055" s="26" t="e">
        <f t="shared" si="467"/>
        <v>#VALUE!</v>
      </c>
      <c r="V2055" s="26" t="e">
        <f t="shared" si="468"/>
        <v>#VALUE!</v>
      </c>
      <c r="W2055" s="1" t="e">
        <f t="shared" si="469"/>
        <v>#VALUE!</v>
      </c>
      <c r="X2055" s="26" t="e">
        <f t="shared" si="470"/>
        <v>#VALUE!</v>
      </c>
      <c r="Y2055" s="26" t="e">
        <f t="shared" si="471"/>
        <v>#VALUE!</v>
      </c>
      <c r="Z2055" s="1" t="e">
        <f t="shared" si="472"/>
        <v>#VALUE!</v>
      </c>
      <c r="AA2055"/>
      <c r="AB2055"/>
    </row>
    <row r="2056" spans="1:28" x14ac:dyDescent="0.55000000000000004">
      <c r="A2056" s="1">
        <f t="shared" si="459"/>
        <v>2056</v>
      </c>
      <c r="B2056" t="s">
        <v>30</v>
      </c>
      <c r="N2056" s="1" t="e">
        <f t="shared" si="460"/>
        <v>#VALUE!</v>
      </c>
      <c r="O2056" s="1" t="e">
        <f t="shared" si="461"/>
        <v>#VALUE!</v>
      </c>
      <c r="P2056" s="1" t="e">
        <f t="shared" si="462"/>
        <v>#VALUE!</v>
      </c>
      <c r="Q2056" s="1" t="e">
        <f t="shared" si="463"/>
        <v>#VALUE!</v>
      </c>
      <c r="R2056" s="1" t="e">
        <f t="shared" si="464"/>
        <v>#VALUE!</v>
      </c>
      <c r="S2056" s="1" t="e">
        <f t="shared" si="465"/>
        <v>#VALUE!</v>
      </c>
      <c r="T2056" s="1" t="e">
        <f t="shared" si="466"/>
        <v>#VALUE!</v>
      </c>
      <c r="U2056" s="26" t="e">
        <f t="shared" si="467"/>
        <v>#VALUE!</v>
      </c>
      <c r="V2056" s="26" t="e">
        <f t="shared" si="468"/>
        <v>#VALUE!</v>
      </c>
      <c r="W2056" s="1" t="e">
        <f t="shared" si="469"/>
        <v>#VALUE!</v>
      </c>
      <c r="X2056" s="26" t="e">
        <f t="shared" si="470"/>
        <v>#VALUE!</v>
      </c>
      <c r="Y2056" s="26" t="e">
        <f t="shared" si="471"/>
        <v>#VALUE!</v>
      </c>
      <c r="Z2056" s="1" t="e">
        <f t="shared" si="472"/>
        <v>#VALUE!</v>
      </c>
      <c r="AA2056"/>
      <c r="AB2056"/>
    </row>
    <row r="2057" spans="1:28" x14ac:dyDescent="0.55000000000000004">
      <c r="A2057" s="1">
        <f t="shared" si="459"/>
        <v>2057</v>
      </c>
      <c r="B2057" t="s">
        <v>30</v>
      </c>
      <c r="N2057" s="1" t="e">
        <f t="shared" si="460"/>
        <v>#VALUE!</v>
      </c>
      <c r="O2057" s="1" t="e">
        <f t="shared" si="461"/>
        <v>#VALUE!</v>
      </c>
      <c r="P2057" s="1" t="e">
        <f t="shared" si="462"/>
        <v>#VALUE!</v>
      </c>
      <c r="Q2057" s="1" t="e">
        <f t="shared" si="463"/>
        <v>#VALUE!</v>
      </c>
      <c r="R2057" s="1" t="e">
        <f t="shared" si="464"/>
        <v>#VALUE!</v>
      </c>
      <c r="S2057" s="1" t="e">
        <f t="shared" si="465"/>
        <v>#VALUE!</v>
      </c>
      <c r="T2057" s="1" t="e">
        <f t="shared" si="466"/>
        <v>#VALUE!</v>
      </c>
      <c r="U2057" s="26" t="e">
        <f t="shared" si="467"/>
        <v>#VALUE!</v>
      </c>
      <c r="V2057" s="26" t="e">
        <f t="shared" si="468"/>
        <v>#VALUE!</v>
      </c>
      <c r="W2057" s="1" t="e">
        <f t="shared" si="469"/>
        <v>#VALUE!</v>
      </c>
      <c r="X2057" s="26" t="e">
        <f t="shared" si="470"/>
        <v>#VALUE!</v>
      </c>
      <c r="Y2057" s="26" t="e">
        <f t="shared" si="471"/>
        <v>#VALUE!</v>
      </c>
      <c r="Z2057" s="1" t="e">
        <f t="shared" si="472"/>
        <v>#VALUE!</v>
      </c>
      <c r="AA2057"/>
      <c r="AB2057"/>
    </row>
    <row r="2058" spans="1:28" x14ac:dyDescent="0.55000000000000004">
      <c r="A2058" s="1">
        <f t="shared" si="459"/>
        <v>2058</v>
      </c>
      <c r="B2058" t="s">
        <v>30</v>
      </c>
      <c r="N2058" s="1" t="e">
        <f t="shared" si="460"/>
        <v>#VALUE!</v>
      </c>
      <c r="O2058" s="1" t="e">
        <f t="shared" si="461"/>
        <v>#VALUE!</v>
      </c>
      <c r="P2058" s="1" t="e">
        <f t="shared" si="462"/>
        <v>#VALUE!</v>
      </c>
      <c r="Q2058" s="1" t="e">
        <f t="shared" si="463"/>
        <v>#VALUE!</v>
      </c>
      <c r="R2058" s="1" t="e">
        <f t="shared" si="464"/>
        <v>#VALUE!</v>
      </c>
      <c r="S2058" s="1" t="e">
        <f t="shared" si="465"/>
        <v>#VALUE!</v>
      </c>
      <c r="T2058" s="1" t="e">
        <f t="shared" si="466"/>
        <v>#VALUE!</v>
      </c>
      <c r="U2058" s="26" t="e">
        <f t="shared" si="467"/>
        <v>#VALUE!</v>
      </c>
      <c r="V2058" s="26" t="e">
        <f t="shared" si="468"/>
        <v>#VALUE!</v>
      </c>
      <c r="W2058" s="1" t="e">
        <f t="shared" si="469"/>
        <v>#VALUE!</v>
      </c>
      <c r="X2058" s="26" t="e">
        <f t="shared" si="470"/>
        <v>#VALUE!</v>
      </c>
      <c r="Y2058" s="26" t="e">
        <f t="shared" si="471"/>
        <v>#VALUE!</v>
      </c>
      <c r="Z2058" s="1" t="e">
        <f t="shared" si="472"/>
        <v>#VALUE!</v>
      </c>
      <c r="AA2058"/>
      <c r="AB2058"/>
    </row>
    <row r="2059" spans="1:28" x14ac:dyDescent="0.55000000000000004">
      <c r="A2059" s="1">
        <f t="shared" si="459"/>
        <v>2059</v>
      </c>
      <c r="B2059" t="s">
        <v>30</v>
      </c>
      <c r="N2059" s="1" t="e">
        <f t="shared" si="460"/>
        <v>#VALUE!</v>
      </c>
      <c r="O2059" s="1" t="e">
        <f t="shared" si="461"/>
        <v>#VALUE!</v>
      </c>
      <c r="P2059" s="1" t="e">
        <f t="shared" si="462"/>
        <v>#VALUE!</v>
      </c>
      <c r="Q2059" s="1" t="e">
        <f t="shared" si="463"/>
        <v>#VALUE!</v>
      </c>
      <c r="R2059" s="1" t="e">
        <f t="shared" si="464"/>
        <v>#VALUE!</v>
      </c>
      <c r="S2059" s="1" t="e">
        <f t="shared" si="465"/>
        <v>#VALUE!</v>
      </c>
      <c r="T2059" s="1" t="e">
        <f t="shared" si="466"/>
        <v>#VALUE!</v>
      </c>
      <c r="U2059" s="26" t="e">
        <f t="shared" si="467"/>
        <v>#VALUE!</v>
      </c>
      <c r="V2059" s="26" t="e">
        <f t="shared" si="468"/>
        <v>#VALUE!</v>
      </c>
      <c r="W2059" s="1" t="e">
        <f t="shared" si="469"/>
        <v>#VALUE!</v>
      </c>
      <c r="X2059" s="26" t="e">
        <f t="shared" si="470"/>
        <v>#VALUE!</v>
      </c>
      <c r="Y2059" s="26" t="e">
        <f t="shared" si="471"/>
        <v>#VALUE!</v>
      </c>
      <c r="Z2059" s="1" t="e">
        <f t="shared" si="472"/>
        <v>#VALUE!</v>
      </c>
      <c r="AA2059"/>
      <c r="AB2059"/>
    </row>
    <row r="2060" spans="1:28" x14ac:dyDescent="0.55000000000000004">
      <c r="A2060" s="1">
        <f t="shared" si="459"/>
        <v>2060</v>
      </c>
      <c r="B2060" t="s">
        <v>30</v>
      </c>
      <c r="N2060" s="1" t="e">
        <f t="shared" si="460"/>
        <v>#VALUE!</v>
      </c>
      <c r="O2060" s="1" t="e">
        <f t="shared" si="461"/>
        <v>#VALUE!</v>
      </c>
      <c r="P2060" s="1" t="e">
        <f t="shared" si="462"/>
        <v>#VALUE!</v>
      </c>
      <c r="Q2060" s="1" t="e">
        <f t="shared" si="463"/>
        <v>#VALUE!</v>
      </c>
      <c r="R2060" s="1" t="e">
        <f t="shared" si="464"/>
        <v>#VALUE!</v>
      </c>
      <c r="S2060" s="1" t="e">
        <f t="shared" si="465"/>
        <v>#VALUE!</v>
      </c>
      <c r="T2060" s="1" t="e">
        <f t="shared" si="466"/>
        <v>#VALUE!</v>
      </c>
      <c r="U2060" s="26" t="e">
        <f t="shared" si="467"/>
        <v>#VALUE!</v>
      </c>
      <c r="V2060" s="26" t="e">
        <f t="shared" si="468"/>
        <v>#VALUE!</v>
      </c>
      <c r="W2060" s="1" t="e">
        <f t="shared" si="469"/>
        <v>#VALUE!</v>
      </c>
      <c r="X2060" s="26" t="e">
        <f t="shared" si="470"/>
        <v>#VALUE!</v>
      </c>
      <c r="Y2060" s="26" t="e">
        <f t="shared" si="471"/>
        <v>#VALUE!</v>
      </c>
      <c r="Z2060" s="1" t="e">
        <f t="shared" si="472"/>
        <v>#VALUE!</v>
      </c>
      <c r="AA2060"/>
      <c r="AB2060"/>
    </row>
    <row r="2061" spans="1:28" x14ac:dyDescent="0.55000000000000004">
      <c r="A2061" s="1">
        <f t="shared" si="459"/>
        <v>2061</v>
      </c>
      <c r="B2061" t="s">
        <v>31</v>
      </c>
      <c r="N2061" s="1" t="e">
        <f t="shared" si="460"/>
        <v>#VALUE!</v>
      </c>
      <c r="O2061" s="1" t="e">
        <f t="shared" si="461"/>
        <v>#VALUE!</v>
      </c>
      <c r="P2061" s="1" t="e">
        <f t="shared" si="462"/>
        <v>#VALUE!</v>
      </c>
      <c r="Q2061" s="1" t="e">
        <f t="shared" si="463"/>
        <v>#VALUE!</v>
      </c>
      <c r="R2061" s="1" t="e">
        <f t="shared" si="464"/>
        <v>#VALUE!</v>
      </c>
      <c r="S2061" s="1" t="e">
        <f t="shared" si="465"/>
        <v>#VALUE!</v>
      </c>
      <c r="T2061" s="1" t="e">
        <f t="shared" si="466"/>
        <v>#VALUE!</v>
      </c>
      <c r="U2061" s="26" t="e">
        <f t="shared" si="467"/>
        <v>#VALUE!</v>
      </c>
      <c r="V2061" s="26" t="e">
        <f t="shared" si="468"/>
        <v>#VALUE!</v>
      </c>
      <c r="W2061" s="1" t="e">
        <f t="shared" si="469"/>
        <v>#VALUE!</v>
      </c>
      <c r="X2061" s="26" t="e">
        <f t="shared" si="470"/>
        <v>#VALUE!</v>
      </c>
      <c r="Y2061" s="26" t="e">
        <f t="shared" si="471"/>
        <v>#VALUE!</v>
      </c>
      <c r="Z2061" s="1" t="e">
        <f t="shared" si="472"/>
        <v>#VALUE!</v>
      </c>
      <c r="AA2061"/>
      <c r="AB2061"/>
    </row>
    <row r="2062" spans="1:28" x14ac:dyDescent="0.55000000000000004">
      <c r="A2062" s="1">
        <f t="shared" si="459"/>
        <v>2062</v>
      </c>
      <c r="B2062" t="s">
        <v>31</v>
      </c>
      <c r="N2062" s="1" t="e">
        <f t="shared" si="460"/>
        <v>#VALUE!</v>
      </c>
      <c r="O2062" s="1" t="e">
        <f t="shared" si="461"/>
        <v>#VALUE!</v>
      </c>
      <c r="P2062" s="1" t="e">
        <f t="shared" si="462"/>
        <v>#VALUE!</v>
      </c>
      <c r="Q2062" s="1" t="e">
        <f t="shared" si="463"/>
        <v>#VALUE!</v>
      </c>
      <c r="R2062" s="1" t="e">
        <f t="shared" si="464"/>
        <v>#VALUE!</v>
      </c>
      <c r="S2062" s="1" t="e">
        <f t="shared" si="465"/>
        <v>#VALUE!</v>
      </c>
      <c r="T2062" s="1" t="e">
        <f t="shared" si="466"/>
        <v>#VALUE!</v>
      </c>
      <c r="U2062" s="26" t="e">
        <f t="shared" si="467"/>
        <v>#VALUE!</v>
      </c>
      <c r="V2062" s="26" t="e">
        <f t="shared" si="468"/>
        <v>#VALUE!</v>
      </c>
      <c r="W2062" s="1" t="e">
        <f t="shared" si="469"/>
        <v>#VALUE!</v>
      </c>
      <c r="X2062" s="26" t="e">
        <f t="shared" si="470"/>
        <v>#VALUE!</v>
      </c>
      <c r="Y2062" s="26" t="e">
        <f t="shared" si="471"/>
        <v>#VALUE!</v>
      </c>
      <c r="Z2062" s="1" t="e">
        <f t="shared" si="472"/>
        <v>#VALUE!</v>
      </c>
      <c r="AA2062"/>
      <c r="AB2062"/>
    </row>
    <row r="2063" spans="1:28" x14ac:dyDescent="0.55000000000000004">
      <c r="A2063" s="1">
        <f t="shared" si="459"/>
        <v>2063</v>
      </c>
      <c r="B2063" t="s">
        <v>31</v>
      </c>
      <c r="N2063" s="1" t="e">
        <f t="shared" si="460"/>
        <v>#VALUE!</v>
      </c>
      <c r="O2063" s="1" t="e">
        <f t="shared" si="461"/>
        <v>#VALUE!</v>
      </c>
      <c r="P2063" s="1" t="e">
        <f t="shared" si="462"/>
        <v>#VALUE!</v>
      </c>
      <c r="Q2063" s="1" t="e">
        <f t="shared" si="463"/>
        <v>#VALUE!</v>
      </c>
      <c r="R2063" s="1" t="e">
        <f t="shared" si="464"/>
        <v>#VALUE!</v>
      </c>
      <c r="S2063" s="1" t="e">
        <f t="shared" si="465"/>
        <v>#VALUE!</v>
      </c>
      <c r="T2063" s="1" t="e">
        <f t="shared" si="466"/>
        <v>#VALUE!</v>
      </c>
      <c r="U2063" s="26" t="e">
        <f t="shared" si="467"/>
        <v>#VALUE!</v>
      </c>
      <c r="V2063" s="26" t="e">
        <f t="shared" si="468"/>
        <v>#VALUE!</v>
      </c>
      <c r="W2063" s="1" t="e">
        <f t="shared" si="469"/>
        <v>#VALUE!</v>
      </c>
      <c r="X2063" s="26" t="e">
        <f t="shared" si="470"/>
        <v>#VALUE!</v>
      </c>
      <c r="Y2063" s="26" t="e">
        <f t="shared" si="471"/>
        <v>#VALUE!</v>
      </c>
      <c r="Z2063" s="1" t="e">
        <f t="shared" si="472"/>
        <v>#VALUE!</v>
      </c>
      <c r="AA2063"/>
      <c r="AB2063"/>
    </row>
    <row r="2064" spans="1:28" x14ac:dyDescent="0.55000000000000004">
      <c r="A2064" s="1">
        <f t="shared" si="459"/>
        <v>2064</v>
      </c>
      <c r="B2064" t="s">
        <v>31</v>
      </c>
      <c r="N2064" s="1" t="e">
        <f t="shared" si="460"/>
        <v>#VALUE!</v>
      </c>
      <c r="O2064" s="1" t="e">
        <f t="shared" si="461"/>
        <v>#VALUE!</v>
      </c>
      <c r="P2064" s="1" t="e">
        <f t="shared" si="462"/>
        <v>#VALUE!</v>
      </c>
      <c r="Q2064" s="1" t="e">
        <f t="shared" si="463"/>
        <v>#VALUE!</v>
      </c>
      <c r="R2064" s="1" t="e">
        <f t="shared" si="464"/>
        <v>#VALUE!</v>
      </c>
      <c r="S2064" s="1" t="e">
        <f t="shared" si="465"/>
        <v>#VALUE!</v>
      </c>
      <c r="T2064" s="1" t="e">
        <f t="shared" si="466"/>
        <v>#VALUE!</v>
      </c>
      <c r="U2064" s="26" t="e">
        <f t="shared" si="467"/>
        <v>#VALUE!</v>
      </c>
      <c r="V2064" s="26" t="e">
        <f t="shared" si="468"/>
        <v>#VALUE!</v>
      </c>
      <c r="W2064" s="1" t="e">
        <f t="shared" si="469"/>
        <v>#VALUE!</v>
      </c>
      <c r="X2064" s="26" t="e">
        <f t="shared" si="470"/>
        <v>#VALUE!</v>
      </c>
      <c r="Y2064" s="26" t="e">
        <f t="shared" si="471"/>
        <v>#VALUE!</v>
      </c>
      <c r="Z2064" s="1" t="e">
        <f t="shared" si="472"/>
        <v>#VALUE!</v>
      </c>
      <c r="AA2064"/>
      <c r="AB2064"/>
    </row>
    <row r="2065" spans="1:28" x14ac:dyDescent="0.55000000000000004">
      <c r="A2065" s="1">
        <f t="shared" si="459"/>
        <v>2065</v>
      </c>
      <c r="B2065" t="s">
        <v>31</v>
      </c>
      <c r="N2065" s="1" t="e">
        <f t="shared" si="460"/>
        <v>#VALUE!</v>
      </c>
      <c r="O2065" s="1" t="e">
        <f t="shared" si="461"/>
        <v>#VALUE!</v>
      </c>
      <c r="P2065" s="1" t="e">
        <f t="shared" si="462"/>
        <v>#VALUE!</v>
      </c>
      <c r="Q2065" s="1" t="e">
        <f t="shared" si="463"/>
        <v>#VALUE!</v>
      </c>
      <c r="R2065" s="1" t="e">
        <f t="shared" si="464"/>
        <v>#VALUE!</v>
      </c>
      <c r="S2065" s="1" t="e">
        <f t="shared" si="465"/>
        <v>#VALUE!</v>
      </c>
      <c r="T2065" s="1" t="e">
        <f t="shared" si="466"/>
        <v>#VALUE!</v>
      </c>
      <c r="U2065" s="26" t="e">
        <f t="shared" si="467"/>
        <v>#VALUE!</v>
      </c>
      <c r="V2065" s="26" t="e">
        <f t="shared" si="468"/>
        <v>#VALUE!</v>
      </c>
      <c r="W2065" s="1" t="e">
        <f t="shared" si="469"/>
        <v>#VALUE!</v>
      </c>
      <c r="X2065" s="26" t="e">
        <f t="shared" si="470"/>
        <v>#VALUE!</v>
      </c>
      <c r="Y2065" s="26" t="e">
        <f t="shared" si="471"/>
        <v>#VALUE!</v>
      </c>
      <c r="Z2065" s="1" t="e">
        <f t="shared" si="472"/>
        <v>#VALUE!</v>
      </c>
      <c r="AA2065"/>
      <c r="AB2065"/>
    </row>
    <row r="2066" spans="1:28" x14ac:dyDescent="0.55000000000000004">
      <c r="A2066" s="1">
        <f t="shared" si="459"/>
        <v>2066</v>
      </c>
      <c r="B2066" t="s">
        <v>31</v>
      </c>
      <c r="N2066" s="1" t="e">
        <f t="shared" si="460"/>
        <v>#VALUE!</v>
      </c>
      <c r="O2066" s="1" t="e">
        <f t="shared" si="461"/>
        <v>#VALUE!</v>
      </c>
      <c r="P2066" s="1" t="e">
        <f t="shared" si="462"/>
        <v>#VALUE!</v>
      </c>
      <c r="Q2066" s="1" t="e">
        <f t="shared" si="463"/>
        <v>#VALUE!</v>
      </c>
      <c r="R2066" s="1" t="e">
        <f t="shared" si="464"/>
        <v>#VALUE!</v>
      </c>
      <c r="S2066" s="1" t="e">
        <f t="shared" si="465"/>
        <v>#VALUE!</v>
      </c>
      <c r="T2066" s="1" t="e">
        <f t="shared" si="466"/>
        <v>#VALUE!</v>
      </c>
      <c r="U2066" s="26" t="e">
        <f t="shared" si="467"/>
        <v>#VALUE!</v>
      </c>
      <c r="V2066" s="26" t="e">
        <f t="shared" si="468"/>
        <v>#VALUE!</v>
      </c>
      <c r="W2066" s="1" t="e">
        <f t="shared" si="469"/>
        <v>#VALUE!</v>
      </c>
      <c r="X2066" s="26" t="e">
        <f t="shared" si="470"/>
        <v>#VALUE!</v>
      </c>
      <c r="Y2066" s="26" t="e">
        <f t="shared" si="471"/>
        <v>#VALUE!</v>
      </c>
      <c r="Z2066" s="1" t="e">
        <f t="shared" si="472"/>
        <v>#VALUE!</v>
      </c>
      <c r="AA2066"/>
      <c r="AB2066"/>
    </row>
    <row r="2067" spans="1:28" x14ac:dyDescent="0.55000000000000004">
      <c r="A2067" s="1">
        <f t="shared" si="459"/>
        <v>2067</v>
      </c>
      <c r="B2067" t="s">
        <v>31</v>
      </c>
      <c r="N2067" s="1" t="e">
        <f t="shared" si="460"/>
        <v>#VALUE!</v>
      </c>
      <c r="O2067" s="1" t="e">
        <f t="shared" si="461"/>
        <v>#VALUE!</v>
      </c>
      <c r="P2067" s="1" t="e">
        <f t="shared" si="462"/>
        <v>#VALUE!</v>
      </c>
      <c r="Q2067" s="1" t="e">
        <f t="shared" si="463"/>
        <v>#VALUE!</v>
      </c>
      <c r="R2067" s="1" t="e">
        <f t="shared" si="464"/>
        <v>#VALUE!</v>
      </c>
      <c r="S2067" s="1" t="e">
        <f t="shared" si="465"/>
        <v>#VALUE!</v>
      </c>
      <c r="T2067" s="1" t="e">
        <f t="shared" si="466"/>
        <v>#VALUE!</v>
      </c>
      <c r="U2067" s="26" t="e">
        <f t="shared" si="467"/>
        <v>#VALUE!</v>
      </c>
      <c r="V2067" s="26" t="e">
        <f t="shared" si="468"/>
        <v>#VALUE!</v>
      </c>
      <c r="W2067" s="1" t="e">
        <f t="shared" si="469"/>
        <v>#VALUE!</v>
      </c>
      <c r="X2067" s="26" t="e">
        <f t="shared" si="470"/>
        <v>#VALUE!</v>
      </c>
      <c r="Y2067" s="26" t="e">
        <f t="shared" si="471"/>
        <v>#VALUE!</v>
      </c>
      <c r="Z2067" s="1" t="e">
        <f t="shared" si="472"/>
        <v>#VALUE!</v>
      </c>
      <c r="AA2067"/>
      <c r="AB2067"/>
    </row>
    <row r="2068" spans="1:28" x14ac:dyDescent="0.55000000000000004">
      <c r="A2068" s="1">
        <f t="shared" si="459"/>
        <v>2068</v>
      </c>
      <c r="B2068" t="s">
        <v>31</v>
      </c>
      <c r="N2068" s="1" t="e">
        <f t="shared" si="460"/>
        <v>#VALUE!</v>
      </c>
      <c r="O2068" s="1" t="e">
        <f t="shared" si="461"/>
        <v>#VALUE!</v>
      </c>
      <c r="P2068" s="1" t="e">
        <f t="shared" si="462"/>
        <v>#VALUE!</v>
      </c>
      <c r="Q2068" s="1" t="e">
        <f t="shared" si="463"/>
        <v>#VALUE!</v>
      </c>
      <c r="R2068" s="1" t="e">
        <f t="shared" si="464"/>
        <v>#VALUE!</v>
      </c>
      <c r="S2068" s="1" t="e">
        <f t="shared" si="465"/>
        <v>#VALUE!</v>
      </c>
      <c r="T2068" s="1" t="e">
        <f t="shared" si="466"/>
        <v>#VALUE!</v>
      </c>
      <c r="U2068" s="26" t="e">
        <f t="shared" si="467"/>
        <v>#VALUE!</v>
      </c>
      <c r="V2068" s="26" t="e">
        <f t="shared" si="468"/>
        <v>#VALUE!</v>
      </c>
      <c r="W2068" s="1" t="e">
        <f t="shared" si="469"/>
        <v>#VALUE!</v>
      </c>
      <c r="X2068" s="26" t="e">
        <f t="shared" si="470"/>
        <v>#VALUE!</v>
      </c>
      <c r="Y2068" s="26" t="e">
        <f t="shared" si="471"/>
        <v>#VALUE!</v>
      </c>
      <c r="Z2068" s="1" t="e">
        <f t="shared" si="472"/>
        <v>#VALUE!</v>
      </c>
      <c r="AA2068"/>
      <c r="AB2068"/>
    </row>
    <row r="2069" spans="1:28" x14ac:dyDescent="0.55000000000000004">
      <c r="A2069" s="1">
        <f t="shared" si="459"/>
        <v>2069</v>
      </c>
      <c r="B2069" t="s">
        <v>31</v>
      </c>
      <c r="N2069" s="1" t="e">
        <f t="shared" si="460"/>
        <v>#VALUE!</v>
      </c>
      <c r="O2069" s="1" t="e">
        <f t="shared" si="461"/>
        <v>#VALUE!</v>
      </c>
      <c r="P2069" s="1" t="e">
        <f t="shared" si="462"/>
        <v>#VALUE!</v>
      </c>
      <c r="Q2069" s="1" t="e">
        <f t="shared" si="463"/>
        <v>#VALUE!</v>
      </c>
      <c r="R2069" s="1" t="e">
        <f t="shared" si="464"/>
        <v>#VALUE!</v>
      </c>
      <c r="S2069" s="1" t="e">
        <f t="shared" si="465"/>
        <v>#VALUE!</v>
      </c>
      <c r="T2069" s="1" t="e">
        <f t="shared" si="466"/>
        <v>#VALUE!</v>
      </c>
      <c r="U2069" s="26" t="e">
        <f t="shared" si="467"/>
        <v>#VALUE!</v>
      </c>
      <c r="V2069" s="26" t="e">
        <f t="shared" si="468"/>
        <v>#VALUE!</v>
      </c>
      <c r="W2069" s="1" t="e">
        <f t="shared" si="469"/>
        <v>#VALUE!</v>
      </c>
      <c r="X2069" s="26" t="e">
        <f t="shared" si="470"/>
        <v>#VALUE!</v>
      </c>
      <c r="Y2069" s="26" t="e">
        <f t="shared" si="471"/>
        <v>#VALUE!</v>
      </c>
      <c r="Z2069" s="1" t="e">
        <f t="shared" si="472"/>
        <v>#VALUE!</v>
      </c>
      <c r="AA2069"/>
      <c r="AB2069"/>
    </row>
    <row r="2070" spans="1:28" x14ac:dyDescent="0.55000000000000004">
      <c r="A2070" s="1">
        <f t="shared" si="459"/>
        <v>2070</v>
      </c>
      <c r="B2070" t="s">
        <v>31</v>
      </c>
      <c r="N2070" s="1" t="e">
        <f t="shared" si="460"/>
        <v>#VALUE!</v>
      </c>
      <c r="O2070" s="1" t="e">
        <f t="shared" si="461"/>
        <v>#VALUE!</v>
      </c>
      <c r="P2070" s="1" t="e">
        <f t="shared" si="462"/>
        <v>#VALUE!</v>
      </c>
      <c r="Q2070" s="1" t="e">
        <f t="shared" si="463"/>
        <v>#VALUE!</v>
      </c>
      <c r="R2070" s="1" t="e">
        <f t="shared" si="464"/>
        <v>#VALUE!</v>
      </c>
      <c r="S2070" s="1" t="e">
        <f t="shared" si="465"/>
        <v>#VALUE!</v>
      </c>
      <c r="T2070" s="1" t="e">
        <f t="shared" si="466"/>
        <v>#VALUE!</v>
      </c>
      <c r="U2070" s="26" t="e">
        <f t="shared" si="467"/>
        <v>#VALUE!</v>
      </c>
      <c r="V2070" s="26" t="e">
        <f t="shared" si="468"/>
        <v>#VALUE!</v>
      </c>
      <c r="W2070" s="1" t="e">
        <f t="shared" si="469"/>
        <v>#VALUE!</v>
      </c>
      <c r="X2070" s="26" t="e">
        <f t="shared" si="470"/>
        <v>#VALUE!</v>
      </c>
      <c r="Y2070" s="26" t="e">
        <f t="shared" si="471"/>
        <v>#VALUE!</v>
      </c>
      <c r="Z2070" s="1" t="e">
        <f t="shared" si="472"/>
        <v>#VALUE!</v>
      </c>
      <c r="AA2070"/>
      <c r="AB2070"/>
    </row>
    <row r="2071" spans="1:28" x14ac:dyDescent="0.55000000000000004">
      <c r="A2071" s="1">
        <f t="shared" si="459"/>
        <v>2071</v>
      </c>
      <c r="B2071" t="s">
        <v>31</v>
      </c>
      <c r="N2071" s="1" t="e">
        <f t="shared" si="460"/>
        <v>#VALUE!</v>
      </c>
      <c r="O2071" s="1" t="e">
        <f t="shared" si="461"/>
        <v>#VALUE!</v>
      </c>
      <c r="P2071" s="1" t="e">
        <f t="shared" si="462"/>
        <v>#VALUE!</v>
      </c>
      <c r="Q2071" s="1" t="e">
        <f t="shared" si="463"/>
        <v>#VALUE!</v>
      </c>
      <c r="R2071" s="1" t="e">
        <f t="shared" si="464"/>
        <v>#VALUE!</v>
      </c>
      <c r="S2071" s="1" t="e">
        <f t="shared" si="465"/>
        <v>#VALUE!</v>
      </c>
      <c r="T2071" s="1" t="e">
        <f t="shared" si="466"/>
        <v>#VALUE!</v>
      </c>
      <c r="U2071" s="26" t="e">
        <f t="shared" si="467"/>
        <v>#VALUE!</v>
      </c>
      <c r="V2071" s="26" t="e">
        <f t="shared" si="468"/>
        <v>#VALUE!</v>
      </c>
      <c r="W2071" s="1" t="e">
        <f t="shared" si="469"/>
        <v>#VALUE!</v>
      </c>
      <c r="X2071" s="26" t="e">
        <f t="shared" si="470"/>
        <v>#VALUE!</v>
      </c>
      <c r="Y2071" s="26" t="e">
        <f t="shared" si="471"/>
        <v>#VALUE!</v>
      </c>
      <c r="Z2071" s="1" t="e">
        <f t="shared" si="472"/>
        <v>#VALUE!</v>
      </c>
      <c r="AA2071"/>
      <c r="AB2071"/>
    </row>
    <row r="2072" spans="1:28" x14ac:dyDescent="0.55000000000000004">
      <c r="A2072" s="1">
        <f t="shared" si="459"/>
        <v>2072</v>
      </c>
      <c r="B2072" t="s">
        <v>31</v>
      </c>
      <c r="N2072" s="1" t="e">
        <f t="shared" si="460"/>
        <v>#VALUE!</v>
      </c>
      <c r="O2072" s="1" t="e">
        <f t="shared" si="461"/>
        <v>#VALUE!</v>
      </c>
      <c r="P2072" s="1" t="e">
        <f t="shared" si="462"/>
        <v>#VALUE!</v>
      </c>
      <c r="Q2072" s="1" t="e">
        <f t="shared" si="463"/>
        <v>#VALUE!</v>
      </c>
      <c r="R2072" s="1" t="e">
        <f t="shared" si="464"/>
        <v>#VALUE!</v>
      </c>
      <c r="S2072" s="1" t="e">
        <f t="shared" si="465"/>
        <v>#VALUE!</v>
      </c>
      <c r="T2072" s="1" t="e">
        <f t="shared" si="466"/>
        <v>#VALUE!</v>
      </c>
      <c r="U2072" s="26" t="e">
        <f t="shared" si="467"/>
        <v>#VALUE!</v>
      </c>
      <c r="V2072" s="26" t="e">
        <f t="shared" si="468"/>
        <v>#VALUE!</v>
      </c>
      <c r="W2072" s="1" t="e">
        <f t="shared" si="469"/>
        <v>#VALUE!</v>
      </c>
      <c r="X2072" s="26" t="e">
        <f t="shared" si="470"/>
        <v>#VALUE!</v>
      </c>
      <c r="Y2072" s="26" t="e">
        <f t="shared" si="471"/>
        <v>#VALUE!</v>
      </c>
      <c r="Z2072" s="1" t="e">
        <f t="shared" si="472"/>
        <v>#VALUE!</v>
      </c>
      <c r="AA2072"/>
      <c r="AB2072"/>
    </row>
    <row r="2073" spans="1:28" x14ac:dyDescent="0.55000000000000004">
      <c r="A2073" s="1">
        <f t="shared" si="459"/>
        <v>2073</v>
      </c>
      <c r="B2073" t="s">
        <v>31</v>
      </c>
      <c r="N2073" s="1" t="e">
        <f t="shared" si="460"/>
        <v>#VALUE!</v>
      </c>
      <c r="O2073" s="1" t="e">
        <f t="shared" si="461"/>
        <v>#VALUE!</v>
      </c>
      <c r="P2073" s="1" t="e">
        <f t="shared" si="462"/>
        <v>#VALUE!</v>
      </c>
      <c r="Q2073" s="1" t="e">
        <f t="shared" si="463"/>
        <v>#VALUE!</v>
      </c>
      <c r="R2073" s="1" t="e">
        <f t="shared" si="464"/>
        <v>#VALUE!</v>
      </c>
      <c r="S2073" s="1" t="e">
        <f t="shared" si="465"/>
        <v>#VALUE!</v>
      </c>
      <c r="T2073" s="1" t="e">
        <f t="shared" si="466"/>
        <v>#VALUE!</v>
      </c>
      <c r="U2073" s="26" t="e">
        <f t="shared" si="467"/>
        <v>#VALUE!</v>
      </c>
      <c r="V2073" s="26" t="e">
        <f t="shared" si="468"/>
        <v>#VALUE!</v>
      </c>
      <c r="W2073" s="1" t="e">
        <f t="shared" si="469"/>
        <v>#VALUE!</v>
      </c>
      <c r="X2073" s="26" t="e">
        <f t="shared" si="470"/>
        <v>#VALUE!</v>
      </c>
      <c r="Y2073" s="26" t="e">
        <f t="shared" si="471"/>
        <v>#VALUE!</v>
      </c>
      <c r="Z2073" s="1" t="e">
        <f t="shared" si="472"/>
        <v>#VALUE!</v>
      </c>
      <c r="AA2073"/>
      <c r="AB2073"/>
    </row>
    <row r="2074" spans="1:28" x14ac:dyDescent="0.55000000000000004">
      <c r="A2074" s="1">
        <f t="shared" si="459"/>
        <v>2074</v>
      </c>
      <c r="B2074" t="s">
        <v>31</v>
      </c>
      <c r="N2074" s="1" t="e">
        <f t="shared" si="460"/>
        <v>#VALUE!</v>
      </c>
      <c r="O2074" s="1" t="e">
        <f t="shared" si="461"/>
        <v>#VALUE!</v>
      </c>
      <c r="P2074" s="1" t="e">
        <f t="shared" si="462"/>
        <v>#VALUE!</v>
      </c>
      <c r="Q2074" s="1" t="e">
        <f t="shared" si="463"/>
        <v>#VALUE!</v>
      </c>
      <c r="R2074" s="1" t="e">
        <f t="shared" si="464"/>
        <v>#VALUE!</v>
      </c>
      <c r="S2074" s="1" t="e">
        <f t="shared" si="465"/>
        <v>#VALUE!</v>
      </c>
      <c r="T2074" s="1" t="e">
        <f t="shared" si="466"/>
        <v>#VALUE!</v>
      </c>
      <c r="U2074" s="26" t="e">
        <f t="shared" si="467"/>
        <v>#VALUE!</v>
      </c>
      <c r="V2074" s="26" t="e">
        <f t="shared" si="468"/>
        <v>#VALUE!</v>
      </c>
      <c r="W2074" s="1" t="e">
        <f t="shared" si="469"/>
        <v>#VALUE!</v>
      </c>
      <c r="X2074" s="26" t="e">
        <f t="shared" si="470"/>
        <v>#VALUE!</v>
      </c>
      <c r="Y2074" s="26" t="e">
        <f t="shared" si="471"/>
        <v>#VALUE!</v>
      </c>
      <c r="Z2074" s="1" t="e">
        <f t="shared" si="472"/>
        <v>#VALUE!</v>
      </c>
      <c r="AA2074"/>
      <c r="AB2074"/>
    </row>
    <row r="2075" spans="1:28" x14ac:dyDescent="0.55000000000000004">
      <c r="A2075" s="1">
        <f t="shared" si="459"/>
        <v>2075</v>
      </c>
      <c r="B2075" t="s">
        <v>31</v>
      </c>
      <c r="N2075" s="1" t="e">
        <f t="shared" si="460"/>
        <v>#VALUE!</v>
      </c>
      <c r="O2075" s="1" t="e">
        <f t="shared" si="461"/>
        <v>#VALUE!</v>
      </c>
      <c r="P2075" s="1" t="e">
        <f t="shared" si="462"/>
        <v>#VALUE!</v>
      </c>
      <c r="Q2075" s="1" t="e">
        <f t="shared" si="463"/>
        <v>#VALUE!</v>
      </c>
      <c r="R2075" s="1" t="e">
        <f t="shared" si="464"/>
        <v>#VALUE!</v>
      </c>
      <c r="S2075" s="1" t="e">
        <f t="shared" si="465"/>
        <v>#VALUE!</v>
      </c>
      <c r="T2075" s="1" t="e">
        <f t="shared" si="466"/>
        <v>#VALUE!</v>
      </c>
      <c r="U2075" s="26" t="e">
        <f t="shared" si="467"/>
        <v>#VALUE!</v>
      </c>
      <c r="V2075" s="26" t="e">
        <f t="shared" si="468"/>
        <v>#VALUE!</v>
      </c>
      <c r="W2075" s="1" t="e">
        <f t="shared" si="469"/>
        <v>#VALUE!</v>
      </c>
      <c r="X2075" s="26" t="e">
        <f t="shared" si="470"/>
        <v>#VALUE!</v>
      </c>
      <c r="Y2075" s="26" t="e">
        <f t="shared" si="471"/>
        <v>#VALUE!</v>
      </c>
      <c r="Z2075" s="1" t="e">
        <f t="shared" si="472"/>
        <v>#VALUE!</v>
      </c>
      <c r="AA2075"/>
      <c r="AB2075"/>
    </row>
    <row r="2076" spans="1:28" x14ac:dyDescent="0.55000000000000004">
      <c r="A2076" s="1">
        <f t="shared" si="459"/>
        <v>2076</v>
      </c>
      <c r="B2076" t="s">
        <v>31</v>
      </c>
      <c r="N2076" s="1" t="e">
        <f t="shared" si="460"/>
        <v>#VALUE!</v>
      </c>
      <c r="O2076" s="1" t="e">
        <f t="shared" si="461"/>
        <v>#VALUE!</v>
      </c>
      <c r="P2076" s="1" t="e">
        <f t="shared" si="462"/>
        <v>#VALUE!</v>
      </c>
      <c r="Q2076" s="1" t="e">
        <f t="shared" si="463"/>
        <v>#VALUE!</v>
      </c>
      <c r="R2076" s="1" t="e">
        <f t="shared" si="464"/>
        <v>#VALUE!</v>
      </c>
      <c r="S2076" s="1" t="e">
        <f t="shared" si="465"/>
        <v>#VALUE!</v>
      </c>
      <c r="T2076" s="1" t="e">
        <f t="shared" si="466"/>
        <v>#VALUE!</v>
      </c>
      <c r="U2076" s="26" t="e">
        <f t="shared" si="467"/>
        <v>#VALUE!</v>
      </c>
      <c r="V2076" s="26" t="e">
        <f t="shared" si="468"/>
        <v>#VALUE!</v>
      </c>
      <c r="W2076" s="1" t="e">
        <f t="shared" si="469"/>
        <v>#VALUE!</v>
      </c>
      <c r="X2076" s="26" t="e">
        <f t="shared" si="470"/>
        <v>#VALUE!</v>
      </c>
      <c r="Y2076" s="26" t="e">
        <f t="shared" si="471"/>
        <v>#VALUE!</v>
      </c>
      <c r="Z2076" s="1" t="e">
        <f t="shared" si="472"/>
        <v>#VALUE!</v>
      </c>
      <c r="AA2076"/>
      <c r="AB2076"/>
    </row>
    <row r="2077" spans="1:28" x14ac:dyDescent="0.55000000000000004">
      <c r="A2077" s="1">
        <f t="shared" si="459"/>
        <v>2077</v>
      </c>
      <c r="B2077" t="s">
        <v>31</v>
      </c>
      <c r="N2077" s="1" t="e">
        <f t="shared" si="460"/>
        <v>#VALUE!</v>
      </c>
      <c r="O2077" s="1" t="e">
        <f t="shared" si="461"/>
        <v>#VALUE!</v>
      </c>
      <c r="P2077" s="1" t="e">
        <f t="shared" si="462"/>
        <v>#VALUE!</v>
      </c>
      <c r="Q2077" s="1" t="e">
        <f t="shared" si="463"/>
        <v>#VALUE!</v>
      </c>
      <c r="R2077" s="1" t="e">
        <f t="shared" si="464"/>
        <v>#VALUE!</v>
      </c>
      <c r="S2077" s="1" t="e">
        <f t="shared" si="465"/>
        <v>#VALUE!</v>
      </c>
      <c r="T2077" s="1" t="e">
        <f t="shared" si="466"/>
        <v>#VALUE!</v>
      </c>
      <c r="U2077" s="26" t="e">
        <f t="shared" si="467"/>
        <v>#VALUE!</v>
      </c>
      <c r="V2077" s="26" t="e">
        <f t="shared" si="468"/>
        <v>#VALUE!</v>
      </c>
      <c r="W2077" s="1" t="e">
        <f t="shared" si="469"/>
        <v>#VALUE!</v>
      </c>
      <c r="X2077" s="26" t="e">
        <f t="shared" si="470"/>
        <v>#VALUE!</v>
      </c>
      <c r="Y2077" s="26" t="e">
        <f t="shared" si="471"/>
        <v>#VALUE!</v>
      </c>
      <c r="Z2077" s="1" t="e">
        <f t="shared" si="472"/>
        <v>#VALUE!</v>
      </c>
      <c r="AA2077"/>
      <c r="AB2077"/>
    </row>
    <row r="2078" spans="1:28" x14ac:dyDescent="0.55000000000000004">
      <c r="A2078" s="1">
        <f t="shared" si="459"/>
        <v>2078</v>
      </c>
      <c r="B2078" t="s">
        <v>31</v>
      </c>
      <c r="N2078" s="1" t="e">
        <f t="shared" si="460"/>
        <v>#VALUE!</v>
      </c>
      <c r="O2078" s="1" t="e">
        <f t="shared" si="461"/>
        <v>#VALUE!</v>
      </c>
      <c r="P2078" s="1" t="e">
        <f t="shared" si="462"/>
        <v>#VALUE!</v>
      </c>
      <c r="Q2078" s="1" t="e">
        <f t="shared" si="463"/>
        <v>#VALUE!</v>
      </c>
      <c r="R2078" s="1" t="e">
        <f t="shared" si="464"/>
        <v>#VALUE!</v>
      </c>
      <c r="S2078" s="1" t="e">
        <f t="shared" si="465"/>
        <v>#VALUE!</v>
      </c>
      <c r="T2078" s="1" t="e">
        <f t="shared" si="466"/>
        <v>#VALUE!</v>
      </c>
      <c r="U2078" s="26" t="e">
        <f t="shared" si="467"/>
        <v>#VALUE!</v>
      </c>
      <c r="V2078" s="26" t="e">
        <f t="shared" si="468"/>
        <v>#VALUE!</v>
      </c>
      <c r="W2078" s="1" t="e">
        <f t="shared" si="469"/>
        <v>#VALUE!</v>
      </c>
      <c r="X2078" s="26" t="e">
        <f t="shared" si="470"/>
        <v>#VALUE!</v>
      </c>
      <c r="Y2078" s="26" t="e">
        <f t="shared" si="471"/>
        <v>#VALUE!</v>
      </c>
      <c r="Z2078" s="1" t="e">
        <f t="shared" si="472"/>
        <v>#VALUE!</v>
      </c>
      <c r="AA2078"/>
      <c r="AB2078"/>
    </row>
    <row r="2079" spans="1:28" x14ac:dyDescent="0.55000000000000004">
      <c r="A2079" s="1">
        <f t="shared" si="459"/>
        <v>2079</v>
      </c>
      <c r="B2079" t="s">
        <v>31</v>
      </c>
      <c r="N2079" s="1" t="e">
        <f t="shared" si="460"/>
        <v>#VALUE!</v>
      </c>
      <c r="O2079" s="1" t="e">
        <f t="shared" si="461"/>
        <v>#VALUE!</v>
      </c>
      <c r="P2079" s="1" t="e">
        <f t="shared" si="462"/>
        <v>#VALUE!</v>
      </c>
      <c r="Q2079" s="1" t="e">
        <f t="shared" si="463"/>
        <v>#VALUE!</v>
      </c>
      <c r="R2079" s="1" t="e">
        <f t="shared" si="464"/>
        <v>#VALUE!</v>
      </c>
      <c r="S2079" s="1" t="e">
        <f t="shared" si="465"/>
        <v>#VALUE!</v>
      </c>
      <c r="T2079" s="1" t="e">
        <f t="shared" si="466"/>
        <v>#VALUE!</v>
      </c>
      <c r="U2079" s="26" t="e">
        <f t="shared" si="467"/>
        <v>#VALUE!</v>
      </c>
      <c r="V2079" s="26" t="e">
        <f t="shared" si="468"/>
        <v>#VALUE!</v>
      </c>
      <c r="W2079" s="1" t="e">
        <f t="shared" si="469"/>
        <v>#VALUE!</v>
      </c>
      <c r="X2079" s="26" t="e">
        <f t="shared" si="470"/>
        <v>#VALUE!</v>
      </c>
      <c r="Y2079" s="26" t="e">
        <f t="shared" si="471"/>
        <v>#VALUE!</v>
      </c>
      <c r="Z2079" s="1" t="e">
        <f t="shared" si="472"/>
        <v>#VALUE!</v>
      </c>
      <c r="AA2079"/>
      <c r="AB2079"/>
    </row>
    <row r="2080" spans="1:28" x14ac:dyDescent="0.55000000000000004">
      <c r="A2080" s="1">
        <f t="shared" si="459"/>
        <v>2080</v>
      </c>
      <c r="B2080" t="s">
        <v>31</v>
      </c>
      <c r="N2080" s="1" t="e">
        <f t="shared" si="460"/>
        <v>#VALUE!</v>
      </c>
      <c r="O2080" s="1" t="e">
        <f t="shared" si="461"/>
        <v>#VALUE!</v>
      </c>
      <c r="P2080" s="1" t="e">
        <f t="shared" si="462"/>
        <v>#VALUE!</v>
      </c>
      <c r="Q2080" s="1" t="e">
        <f t="shared" si="463"/>
        <v>#VALUE!</v>
      </c>
      <c r="R2080" s="1" t="e">
        <f t="shared" si="464"/>
        <v>#VALUE!</v>
      </c>
      <c r="S2080" s="1" t="e">
        <f t="shared" si="465"/>
        <v>#VALUE!</v>
      </c>
      <c r="T2080" s="1" t="e">
        <f t="shared" si="466"/>
        <v>#VALUE!</v>
      </c>
      <c r="U2080" s="26" t="e">
        <f t="shared" si="467"/>
        <v>#VALUE!</v>
      </c>
      <c r="V2080" s="26" t="e">
        <f t="shared" si="468"/>
        <v>#VALUE!</v>
      </c>
      <c r="W2080" s="1" t="e">
        <f t="shared" si="469"/>
        <v>#VALUE!</v>
      </c>
      <c r="X2080" s="26" t="e">
        <f t="shared" si="470"/>
        <v>#VALUE!</v>
      </c>
      <c r="Y2080" s="26" t="e">
        <f t="shared" si="471"/>
        <v>#VALUE!</v>
      </c>
      <c r="Z2080" s="1" t="e">
        <f t="shared" si="472"/>
        <v>#VALUE!</v>
      </c>
      <c r="AA2080"/>
      <c r="AB2080"/>
    </row>
    <row r="2081" spans="1:28" x14ac:dyDescent="0.55000000000000004">
      <c r="A2081" s="1">
        <f t="shared" si="459"/>
        <v>2081</v>
      </c>
      <c r="B2081" t="s">
        <v>31</v>
      </c>
      <c r="N2081" s="1" t="e">
        <f t="shared" si="460"/>
        <v>#VALUE!</v>
      </c>
      <c r="O2081" s="1" t="e">
        <f t="shared" si="461"/>
        <v>#VALUE!</v>
      </c>
      <c r="P2081" s="1" t="e">
        <f t="shared" si="462"/>
        <v>#VALUE!</v>
      </c>
      <c r="Q2081" s="1" t="e">
        <f t="shared" si="463"/>
        <v>#VALUE!</v>
      </c>
      <c r="R2081" s="1" t="e">
        <f t="shared" si="464"/>
        <v>#VALUE!</v>
      </c>
      <c r="S2081" s="1" t="e">
        <f t="shared" si="465"/>
        <v>#VALUE!</v>
      </c>
      <c r="T2081" s="1" t="e">
        <f t="shared" si="466"/>
        <v>#VALUE!</v>
      </c>
      <c r="U2081" s="26" t="e">
        <f t="shared" si="467"/>
        <v>#VALUE!</v>
      </c>
      <c r="V2081" s="26" t="e">
        <f t="shared" si="468"/>
        <v>#VALUE!</v>
      </c>
      <c r="W2081" s="1" t="e">
        <f t="shared" si="469"/>
        <v>#VALUE!</v>
      </c>
      <c r="X2081" s="26" t="e">
        <f t="shared" si="470"/>
        <v>#VALUE!</v>
      </c>
      <c r="Y2081" s="26" t="e">
        <f t="shared" si="471"/>
        <v>#VALUE!</v>
      </c>
      <c r="Z2081" s="1" t="e">
        <f t="shared" si="472"/>
        <v>#VALUE!</v>
      </c>
      <c r="AA2081"/>
      <c r="AB2081"/>
    </row>
    <row r="2082" spans="1:28" x14ac:dyDescent="0.55000000000000004">
      <c r="A2082" s="1">
        <f t="shared" si="459"/>
        <v>2082</v>
      </c>
      <c r="B2082" t="s">
        <v>32</v>
      </c>
      <c r="N2082" s="1" t="e">
        <f t="shared" si="460"/>
        <v>#VALUE!</v>
      </c>
      <c r="O2082" s="1" t="e">
        <f t="shared" si="461"/>
        <v>#VALUE!</v>
      </c>
      <c r="P2082" s="1" t="e">
        <f t="shared" si="462"/>
        <v>#VALUE!</v>
      </c>
      <c r="Q2082" s="1" t="e">
        <f t="shared" si="463"/>
        <v>#VALUE!</v>
      </c>
      <c r="R2082" s="1" t="e">
        <f t="shared" si="464"/>
        <v>#VALUE!</v>
      </c>
      <c r="S2082" s="1" t="e">
        <f t="shared" si="465"/>
        <v>#VALUE!</v>
      </c>
      <c r="T2082" s="1" t="e">
        <f t="shared" si="466"/>
        <v>#VALUE!</v>
      </c>
      <c r="U2082" s="26" t="e">
        <f t="shared" si="467"/>
        <v>#VALUE!</v>
      </c>
      <c r="V2082" s="26" t="e">
        <f t="shared" si="468"/>
        <v>#VALUE!</v>
      </c>
      <c r="W2082" s="1" t="e">
        <f t="shared" si="469"/>
        <v>#VALUE!</v>
      </c>
      <c r="X2082" s="26" t="e">
        <f t="shared" si="470"/>
        <v>#VALUE!</v>
      </c>
      <c r="Y2082" s="26" t="e">
        <f t="shared" si="471"/>
        <v>#VALUE!</v>
      </c>
      <c r="Z2082" s="1" t="e">
        <f t="shared" si="472"/>
        <v>#VALUE!</v>
      </c>
      <c r="AA2082"/>
      <c r="AB2082"/>
    </row>
    <row r="2083" spans="1:28" x14ac:dyDescent="0.55000000000000004">
      <c r="A2083" s="1">
        <f t="shared" si="459"/>
        <v>2083</v>
      </c>
      <c r="B2083" t="s">
        <v>33</v>
      </c>
      <c r="N2083" s="1" t="e">
        <f t="shared" si="460"/>
        <v>#VALUE!</v>
      </c>
      <c r="O2083" s="1" t="e">
        <f t="shared" si="461"/>
        <v>#VALUE!</v>
      </c>
      <c r="P2083" s="1" t="e">
        <f t="shared" si="462"/>
        <v>#VALUE!</v>
      </c>
      <c r="Q2083" s="1" t="e">
        <f t="shared" si="463"/>
        <v>#VALUE!</v>
      </c>
      <c r="R2083" s="1" t="e">
        <f t="shared" si="464"/>
        <v>#VALUE!</v>
      </c>
      <c r="S2083" s="1" t="e">
        <f t="shared" si="465"/>
        <v>#VALUE!</v>
      </c>
      <c r="T2083" s="1" t="e">
        <f t="shared" si="466"/>
        <v>#VALUE!</v>
      </c>
      <c r="U2083" s="26" t="e">
        <f t="shared" si="467"/>
        <v>#VALUE!</v>
      </c>
      <c r="V2083" s="26" t="e">
        <f t="shared" si="468"/>
        <v>#VALUE!</v>
      </c>
      <c r="W2083" s="1" t="e">
        <f t="shared" si="469"/>
        <v>#VALUE!</v>
      </c>
      <c r="X2083" s="26" t="e">
        <f t="shared" si="470"/>
        <v>#VALUE!</v>
      </c>
      <c r="Y2083" s="26" t="e">
        <f t="shared" si="471"/>
        <v>#VALUE!</v>
      </c>
      <c r="Z2083" s="1" t="e">
        <f t="shared" si="472"/>
        <v>#VALUE!</v>
      </c>
      <c r="AA2083"/>
      <c r="AB2083"/>
    </row>
    <row r="2084" spans="1:28" x14ac:dyDescent="0.55000000000000004">
      <c r="A2084" s="1">
        <f t="shared" si="459"/>
        <v>2084</v>
      </c>
      <c r="B2084" t="s">
        <v>33</v>
      </c>
      <c r="N2084" s="1" t="e">
        <f t="shared" si="460"/>
        <v>#VALUE!</v>
      </c>
      <c r="O2084" s="1" t="e">
        <f t="shared" si="461"/>
        <v>#VALUE!</v>
      </c>
      <c r="P2084" s="1" t="e">
        <f t="shared" si="462"/>
        <v>#VALUE!</v>
      </c>
      <c r="Q2084" s="1" t="e">
        <f t="shared" si="463"/>
        <v>#VALUE!</v>
      </c>
      <c r="R2084" s="1" t="e">
        <f t="shared" si="464"/>
        <v>#VALUE!</v>
      </c>
      <c r="S2084" s="1" t="e">
        <f t="shared" si="465"/>
        <v>#VALUE!</v>
      </c>
      <c r="T2084" s="1" t="e">
        <f t="shared" si="466"/>
        <v>#VALUE!</v>
      </c>
      <c r="U2084" s="26" t="e">
        <f t="shared" si="467"/>
        <v>#VALUE!</v>
      </c>
      <c r="V2084" s="26" t="e">
        <f t="shared" si="468"/>
        <v>#VALUE!</v>
      </c>
      <c r="W2084" s="1" t="e">
        <f t="shared" si="469"/>
        <v>#VALUE!</v>
      </c>
      <c r="X2084" s="26" t="e">
        <f t="shared" si="470"/>
        <v>#VALUE!</v>
      </c>
      <c r="Y2084" s="26" t="e">
        <f t="shared" si="471"/>
        <v>#VALUE!</v>
      </c>
      <c r="Z2084" s="1" t="e">
        <f t="shared" si="472"/>
        <v>#VALUE!</v>
      </c>
      <c r="AA2084"/>
      <c r="AB2084"/>
    </row>
    <row r="2085" spans="1:28" x14ac:dyDescent="0.55000000000000004">
      <c r="A2085" s="1">
        <f t="shared" si="459"/>
        <v>2085</v>
      </c>
      <c r="B2085" t="s">
        <v>33</v>
      </c>
      <c r="N2085" s="1" t="e">
        <f t="shared" si="460"/>
        <v>#VALUE!</v>
      </c>
      <c r="O2085" s="1" t="e">
        <f t="shared" si="461"/>
        <v>#VALUE!</v>
      </c>
      <c r="P2085" s="1" t="e">
        <f t="shared" si="462"/>
        <v>#VALUE!</v>
      </c>
      <c r="Q2085" s="1" t="e">
        <f t="shared" si="463"/>
        <v>#VALUE!</v>
      </c>
      <c r="R2085" s="1" t="e">
        <f t="shared" si="464"/>
        <v>#VALUE!</v>
      </c>
      <c r="S2085" s="1" t="e">
        <f t="shared" si="465"/>
        <v>#VALUE!</v>
      </c>
      <c r="T2085" s="1" t="e">
        <f t="shared" si="466"/>
        <v>#VALUE!</v>
      </c>
      <c r="U2085" s="26" t="e">
        <f t="shared" si="467"/>
        <v>#VALUE!</v>
      </c>
      <c r="V2085" s="26" t="e">
        <f t="shared" si="468"/>
        <v>#VALUE!</v>
      </c>
      <c r="W2085" s="1" t="e">
        <f t="shared" si="469"/>
        <v>#VALUE!</v>
      </c>
      <c r="X2085" s="26" t="e">
        <f t="shared" si="470"/>
        <v>#VALUE!</v>
      </c>
      <c r="Y2085" s="26" t="e">
        <f t="shared" si="471"/>
        <v>#VALUE!</v>
      </c>
      <c r="Z2085" s="1" t="e">
        <f t="shared" si="472"/>
        <v>#VALUE!</v>
      </c>
      <c r="AA2085"/>
      <c r="AB2085"/>
    </row>
    <row r="2086" spans="1:28" x14ac:dyDescent="0.55000000000000004">
      <c r="A2086" s="1">
        <f t="shared" si="459"/>
        <v>2086</v>
      </c>
      <c r="B2086" t="s">
        <v>33</v>
      </c>
      <c r="N2086" s="1" t="e">
        <f t="shared" si="460"/>
        <v>#VALUE!</v>
      </c>
      <c r="O2086" s="1" t="e">
        <f t="shared" si="461"/>
        <v>#VALUE!</v>
      </c>
      <c r="P2086" s="1" t="e">
        <f t="shared" si="462"/>
        <v>#VALUE!</v>
      </c>
      <c r="Q2086" s="1" t="e">
        <f t="shared" si="463"/>
        <v>#VALUE!</v>
      </c>
      <c r="R2086" s="1" t="e">
        <f t="shared" si="464"/>
        <v>#VALUE!</v>
      </c>
      <c r="S2086" s="1" t="e">
        <f t="shared" si="465"/>
        <v>#VALUE!</v>
      </c>
      <c r="T2086" s="1" t="e">
        <f t="shared" si="466"/>
        <v>#VALUE!</v>
      </c>
      <c r="U2086" s="26" t="e">
        <f t="shared" si="467"/>
        <v>#VALUE!</v>
      </c>
      <c r="V2086" s="26" t="e">
        <f t="shared" si="468"/>
        <v>#VALUE!</v>
      </c>
      <c r="W2086" s="1" t="e">
        <f t="shared" si="469"/>
        <v>#VALUE!</v>
      </c>
      <c r="X2086" s="26" t="e">
        <f t="shared" si="470"/>
        <v>#VALUE!</v>
      </c>
      <c r="Y2086" s="26" t="e">
        <f t="shared" si="471"/>
        <v>#VALUE!</v>
      </c>
      <c r="Z2086" s="1" t="e">
        <f t="shared" si="472"/>
        <v>#VALUE!</v>
      </c>
      <c r="AA2086"/>
      <c r="AB2086"/>
    </row>
    <row r="2087" spans="1:28" x14ac:dyDescent="0.55000000000000004">
      <c r="A2087" s="1">
        <f t="shared" si="459"/>
        <v>2087</v>
      </c>
      <c r="B2087" t="s">
        <v>33</v>
      </c>
      <c r="N2087" s="1" t="e">
        <f t="shared" si="460"/>
        <v>#VALUE!</v>
      </c>
      <c r="O2087" s="1" t="e">
        <f t="shared" si="461"/>
        <v>#VALUE!</v>
      </c>
      <c r="P2087" s="1" t="e">
        <f t="shared" si="462"/>
        <v>#VALUE!</v>
      </c>
      <c r="Q2087" s="1" t="e">
        <f t="shared" si="463"/>
        <v>#VALUE!</v>
      </c>
      <c r="R2087" s="1" t="e">
        <f t="shared" si="464"/>
        <v>#VALUE!</v>
      </c>
      <c r="S2087" s="1" t="e">
        <f t="shared" si="465"/>
        <v>#VALUE!</v>
      </c>
      <c r="T2087" s="1" t="e">
        <f t="shared" si="466"/>
        <v>#VALUE!</v>
      </c>
      <c r="U2087" s="26" t="e">
        <f t="shared" si="467"/>
        <v>#VALUE!</v>
      </c>
      <c r="V2087" s="26" t="e">
        <f t="shared" si="468"/>
        <v>#VALUE!</v>
      </c>
      <c r="W2087" s="1" t="e">
        <f t="shared" si="469"/>
        <v>#VALUE!</v>
      </c>
      <c r="X2087" s="26" t="e">
        <f t="shared" si="470"/>
        <v>#VALUE!</v>
      </c>
      <c r="Y2087" s="26" t="e">
        <f t="shared" si="471"/>
        <v>#VALUE!</v>
      </c>
      <c r="Z2087" s="1" t="e">
        <f t="shared" si="472"/>
        <v>#VALUE!</v>
      </c>
      <c r="AA2087"/>
      <c r="AB2087"/>
    </row>
    <row r="2088" spans="1:28" x14ac:dyDescent="0.55000000000000004">
      <c r="A2088" s="1">
        <f t="shared" si="459"/>
        <v>2088</v>
      </c>
      <c r="B2088" t="s">
        <v>33</v>
      </c>
      <c r="N2088" s="1" t="e">
        <f t="shared" si="460"/>
        <v>#VALUE!</v>
      </c>
      <c r="O2088" s="1" t="e">
        <f t="shared" si="461"/>
        <v>#VALUE!</v>
      </c>
      <c r="P2088" s="1" t="e">
        <f t="shared" si="462"/>
        <v>#VALUE!</v>
      </c>
      <c r="Q2088" s="1" t="e">
        <f t="shared" si="463"/>
        <v>#VALUE!</v>
      </c>
      <c r="R2088" s="1" t="e">
        <f t="shared" si="464"/>
        <v>#VALUE!</v>
      </c>
      <c r="S2088" s="1" t="e">
        <f t="shared" si="465"/>
        <v>#VALUE!</v>
      </c>
      <c r="T2088" s="1" t="e">
        <f t="shared" si="466"/>
        <v>#VALUE!</v>
      </c>
      <c r="U2088" s="26" t="e">
        <f t="shared" si="467"/>
        <v>#VALUE!</v>
      </c>
      <c r="V2088" s="26" t="e">
        <f t="shared" si="468"/>
        <v>#VALUE!</v>
      </c>
      <c r="W2088" s="1" t="e">
        <f t="shared" si="469"/>
        <v>#VALUE!</v>
      </c>
      <c r="X2088" s="26" t="e">
        <f t="shared" si="470"/>
        <v>#VALUE!</v>
      </c>
      <c r="Y2088" s="26" t="e">
        <f t="shared" si="471"/>
        <v>#VALUE!</v>
      </c>
      <c r="Z2088" s="1" t="e">
        <f t="shared" si="472"/>
        <v>#VALUE!</v>
      </c>
      <c r="AA2088"/>
      <c r="AB2088"/>
    </row>
    <row r="2089" spans="1:28" x14ac:dyDescent="0.55000000000000004">
      <c r="A2089" s="1">
        <f t="shared" si="459"/>
        <v>2089</v>
      </c>
      <c r="B2089" t="s">
        <v>33</v>
      </c>
      <c r="N2089" s="1" t="e">
        <f t="shared" si="460"/>
        <v>#VALUE!</v>
      </c>
      <c r="O2089" s="1" t="e">
        <f t="shared" si="461"/>
        <v>#VALUE!</v>
      </c>
      <c r="P2089" s="1" t="e">
        <f t="shared" si="462"/>
        <v>#VALUE!</v>
      </c>
      <c r="Q2089" s="1" t="e">
        <f t="shared" si="463"/>
        <v>#VALUE!</v>
      </c>
      <c r="R2089" s="1" t="e">
        <f t="shared" si="464"/>
        <v>#VALUE!</v>
      </c>
      <c r="S2089" s="1" t="e">
        <f t="shared" si="465"/>
        <v>#VALUE!</v>
      </c>
      <c r="T2089" s="1" t="e">
        <f t="shared" si="466"/>
        <v>#VALUE!</v>
      </c>
      <c r="U2089" s="26" t="e">
        <f t="shared" si="467"/>
        <v>#VALUE!</v>
      </c>
      <c r="V2089" s="26" t="e">
        <f t="shared" si="468"/>
        <v>#VALUE!</v>
      </c>
      <c r="W2089" s="1" t="e">
        <f t="shared" si="469"/>
        <v>#VALUE!</v>
      </c>
      <c r="X2089" s="26" t="e">
        <f t="shared" si="470"/>
        <v>#VALUE!</v>
      </c>
      <c r="Y2089" s="26" t="e">
        <f t="shared" si="471"/>
        <v>#VALUE!</v>
      </c>
      <c r="Z2089" s="1" t="e">
        <f t="shared" si="472"/>
        <v>#VALUE!</v>
      </c>
      <c r="AA2089"/>
      <c r="AB2089"/>
    </row>
    <row r="2090" spans="1:28" x14ac:dyDescent="0.55000000000000004">
      <c r="A2090" s="1">
        <f t="shared" si="459"/>
        <v>2090</v>
      </c>
      <c r="B2090" t="s">
        <v>33</v>
      </c>
      <c r="N2090" s="1" t="e">
        <f t="shared" si="460"/>
        <v>#VALUE!</v>
      </c>
      <c r="O2090" s="1" t="e">
        <f t="shared" si="461"/>
        <v>#VALUE!</v>
      </c>
      <c r="P2090" s="1" t="e">
        <f t="shared" si="462"/>
        <v>#VALUE!</v>
      </c>
      <c r="Q2090" s="1" t="e">
        <f t="shared" si="463"/>
        <v>#VALUE!</v>
      </c>
      <c r="R2090" s="1" t="e">
        <f t="shared" si="464"/>
        <v>#VALUE!</v>
      </c>
      <c r="S2090" s="1" t="e">
        <f t="shared" si="465"/>
        <v>#VALUE!</v>
      </c>
      <c r="T2090" s="1" t="e">
        <f t="shared" si="466"/>
        <v>#VALUE!</v>
      </c>
      <c r="U2090" s="26" t="e">
        <f t="shared" si="467"/>
        <v>#VALUE!</v>
      </c>
      <c r="V2090" s="26" t="e">
        <f t="shared" si="468"/>
        <v>#VALUE!</v>
      </c>
      <c r="W2090" s="1" t="e">
        <f t="shared" si="469"/>
        <v>#VALUE!</v>
      </c>
      <c r="X2090" s="26" t="e">
        <f t="shared" si="470"/>
        <v>#VALUE!</v>
      </c>
      <c r="Y2090" s="26" t="e">
        <f t="shared" si="471"/>
        <v>#VALUE!</v>
      </c>
      <c r="Z2090" s="1" t="e">
        <f t="shared" si="472"/>
        <v>#VALUE!</v>
      </c>
      <c r="AA2090"/>
      <c r="AB2090"/>
    </row>
    <row r="2091" spans="1:28" x14ac:dyDescent="0.55000000000000004">
      <c r="A2091" s="1">
        <f t="shared" si="459"/>
        <v>2091</v>
      </c>
      <c r="B2091" t="s">
        <v>33</v>
      </c>
      <c r="N2091" s="1" t="e">
        <f t="shared" si="460"/>
        <v>#VALUE!</v>
      </c>
      <c r="O2091" s="1" t="e">
        <f t="shared" si="461"/>
        <v>#VALUE!</v>
      </c>
      <c r="P2091" s="1" t="e">
        <f t="shared" si="462"/>
        <v>#VALUE!</v>
      </c>
      <c r="Q2091" s="1" t="e">
        <f t="shared" si="463"/>
        <v>#VALUE!</v>
      </c>
      <c r="R2091" s="1" t="e">
        <f t="shared" si="464"/>
        <v>#VALUE!</v>
      </c>
      <c r="S2091" s="1" t="e">
        <f t="shared" si="465"/>
        <v>#VALUE!</v>
      </c>
      <c r="T2091" s="1" t="e">
        <f t="shared" si="466"/>
        <v>#VALUE!</v>
      </c>
      <c r="U2091" s="26" t="e">
        <f t="shared" si="467"/>
        <v>#VALUE!</v>
      </c>
      <c r="V2091" s="26" t="e">
        <f t="shared" si="468"/>
        <v>#VALUE!</v>
      </c>
      <c r="W2091" s="1" t="e">
        <f t="shared" si="469"/>
        <v>#VALUE!</v>
      </c>
      <c r="X2091" s="26" t="e">
        <f t="shared" si="470"/>
        <v>#VALUE!</v>
      </c>
      <c r="Y2091" s="26" t="e">
        <f t="shared" si="471"/>
        <v>#VALUE!</v>
      </c>
      <c r="Z2091" s="1" t="e">
        <f t="shared" si="472"/>
        <v>#VALUE!</v>
      </c>
      <c r="AA2091"/>
      <c r="AB2091"/>
    </row>
    <row r="2092" spans="1:28" x14ac:dyDescent="0.55000000000000004">
      <c r="A2092" s="1">
        <f t="shared" si="459"/>
        <v>2092</v>
      </c>
      <c r="B2092" t="s">
        <v>33</v>
      </c>
      <c r="N2092" s="1" t="e">
        <f t="shared" si="460"/>
        <v>#VALUE!</v>
      </c>
      <c r="O2092" s="1" t="e">
        <f t="shared" si="461"/>
        <v>#VALUE!</v>
      </c>
      <c r="P2092" s="1" t="e">
        <f t="shared" si="462"/>
        <v>#VALUE!</v>
      </c>
      <c r="Q2092" s="1" t="e">
        <f t="shared" si="463"/>
        <v>#VALUE!</v>
      </c>
      <c r="R2092" s="1" t="e">
        <f t="shared" si="464"/>
        <v>#VALUE!</v>
      </c>
      <c r="S2092" s="1" t="e">
        <f t="shared" si="465"/>
        <v>#VALUE!</v>
      </c>
      <c r="T2092" s="1" t="e">
        <f t="shared" si="466"/>
        <v>#VALUE!</v>
      </c>
      <c r="U2092" s="26" t="e">
        <f t="shared" si="467"/>
        <v>#VALUE!</v>
      </c>
      <c r="V2092" s="26" t="e">
        <f t="shared" si="468"/>
        <v>#VALUE!</v>
      </c>
      <c r="W2092" s="1" t="e">
        <f t="shared" si="469"/>
        <v>#VALUE!</v>
      </c>
      <c r="X2092" s="26" t="e">
        <f t="shared" si="470"/>
        <v>#VALUE!</v>
      </c>
      <c r="Y2092" s="26" t="e">
        <f t="shared" si="471"/>
        <v>#VALUE!</v>
      </c>
      <c r="Z2092" s="1" t="e">
        <f t="shared" si="472"/>
        <v>#VALUE!</v>
      </c>
      <c r="AA2092"/>
      <c r="AB2092"/>
    </row>
    <row r="2093" spans="1:28" x14ac:dyDescent="0.55000000000000004">
      <c r="A2093" s="1">
        <f t="shared" si="459"/>
        <v>2093</v>
      </c>
      <c r="B2093" t="s">
        <v>33</v>
      </c>
      <c r="N2093" s="1" t="e">
        <f t="shared" si="460"/>
        <v>#VALUE!</v>
      </c>
      <c r="O2093" s="1" t="e">
        <f t="shared" si="461"/>
        <v>#VALUE!</v>
      </c>
      <c r="P2093" s="1" t="e">
        <f t="shared" si="462"/>
        <v>#VALUE!</v>
      </c>
      <c r="Q2093" s="1" t="e">
        <f t="shared" si="463"/>
        <v>#VALUE!</v>
      </c>
      <c r="R2093" s="1" t="e">
        <f t="shared" si="464"/>
        <v>#VALUE!</v>
      </c>
      <c r="S2093" s="1" t="e">
        <f t="shared" si="465"/>
        <v>#VALUE!</v>
      </c>
      <c r="T2093" s="1" t="e">
        <f t="shared" si="466"/>
        <v>#VALUE!</v>
      </c>
      <c r="U2093" s="26" t="e">
        <f t="shared" si="467"/>
        <v>#VALUE!</v>
      </c>
      <c r="V2093" s="26" t="e">
        <f t="shared" si="468"/>
        <v>#VALUE!</v>
      </c>
      <c r="W2093" s="1" t="e">
        <f t="shared" si="469"/>
        <v>#VALUE!</v>
      </c>
      <c r="X2093" s="26" t="e">
        <f t="shared" si="470"/>
        <v>#VALUE!</v>
      </c>
      <c r="Y2093" s="26" t="e">
        <f t="shared" si="471"/>
        <v>#VALUE!</v>
      </c>
      <c r="Z2093" s="1" t="e">
        <f t="shared" si="472"/>
        <v>#VALUE!</v>
      </c>
      <c r="AA2093"/>
      <c r="AB2093"/>
    </row>
    <row r="2094" spans="1:28" x14ac:dyDescent="0.55000000000000004">
      <c r="A2094" s="1">
        <f t="shared" si="459"/>
        <v>2094</v>
      </c>
      <c r="B2094" t="s">
        <v>33</v>
      </c>
      <c r="N2094" s="1" t="e">
        <f t="shared" si="460"/>
        <v>#VALUE!</v>
      </c>
      <c r="O2094" s="1" t="e">
        <f t="shared" si="461"/>
        <v>#VALUE!</v>
      </c>
      <c r="P2094" s="1" t="e">
        <f t="shared" si="462"/>
        <v>#VALUE!</v>
      </c>
      <c r="Q2094" s="1" t="e">
        <f t="shared" si="463"/>
        <v>#VALUE!</v>
      </c>
      <c r="R2094" s="1" t="e">
        <f t="shared" si="464"/>
        <v>#VALUE!</v>
      </c>
      <c r="S2094" s="1" t="e">
        <f t="shared" si="465"/>
        <v>#VALUE!</v>
      </c>
      <c r="T2094" s="1" t="e">
        <f t="shared" si="466"/>
        <v>#VALUE!</v>
      </c>
      <c r="U2094" s="26" t="e">
        <f t="shared" si="467"/>
        <v>#VALUE!</v>
      </c>
      <c r="V2094" s="26" t="e">
        <f t="shared" si="468"/>
        <v>#VALUE!</v>
      </c>
      <c r="W2094" s="1" t="e">
        <f t="shared" si="469"/>
        <v>#VALUE!</v>
      </c>
      <c r="X2094" s="26" t="e">
        <f t="shared" si="470"/>
        <v>#VALUE!</v>
      </c>
      <c r="Y2094" s="26" t="e">
        <f t="shared" si="471"/>
        <v>#VALUE!</v>
      </c>
      <c r="Z2094" s="1" t="e">
        <f t="shared" si="472"/>
        <v>#VALUE!</v>
      </c>
      <c r="AA2094"/>
      <c r="AB2094"/>
    </row>
    <row r="2095" spans="1:28" x14ac:dyDescent="0.55000000000000004">
      <c r="A2095" s="1">
        <f t="shared" si="459"/>
        <v>2095</v>
      </c>
      <c r="B2095" t="s">
        <v>33</v>
      </c>
      <c r="N2095" s="1" t="e">
        <f t="shared" si="460"/>
        <v>#VALUE!</v>
      </c>
      <c r="O2095" s="1" t="e">
        <f t="shared" si="461"/>
        <v>#VALUE!</v>
      </c>
      <c r="P2095" s="1" t="e">
        <f t="shared" si="462"/>
        <v>#VALUE!</v>
      </c>
      <c r="Q2095" s="1" t="e">
        <f t="shared" si="463"/>
        <v>#VALUE!</v>
      </c>
      <c r="R2095" s="1" t="e">
        <f t="shared" si="464"/>
        <v>#VALUE!</v>
      </c>
      <c r="S2095" s="1" t="e">
        <f t="shared" si="465"/>
        <v>#VALUE!</v>
      </c>
      <c r="T2095" s="1" t="e">
        <f t="shared" si="466"/>
        <v>#VALUE!</v>
      </c>
      <c r="U2095" s="26" t="e">
        <f t="shared" si="467"/>
        <v>#VALUE!</v>
      </c>
      <c r="V2095" s="26" t="e">
        <f t="shared" si="468"/>
        <v>#VALUE!</v>
      </c>
      <c r="W2095" s="1" t="e">
        <f t="shared" si="469"/>
        <v>#VALUE!</v>
      </c>
      <c r="X2095" s="26" t="e">
        <f t="shared" si="470"/>
        <v>#VALUE!</v>
      </c>
      <c r="Y2095" s="26" t="e">
        <f t="shared" si="471"/>
        <v>#VALUE!</v>
      </c>
      <c r="Z2095" s="1" t="e">
        <f t="shared" si="472"/>
        <v>#VALUE!</v>
      </c>
      <c r="AA2095"/>
      <c r="AB2095"/>
    </row>
    <row r="2096" spans="1:28" x14ac:dyDescent="0.55000000000000004">
      <c r="A2096" s="1">
        <f t="shared" si="459"/>
        <v>2096</v>
      </c>
      <c r="B2096" t="s">
        <v>33</v>
      </c>
      <c r="N2096" s="1" t="e">
        <f t="shared" si="460"/>
        <v>#VALUE!</v>
      </c>
      <c r="O2096" s="1" t="e">
        <f t="shared" si="461"/>
        <v>#VALUE!</v>
      </c>
      <c r="P2096" s="1" t="e">
        <f t="shared" si="462"/>
        <v>#VALUE!</v>
      </c>
      <c r="Q2096" s="1" t="e">
        <f t="shared" si="463"/>
        <v>#VALUE!</v>
      </c>
      <c r="R2096" s="1" t="e">
        <f t="shared" si="464"/>
        <v>#VALUE!</v>
      </c>
      <c r="S2096" s="1" t="e">
        <f t="shared" si="465"/>
        <v>#VALUE!</v>
      </c>
      <c r="T2096" s="1" t="e">
        <f t="shared" si="466"/>
        <v>#VALUE!</v>
      </c>
      <c r="U2096" s="26" t="e">
        <f t="shared" si="467"/>
        <v>#VALUE!</v>
      </c>
      <c r="V2096" s="26" t="e">
        <f t="shared" si="468"/>
        <v>#VALUE!</v>
      </c>
      <c r="W2096" s="1" t="e">
        <f t="shared" si="469"/>
        <v>#VALUE!</v>
      </c>
      <c r="X2096" s="26" t="e">
        <f t="shared" si="470"/>
        <v>#VALUE!</v>
      </c>
      <c r="Y2096" s="26" t="e">
        <f t="shared" si="471"/>
        <v>#VALUE!</v>
      </c>
      <c r="Z2096" s="1" t="e">
        <f t="shared" si="472"/>
        <v>#VALUE!</v>
      </c>
      <c r="AA2096"/>
      <c r="AB2096"/>
    </row>
    <row r="2097" spans="1:28" x14ac:dyDescent="0.55000000000000004">
      <c r="A2097" s="1">
        <f t="shared" si="459"/>
        <v>2097</v>
      </c>
      <c r="B2097" t="s">
        <v>33</v>
      </c>
      <c r="N2097" s="1" t="e">
        <f t="shared" si="460"/>
        <v>#VALUE!</v>
      </c>
      <c r="O2097" s="1" t="e">
        <f t="shared" si="461"/>
        <v>#VALUE!</v>
      </c>
      <c r="P2097" s="1" t="e">
        <f t="shared" si="462"/>
        <v>#VALUE!</v>
      </c>
      <c r="Q2097" s="1" t="e">
        <f t="shared" si="463"/>
        <v>#VALUE!</v>
      </c>
      <c r="R2097" s="1" t="e">
        <f t="shared" si="464"/>
        <v>#VALUE!</v>
      </c>
      <c r="S2097" s="1" t="e">
        <f t="shared" si="465"/>
        <v>#VALUE!</v>
      </c>
      <c r="T2097" s="1" t="e">
        <f t="shared" si="466"/>
        <v>#VALUE!</v>
      </c>
      <c r="U2097" s="26" t="e">
        <f t="shared" si="467"/>
        <v>#VALUE!</v>
      </c>
      <c r="V2097" s="26" t="e">
        <f t="shared" si="468"/>
        <v>#VALUE!</v>
      </c>
      <c r="W2097" s="1" t="e">
        <f t="shared" si="469"/>
        <v>#VALUE!</v>
      </c>
      <c r="X2097" s="26" t="e">
        <f t="shared" si="470"/>
        <v>#VALUE!</v>
      </c>
      <c r="Y2097" s="26" t="e">
        <f t="shared" si="471"/>
        <v>#VALUE!</v>
      </c>
      <c r="Z2097" s="1" t="e">
        <f t="shared" si="472"/>
        <v>#VALUE!</v>
      </c>
      <c r="AA2097"/>
      <c r="AB2097"/>
    </row>
    <row r="2098" spans="1:28" x14ac:dyDescent="0.55000000000000004">
      <c r="A2098" s="1">
        <f t="shared" si="459"/>
        <v>2098</v>
      </c>
      <c r="B2098" t="s">
        <v>33</v>
      </c>
      <c r="N2098" s="1" t="e">
        <f t="shared" si="460"/>
        <v>#VALUE!</v>
      </c>
      <c r="O2098" s="1" t="e">
        <f t="shared" si="461"/>
        <v>#VALUE!</v>
      </c>
      <c r="P2098" s="1" t="e">
        <f t="shared" si="462"/>
        <v>#VALUE!</v>
      </c>
      <c r="Q2098" s="1" t="e">
        <f t="shared" si="463"/>
        <v>#VALUE!</v>
      </c>
      <c r="R2098" s="1" t="e">
        <f t="shared" si="464"/>
        <v>#VALUE!</v>
      </c>
      <c r="S2098" s="1" t="e">
        <f t="shared" si="465"/>
        <v>#VALUE!</v>
      </c>
      <c r="T2098" s="1" t="e">
        <f t="shared" si="466"/>
        <v>#VALUE!</v>
      </c>
      <c r="U2098" s="26" t="e">
        <f t="shared" si="467"/>
        <v>#VALUE!</v>
      </c>
      <c r="V2098" s="26" t="e">
        <f t="shared" si="468"/>
        <v>#VALUE!</v>
      </c>
      <c r="W2098" s="1" t="e">
        <f t="shared" si="469"/>
        <v>#VALUE!</v>
      </c>
      <c r="X2098" s="26" t="e">
        <f t="shared" si="470"/>
        <v>#VALUE!</v>
      </c>
      <c r="Y2098" s="26" t="e">
        <f t="shared" si="471"/>
        <v>#VALUE!</v>
      </c>
      <c r="Z2098" s="1" t="e">
        <f t="shared" si="472"/>
        <v>#VALUE!</v>
      </c>
      <c r="AA2098"/>
      <c r="AB2098"/>
    </row>
    <row r="2099" spans="1:28" x14ac:dyDescent="0.55000000000000004">
      <c r="A2099" s="1">
        <f t="shared" si="459"/>
        <v>2099</v>
      </c>
      <c r="B2099" t="s">
        <v>33</v>
      </c>
      <c r="N2099" s="1" t="e">
        <f t="shared" si="460"/>
        <v>#VALUE!</v>
      </c>
      <c r="O2099" s="1" t="e">
        <f t="shared" si="461"/>
        <v>#VALUE!</v>
      </c>
      <c r="P2099" s="1" t="e">
        <f t="shared" si="462"/>
        <v>#VALUE!</v>
      </c>
      <c r="Q2099" s="1" t="e">
        <f t="shared" si="463"/>
        <v>#VALUE!</v>
      </c>
      <c r="R2099" s="1" t="e">
        <f t="shared" si="464"/>
        <v>#VALUE!</v>
      </c>
      <c r="S2099" s="1" t="e">
        <f t="shared" si="465"/>
        <v>#VALUE!</v>
      </c>
      <c r="T2099" s="1" t="e">
        <f t="shared" si="466"/>
        <v>#VALUE!</v>
      </c>
      <c r="U2099" s="26" t="e">
        <f t="shared" si="467"/>
        <v>#VALUE!</v>
      </c>
      <c r="V2099" s="26" t="e">
        <f t="shared" si="468"/>
        <v>#VALUE!</v>
      </c>
      <c r="W2099" s="1" t="e">
        <f t="shared" si="469"/>
        <v>#VALUE!</v>
      </c>
      <c r="X2099" s="26" t="e">
        <f t="shared" si="470"/>
        <v>#VALUE!</v>
      </c>
      <c r="Y2099" s="26" t="e">
        <f t="shared" si="471"/>
        <v>#VALUE!</v>
      </c>
      <c r="Z2099" s="1" t="e">
        <f t="shared" si="472"/>
        <v>#VALUE!</v>
      </c>
      <c r="AA2099"/>
      <c r="AB2099"/>
    </row>
    <row r="2100" spans="1:28" x14ac:dyDescent="0.55000000000000004">
      <c r="A2100" s="1">
        <f t="shared" si="459"/>
        <v>2100</v>
      </c>
      <c r="B2100" t="s">
        <v>33</v>
      </c>
      <c r="N2100" s="1" t="e">
        <f t="shared" si="460"/>
        <v>#VALUE!</v>
      </c>
      <c r="O2100" s="1" t="e">
        <f t="shared" si="461"/>
        <v>#VALUE!</v>
      </c>
      <c r="P2100" s="1" t="e">
        <f t="shared" si="462"/>
        <v>#VALUE!</v>
      </c>
      <c r="Q2100" s="1" t="e">
        <f t="shared" si="463"/>
        <v>#VALUE!</v>
      </c>
      <c r="R2100" s="1" t="e">
        <f t="shared" si="464"/>
        <v>#VALUE!</v>
      </c>
      <c r="S2100" s="1" t="e">
        <f t="shared" si="465"/>
        <v>#VALUE!</v>
      </c>
      <c r="T2100" s="1" t="e">
        <f t="shared" si="466"/>
        <v>#VALUE!</v>
      </c>
      <c r="U2100" s="26" t="e">
        <f t="shared" si="467"/>
        <v>#VALUE!</v>
      </c>
      <c r="V2100" s="26" t="e">
        <f t="shared" si="468"/>
        <v>#VALUE!</v>
      </c>
      <c r="W2100" s="1" t="e">
        <f t="shared" si="469"/>
        <v>#VALUE!</v>
      </c>
      <c r="X2100" s="26" t="e">
        <f t="shared" si="470"/>
        <v>#VALUE!</v>
      </c>
      <c r="Y2100" s="26" t="e">
        <f t="shared" si="471"/>
        <v>#VALUE!</v>
      </c>
      <c r="Z2100" s="1" t="e">
        <f t="shared" si="472"/>
        <v>#VALUE!</v>
      </c>
      <c r="AA2100"/>
      <c r="AB2100"/>
    </row>
    <row r="2101" spans="1:28" x14ac:dyDescent="0.55000000000000004">
      <c r="A2101" s="1">
        <f t="shared" si="459"/>
        <v>2101</v>
      </c>
      <c r="B2101" t="s">
        <v>33</v>
      </c>
      <c r="N2101" s="1" t="e">
        <f t="shared" si="460"/>
        <v>#VALUE!</v>
      </c>
      <c r="O2101" s="1" t="e">
        <f t="shared" si="461"/>
        <v>#VALUE!</v>
      </c>
      <c r="P2101" s="1" t="e">
        <f t="shared" si="462"/>
        <v>#VALUE!</v>
      </c>
      <c r="Q2101" s="1" t="e">
        <f t="shared" si="463"/>
        <v>#VALUE!</v>
      </c>
      <c r="R2101" s="1" t="e">
        <f t="shared" si="464"/>
        <v>#VALUE!</v>
      </c>
      <c r="S2101" s="1" t="e">
        <f t="shared" si="465"/>
        <v>#VALUE!</v>
      </c>
      <c r="T2101" s="1" t="e">
        <f t="shared" si="466"/>
        <v>#VALUE!</v>
      </c>
      <c r="U2101" s="26" t="e">
        <f t="shared" si="467"/>
        <v>#VALUE!</v>
      </c>
      <c r="V2101" s="26" t="e">
        <f t="shared" si="468"/>
        <v>#VALUE!</v>
      </c>
      <c r="W2101" s="1" t="e">
        <f t="shared" si="469"/>
        <v>#VALUE!</v>
      </c>
      <c r="X2101" s="26" t="e">
        <f t="shared" si="470"/>
        <v>#VALUE!</v>
      </c>
      <c r="Y2101" s="26" t="e">
        <f t="shared" si="471"/>
        <v>#VALUE!</v>
      </c>
      <c r="Z2101" s="1" t="e">
        <f t="shared" si="472"/>
        <v>#VALUE!</v>
      </c>
      <c r="AA2101"/>
      <c r="AB2101"/>
    </row>
    <row r="2102" spans="1:28" x14ac:dyDescent="0.55000000000000004">
      <c r="A2102" s="1">
        <f t="shared" si="459"/>
        <v>2102</v>
      </c>
      <c r="B2102" t="s">
        <v>33</v>
      </c>
      <c r="N2102" s="1" t="e">
        <f t="shared" si="460"/>
        <v>#VALUE!</v>
      </c>
      <c r="O2102" s="1" t="e">
        <f t="shared" si="461"/>
        <v>#VALUE!</v>
      </c>
      <c r="P2102" s="1" t="e">
        <f t="shared" si="462"/>
        <v>#VALUE!</v>
      </c>
      <c r="Q2102" s="1" t="e">
        <f t="shared" si="463"/>
        <v>#VALUE!</v>
      </c>
      <c r="R2102" s="1" t="e">
        <f t="shared" si="464"/>
        <v>#VALUE!</v>
      </c>
      <c r="S2102" s="1" t="e">
        <f t="shared" si="465"/>
        <v>#VALUE!</v>
      </c>
      <c r="T2102" s="1" t="e">
        <f t="shared" si="466"/>
        <v>#VALUE!</v>
      </c>
      <c r="U2102" s="26" t="e">
        <f t="shared" si="467"/>
        <v>#VALUE!</v>
      </c>
      <c r="V2102" s="26" t="e">
        <f t="shared" si="468"/>
        <v>#VALUE!</v>
      </c>
      <c r="W2102" s="1" t="e">
        <f t="shared" si="469"/>
        <v>#VALUE!</v>
      </c>
      <c r="X2102" s="26" t="e">
        <f t="shared" si="470"/>
        <v>#VALUE!</v>
      </c>
      <c r="Y2102" s="26" t="e">
        <f t="shared" si="471"/>
        <v>#VALUE!</v>
      </c>
      <c r="Z2102" s="1" t="e">
        <f t="shared" si="472"/>
        <v>#VALUE!</v>
      </c>
      <c r="AA2102"/>
      <c r="AB2102"/>
    </row>
    <row r="2103" spans="1:28" x14ac:dyDescent="0.55000000000000004">
      <c r="A2103" s="1">
        <f t="shared" si="459"/>
        <v>2103</v>
      </c>
      <c r="B2103" t="s">
        <v>33</v>
      </c>
      <c r="N2103" s="1" t="e">
        <f t="shared" si="460"/>
        <v>#VALUE!</v>
      </c>
      <c r="O2103" s="1" t="e">
        <f t="shared" si="461"/>
        <v>#VALUE!</v>
      </c>
      <c r="P2103" s="1" t="e">
        <f t="shared" si="462"/>
        <v>#VALUE!</v>
      </c>
      <c r="Q2103" s="1" t="e">
        <f t="shared" si="463"/>
        <v>#VALUE!</v>
      </c>
      <c r="R2103" s="1" t="e">
        <f t="shared" si="464"/>
        <v>#VALUE!</v>
      </c>
      <c r="S2103" s="1" t="e">
        <f t="shared" si="465"/>
        <v>#VALUE!</v>
      </c>
      <c r="T2103" s="1" t="e">
        <f t="shared" si="466"/>
        <v>#VALUE!</v>
      </c>
      <c r="U2103" s="26" t="e">
        <f t="shared" si="467"/>
        <v>#VALUE!</v>
      </c>
      <c r="V2103" s="26" t="e">
        <f t="shared" si="468"/>
        <v>#VALUE!</v>
      </c>
      <c r="W2103" s="1" t="e">
        <f t="shared" si="469"/>
        <v>#VALUE!</v>
      </c>
      <c r="X2103" s="26" t="e">
        <f t="shared" si="470"/>
        <v>#VALUE!</v>
      </c>
      <c r="Y2103" s="26" t="e">
        <f t="shared" si="471"/>
        <v>#VALUE!</v>
      </c>
      <c r="Z2103" s="1" t="e">
        <f t="shared" si="472"/>
        <v>#VALUE!</v>
      </c>
      <c r="AA2103"/>
      <c r="AB2103"/>
    </row>
    <row r="2104" spans="1:28" x14ac:dyDescent="0.55000000000000004">
      <c r="A2104" s="1">
        <f t="shared" si="459"/>
        <v>2104</v>
      </c>
      <c r="B2104" t="s">
        <v>33</v>
      </c>
      <c r="N2104" s="1" t="e">
        <f t="shared" si="460"/>
        <v>#VALUE!</v>
      </c>
      <c r="O2104" s="1" t="e">
        <f t="shared" si="461"/>
        <v>#VALUE!</v>
      </c>
      <c r="P2104" s="1" t="e">
        <f t="shared" si="462"/>
        <v>#VALUE!</v>
      </c>
      <c r="Q2104" s="1" t="e">
        <f t="shared" si="463"/>
        <v>#VALUE!</v>
      </c>
      <c r="R2104" s="1" t="e">
        <f t="shared" si="464"/>
        <v>#VALUE!</v>
      </c>
      <c r="S2104" s="1" t="e">
        <f t="shared" si="465"/>
        <v>#VALUE!</v>
      </c>
      <c r="T2104" s="1" t="e">
        <f t="shared" si="466"/>
        <v>#VALUE!</v>
      </c>
      <c r="U2104" s="26" t="e">
        <f t="shared" si="467"/>
        <v>#VALUE!</v>
      </c>
      <c r="V2104" s="26" t="e">
        <f t="shared" si="468"/>
        <v>#VALUE!</v>
      </c>
      <c r="W2104" s="1" t="e">
        <f t="shared" si="469"/>
        <v>#VALUE!</v>
      </c>
      <c r="X2104" s="26" t="e">
        <f t="shared" si="470"/>
        <v>#VALUE!</v>
      </c>
      <c r="Y2104" s="26" t="e">
        <f t="shared" si="471"/>
        <v>#VALUE!</v>
      </c>
      <c r="Z2104" s="1" t="e">
        <f t="shared" si="472"/>
        <v>#VALUE!</v>
      </c>
      <c r="AA2104"/>
      <c r="AB2104"/>
    </row>
    <row r="2105" spans="1:28" x14ac:dyDescent="0.55000000000000004">
      <c r="A2105" s="1">
        <f t="shared" si="459"/>
        <v>2105</v>
      </c>
      <c r="B2105" t="s">
        <v>33</v>
      </c>
      <c r="N2105" s="1" t="e">
        <f t="shared" si="460"/>
        <v>#VALUE!</v>
      </c>
      <c r="O2105" s="1" t="e">
        <f t="shared" si="461"/>
        <v>#VALUE!</v>
      </c>
      <c r="P2105" s="1" t="e">
        <f t="shared" si="462"/>
        <v>#VALUE!</v>
      </c>
      <c r="Q2105" s="1" t="e">
        <f t="shared" si="463"/>
        <v>#VALUE!</v>
      </c>
      <c r="R2105" s="1" t="e">
        <f t="shared" si="464"/>
        <v>#VALUE!</v>
      </c>
      <c r="S2105" s="1" t="e">
        <f t="shared" si="465"/>
        <v>#VALUE!</v>
      </c>
      <c r="T2105" s="1" t="e">
        <f t="shared" si="466"/>
        <v>#VALUE!</v>
      </c>
      <c r="U2105" s="26" t="e">
        <f t="shared" si="467"/>
        <v>#VALUE!</v>
      </c>
      <c r="V2105" s="26" t="e">
        <f t="shared" si="468"/>
        <v>#VALUE!</v>
      </c>
      <c r="W2105" s="1" t="e">
        <f t="shared" si="469"/>
        <v>#VALUE!</v>
      </c>
      <c r="X2105" s="26" t="e">
        <f t="shared" si="470"/>
        <v>#VALUE!</v>
      </c>
      <c r="Y2105" s="26" t="e">
        <f t="shared" si="471"/>
        <v>#VALUE!</v>
      </c>
      <c r="Z2105" s="1" t="e">
        <f t="shared" si="472"/>
        <v>#VALUE!</v>
      </c>
      <c r="AA2105"/>
      <c r="AB2105"/>
    </row>
    <row r="2106" spans="1:28" x14ac:dyDescent="0.55000000000000004">
      <c r="A2106" s="1">
        <f t="shared" si="459"/>
        <v>2106</v>
      </c>
      <c r="B2106" t="s">
        <v>33</v>
      </c>
      <c r="N2106" s="1" t="e">
        <f t="shared" si="460"/>
        <v>#VALUE!</v>
      </c>
      <c r="O2106" s="1" t="e">
        <f t="shared" si="461"/>
        <v>#VALUE!</v>
      </c>
      <c r="P2106" s="1" t="e">
        <f t="shared" si="462"/>
        <v>#VALUE!</v>
      </c>
      <c r="Q2106" s="1" t="e">
        <f t="shared" si="463"/>
        <v>#VALUE!</v>
      </c>
      <c r="R2106" s="1" t="e">
        <f t="shared" si="464"/>
        <v>#VALUE!</v>
      </c>
      <c r="S2106" s="1" t="e">
        <f t="shared" si="465"/>
        <v>#VALUE!</v>
      </c>
      <c r="T2106" s="1" t="e">
        <f t="shared" si="466"/>
        <v>#VALUE!</v>
      </c>
      <c r="U2106" s="26" t="e">
        <f t="shared" si="467"/>
        <v>#VALUE!</v>
      </c>
      <c r="V2106" s="26" t="e">
        <f t="shared" si="468"/>
        <v>#VALUE!</v>
      </c>
      <c r="W2106" s="1" t="e">
        <f t="shared" si="469"/>
        <v>#VALUE!</v>
      </c>
      <c r="X2106" s="26" t="e">
        <f t="shared" si="470"/>
        <v>#VALUE!</v>
      </c>
      <c r="Y2106" s="26" t="e">
        <f t="shared" si="471"/>
        <v>#VALUE!</v>
      </c>
      <c r="Z2106" s="1" t="e">
        <f t="shared" si="472"/>
        <v>#VALUE!</v>
      </c>
      <c r="AA2106"/>
      <c r="AB2106"/>
    </row>
    <row r="2107" spans="1:28" x14ac:dyDescent="0.55000000000000004">
      <c r="A2107" s="1">
        <f t="shared" si="459"/>
        <v>2107</v>
      </c>
      <c r="B2107" t="s">
        <v>33</v>
      </c>
      <c r="N2107" s="1" t="e">
        <f t="shared" si="460"/>
        <v>#VALUE!</v>
      </c>
      <c r="O2107" s="1" t="e">
        <f t="shared" si="461"/>
        <v>#VALUE!</v>
      </c>
      <c r="P2107" s="1" t="e">
        <f t="shared" si="462"/>
        <v>#VALUE!</v>
      </c>
      <c r="Q2107" s="1" t="e">
        <f t="shared" si="463"/>
        <v>#VALUE!</v>
      </c>
      <c r="R2107" s="1" t="e">
        <f t="shared" si="464"/>
        <v>#VALUE!</v>
      </c>
      <c r="S2107" s="1" t="e">
        <f t="shared" si="465"/>
        <v>#VALUE!</v>
      </c>
      <c r="T2107" s="1" t="e">
        <f t="shared" si="466"/>
        <v>#VALUE!</v>
      </c>
      <c r="U2107" s="26" t="e">
        <f t="shared" si="467"/>
        <v>#VALUE!</v>
      </c>
      <c r="V2107" s="26" t="e">
        <f t="shared" si="468"/>
        <v>#VALUE!</v>
      </c>
      <c r="W2107" s="1" t="e">
        <f t="shared" si="469"/>
        <v>#VALUE!</v>
      </c>
      <c r="X2107" s="26" t="e">
        <f t="shared" si="470"/>
        <v>#VALUE!</v>
      </c>
      <c r="Y2107" s="26" t="e">
        <f t="shared" si="471"/>
        <v>#VALUE!</v>
      </c>
      <c r="Z2107" s="1" t="e">
        <f t="shared" si="472"/>
        <v>#VALUE!</v>
      </c>
      <c r="AA2107"/>
      <c r="AB2107"/>
    </row>
    <row r="2108" spans="1:28" x14ac:dyDescent="0.55000000000000004">
      <c r="A2108" s="1">
        <f t="shared" si="459"/>
        <v>2108</v>
      </c>
      <c r="B2108" t="s">
        <v>33</v>
      </c>
      <c r="N2108" s="1" t="e">
        <f t="shared" si="460"/>
        <v>#VALUE!</v>
      </c>
      <c r="O2108" s="1" t="e">
        <f t="shared" si="461"/>
        <v>#VALUE!</v>
      </c>
      <c r="P2108" s="1" t="e">
        <f t="shared" si="462"/>
        <v>#VALUE!</v>
      </c>
      <c r="Q2108" s="1" t="e">
        <f t="shared" si="463"/>
        <v>#VALUE!</v>
      </c>
      <c r="R2108" s="1" t="e">
        <f t="shared" si="464"/>
        <v>#VALUE!</v>
      </c>
      <c r="S2108" s="1" t="e">
        <f t="shared" si="465"/>
        <v>#VALUE!</v>
      </c>
      <c r="T2108" s="1" t="e">
        <f t="shared" si="466"/>
        <v>#VALUE!</v>
      </c>
      <c r="U2108" s="26" t="e">
        <f t="shared" si="467"/>
        <v>#VALUE!</v>
      </c>
      <c r="V2108" s="26" t="e">
        <f t="shared" si="468"/>
        <v>#VALUE!</v>
      </c>
      <c r="W2108" s="1" t="e">
        <f t="shared" si="469"/>
        <v>#VALUE!</v>
      </c>
      <c r="X2108" s="26" t="e">
        <f t="shared" si="470"/>
        <v>#VALUE!</v>
      </c>
      <c r="Y2108" s="26" t="e">
        <f t="shared" si="471"/>
        <v>#VALUE!</v>
      </c>
      <c r="Z2108" s="1" t="e">
        <f t="shared" si="472"/>
        <v>#VALUE!</v>
      </c>
      <c r="AA2108"/>
      <c r="AB2108"/>
    </row>
    <row r="2109" spans="1:28" x14ac:dyDescent="0.55000000000000004">
      <c r="A2109" s="1">
        <f t="shared" si="459"/>
        <v>2109</v>
      </c>
      <c r="B2109" t="s">
        <v>33</v>
      </c>
      <c r="N2109" s="1" t="e">
        <f t="shared" si="460"/>
        <v>#VALUE!</v>
      </c>
      <c r="O2109" s="1" t="e">
        <f t="shared" si="461"/>
        <v>#VALUE!</v>
      </c>
      <c r="P2109" s="1" t="e">
        <f t="shared" si="462"/>
        <v>#VALUE!</v>
      </c>
      <c r="Q2109" s="1" t="e">
        <f t="shared" si="463"/>
        <v>#VALUE!</v>
      </c>
      <c r="R2109" s="1" t="e">
        <f t="shared" si="464"/>
        <v>#VALUE!</v>
      </c>
      <c r="S2109" s="1" t="e">
        <f t="shared" si="465"/>
        <v>#VALUE!</v>
      </c>
      <c r="T2109" s="1" t="e">
        <f t="shared" si="466"/>
        <v>#VALUE!</v>
      </c>
      <c r="U2109" s="26" t="e">
        <f t="shared" si="467"/>
        <v>#VALUE!</v>
      </c>
      <c r="V2109" s="26" t="e">
        <f t="shared" si="468"/>
        <v>#VALUE!</v>
      </c>
      <c r="W2109" s="1" t="e">
        <f t="shared" si="469"/>
        <v>#VALUE!</v>
      </c>
      <c r="X2109" s="26" t="e">
        <f t="shared" si="470"/>
        <v>#VALUE!</v>
      </c>
      <c r="Y2109" s="26" t="e">
        <f t="shared" si="471"/>
        <v>#VALUE!</v>
      </c>
      <c r="Z2109" s="1" t="e">
        <f t="shared" si="472"/>
        <v>#VALUE!</v>
      </c>
      <c r="AA2109"/>
      <c r="AB2109"/>
    </row>
    <row r="2110" spans="1:28" x14ac:dyDescent="0.55000000000000004">
      <c r="A2110" s="1">
        <f t="shared" si="459"/>
        <v>2110</v>
      </c>
      <c r="B2110" t="s">
        <v>33</v>
      </c>
      <c r="N2110" s="1" t="e">
        <f t="shared" si="460"/>
        <v>#VALUE!</v>
      </c>
      <c r="O2110" s="1" t="e">
        <f t="shared" si="461"/>
        <v>#VALUE!</v>
      </c>
      <c r="P2110" s="1" t="e">
        <f t="shared" si="462"/>
        <v>#VALUE!</v>
      </c>
      <c r="Q2110" s="1" t="e">
        <f t="shared" si="463"/>
        <v>#VALUE!</v>
      </c>
      <c r="R2110" s="1" t="e">
        <f t="shared" si="464"/>
        <v>#VALUE!</v>
      </c>
      <c r="S2110" s="1" t="e">
        <f t="shared" si="465"/>
        <v>#VALUE!</v>
      </c>
      <c r="T2110" s="1" t="e">
        <f t="shared" si="466"/>
        <v>#VALUE!</v>
      </c>
      <c r="U2110" s="26" t="e">
        <f t="shared" si="467"/>
        <v>#VALUE!</v>
      </c>
      <c r="V2110" s="26" t="e">
        <f t="shared" si="468"/>
        <v>#VALUE!</v>
      </c>
      <c r="W2110" s="1" t="e">
        <f t="shared" si="469"/>
        <v>#VALUE!</v>
      </c>
      <c r="X2110" s="26" t="e">
        <f t="shared" si="470"/>
        <v>#VALUE!</v>
      </c>
      <c r="Y2110" s="26" t="e">
        <f t="shared" si="471"/>
        <v>#VALUE!</v>
      </c>
      <c r="Z2110" s="1" t="e">
        <f t="shared" si="472"/>
        <v>#VALUE!</v>
      </c>
      <c r="AA2110"/>
      <c r="AB2110"/>
    </row>
    <row r="2111" spans="1:28" x14ac:dyDescent="0.55000000000000004">
      <c r="A2111" s="1">
        <f t="shared" si="459"/>
        <v>2111</v>
      </c>
      <c r="B2111" t="s">
        <v>33</v>
      </c>
      <c r="N2111" s="1" t="e">
        <f t="shared" si="460"/>
        <v>#VALUE!</v>
      </c>
      <c r="O2111" s="1" t="e">
        <f t="shared" si="461"/>
        <v>#VALUE!</v>
      </c>
      <c r="P2111" s="1" t="e">
        <f t="shared" si="462"/>
        <v>#VALUE!</v>
      </c>
      <c r="Q2111" s="1" t="e">
        <f t="shared" si="463"/>
        <v>#VALUE!</v>
      </c>
      <c r="R2111" s="1" t="e">
        <f t="shared" si="464"/>
        <v>#VALUE!</v>
      </c>
      <c r="S2111" s="1" t="e">
        <f t="shared" si="465"/>
        <v>#VALUE!</v>
      </c>
      <c r="T2111" s="1" t="e">
        <f t="shared" si="466"/>
        <v>#VALUE!</v>
      </c>
      <c r="U2111" s="26" t="e">
        <f t="shared" si="467"/>
        <v>#VALUE!</v>
      </c>
      <c r="V2111" s="26" t="e">
        <f t="shared" si="468"/>
        <v>#VALUE!</v>
      </c>
      <c r="W2111" s="1" t="e">
        <f t="shared" si="469"/>
        <v>#VALUE!</v>
      </c>
      <c r="X2111" s="26" t="e">
        <f t="shared" si="470"/>
        <v>#VALUE!</v>
      </c>
      <c r="Y2111" s="26" t="e">
        <f t="shared" si="471"/>
        <v>#VALUE!</v>
      </c>
      <c r="Z2111" s="1" t="e">
        <f t="shared" si="472"/>
        <v>#VALUE!</v>
      </c>
      <c r="AA2111"/>
      <c r="AB2111"/>
    </row>
    <row r="2112" spans="1:28" x14ac:dyDescent="0.55000000000000004">
      <c r="A2112" s="1">
        <f t="shared" si="459"/>
        <v>2112</v>
      </c>
      <c r="B2112" t="s">
        <v>34</v>
      </c>
      <c r="N2112" s="1" t="e">
        <f t="shared" si="460"/>
        <v>#VALUE!</v>
      </c>
      <c r="O2112" s="1" t="e">
        <f t="shared" si="461"/>
        <v>#VALUE!</v>
      </c>
      <c r="P2112" s="1" t="e">
        <f t="shared" si="462"/>
        <v>#VALUE!</v>
      </c>
      <c r="Q2112" s="1" t="e">
        <f t="shared" si="463"/>
        <v>#VALUE!</v>
      </c>
      <c r="R2112" s="1" t="e">
        <f t="shared" si="464"/>
        <v>#VALUE!</v>
      </c>
      <c r="S2112" s="1" t="e">
        <f t="shared" si="465"/>
        <v>#VALUE!</v>
      </c>
      <c r="T2112" s="1" t="e">
        <f t="shared" si="466"/>
        <v>#VALUE!</v>
      </c>
      <c r="U2112" s="26" t="e">
        <f t="shared" si="467"/>
        <v>#VALUE!</v>
      </c>
      <c r="V2112" s="26" t="e">
        <f t="shared" si="468"/>
        <v>#VALUE!</v>
      </c>
      <c r="W2112" s="1" t="e">
        <f t="shared" si="469"/>
        <v>#VALUE!</v>
      </c>
      <c r="X2112" s="26" t="e">
        <f t="shared" si="470"/>
        <v>#VALUE!</v>
      </c>
      <c r="Y2112" s="26" t="e">
        <f t="shared" si="471"/>
        <v>#VALUE!</v>
      </c>
      <c r="Z2112" s="1" t="e">
        <f t="shared" si="472"/>
        <v>#VALUE!</v>
      </c>
      <c r="AA2112"/>
      <c r="AB2112"/>
    </row>
    <row r="2113" spans="1:28" x14ac:dyDescent="0.55000000000000004">
      <c r="A2113" s="1">
        <f t="shared" si="459"/>
        <v>2113</v>
      </c>
      <c r="B2113" t="s">
        <v>34</v>
      </c>
      <c r="N2113" s="1" t="e">
        <f t="shared" si="460"/>
        <v>#VALUE!</v>
      </c>
      <c r="O2113" s="1" t="e">
        <f t="shared" si="461"/>
        <v>#VALUE!</v>
      </c>
      <c r="P2113" s="1" t="e">
        <f t="shared" si="462"/>
        <v>#VALUE!</v>
      </c>
      <c r="Q2113" s="1" t="e">
        <f t="shared" si="463"/>
        <v>#VALUE!</v>
      </c>
      <c r="R2113" s="1" t="e">
        <f t="shared" si="464"/>
        <v>#VALUE!</v>
      </c>
      <c r="S2113" s="1" t="e">
        <f t="shared" si="465"/>
        <v>#VALUE!</v>
      </c>
      <c r="T2113" s="1" t="e">
        <f t="shared" si="466"/>
        <v>#VALUE!</v>
      </c>
      <c r="U2113" s="26" t="e">
        <f t="shared" si="467"/>
        <v>#VALUE!</v>
      </c>
      <c r="V2113" s="26" t="e">
        <f t="shared" si="468"/>
        <v>#VALUE!</v>
      </c>
      <c r="W2113" s="1" t="e">
        <f t="shared" si="469"/>
        <v>#VALUE!</v>
      </c>
      <c r="X2113" s="26" t="e">
        <f t="shared" si="470"/>
        <v>#VALUE!</v>
      </c>
      <c r="Y2113" s="26" t="e">
        <f t="shared" si="471"/>
        <v>#VALUE!</v>
      </c>
      <c r="Z2113" s="1" t="e">
        <f t="shared" si="472"/>
        <v>#VALUE!</v>
      </c>
      <c r="AA2113"/>
      <c r="AB2113"/>
    </row>
    <row r="2114" spans="1:28" x14ac:dyDescent="0.55000000000000004">
      <c r="A2114" s="1">
        <f t="shared" si="459"/>
        <v>2114</v>
      </c>
      <c r="B2114" t="s">
        <v>34</v>
      </c>
      <c r="N2114" s="1" t="e">
        <f t="shared" si="460"/>
        <v>#VALUE!</v>
      </c>
      <c r="O2114" s="1" t="e">
        <f t="shared" si="461"/>
        <v>#VALUE!</v>
      </c>
      <c r="P2114" s="1" t="e">
        <f t="shared" si="462"/>
        <v>#VALUE!</v>
      </c>
      <c r="Q2114" s="1" t="e">
        <f t="shared" si="463"/>
        <v>#VALUE!</v>
      </c>
      <c r="R2114" s="1" t="e">
        <f t="shared" si="464"/>
        <v>#VALUE!</v>
      </c>
      <c r="S2114" s="1" t="e">
        <f t="shared" si="465"/>
        <v>#VALUE!</v>
      </c>
      <c r="T2114" s="1" t="e">
        <f t="shared" si="466"/>
        <v>#VALUE!</v>
      </c>
      <c r="U2114" s="26" t="e">
        <f t="shared" si="467"/>
        <v>#VALUE!</v>
      </c>
      <c r="V2114" s="26" t="e">
        <f t="shared" si="468"/>
        <v>#VALUE!</v>
      </c>
      <c r="W2114" s="1" t="e">
        <f t="shared" si="469"/>
        <v>#VALUE!</v>
      </c>
      <c r="X2114" s="26" t="e">
        <f t="shared" si="470"/>
        <v>#VALUE!</v>
      </c>
      <c r="Y2114" s="26" t="e">
        <f t="shared" si="471"/>
        <v>#VALUE!</v>
      </c>
      <c r="Z2114" s="1" t="e">
        <f t="shared" si="472"/>
        <v>#VALUE!</v>
      </c>
      <c r="AA2114"/>
      <c r="AB2114"/>
    </row>
    <row r="2115" spans="1:28" x14ac:dyDescent="0.55000000000000004">
      <c r="A2115" s="1">
        <f t="shared" ref="A2115:A2178" si="473">A2114+1</f>
        <v>2115</v>
      </c>
      <c r="B2115" t="s">
        <v>34</v>
      </c>
      <c r="N2115" s="1" t="e">
        <f t="shared" ref="N2115:N2178" si="474">VALUE(LEFT(H2115,1))</f>
        <v>#VALUE!</v>
      </c>
      <c r="O2115" s="1" t="e">
        <f t="shared" ref="O2115:O2178" si="475">VALUE(RIGHT(H2115,1))</f>
        <v>#VALUE!</v>
      </c>
      <c r="P2115" s="1" t="e">
        <f t="shared" ref="P2115:P2178" si="476">SUM(N2115,O2115)</f>
        <v>#VALUE!</v>
      </c>
      <c r="Q2115" s="1" t="e">
        <f t="shared" ref="Q2115:Q2178" si="477">IF(N2115&lt;&gt;O2115, 1, 0)</f>
        <v>#VALUE!</v>
      </c>
      <c r="R2115" s="1" t="e">
        <f t="shared" ref="R2115:R2178" si="478">IF(P2115&lt;=4,1,0)</f>
        <v>#VALUE!</v>
      </c>
      <c r="S2115" s="1" t="e">
        <f t="shared" ref="S2115:S2178" si="479">IF(AND(Q2115=1,R2115=1),1,0)</f>
        <v>#VALUE!</v>
      </c>
      <c r="T2115" s="1" t="e">
        <f t="shared" ref="T2115:T2178" si="480">IF(N2115&lt;=2,1,0)</f>
        <v>#VALUE!</v>
      </c>
      <c r="U2115" s="26" t="e">
        <f t="shared" ref="U2115:U2178" si="481">IF(AND(N2115&gt;=1,N2115&lt;=3),1,0)</f>
        <v>#VALUE!</v>
      </c>
      <c r="V2115" s="26" t="e">
        <f t="shared" ref="V2115:V2178" si="482">IF(AND(N2115&gt;=2,N2115&lt;=5),1,0)</f>
        <v>#VALUE!</v>
      </c>
      <c r="W2115" s="1" t="e">
        <f t="shared" ref="W2115:W2178" si="483">IF(O2115&lt;=2,1,0)</f>
        <v>#VALUE!</v>
      </c>
      <c r="X2115" s="26" t="e">
        <f t="shared" ref="X2115:X2178" si="484">IF(AND(O2115&gt;=1,O2115&lt;=3),1,0)</f>
        <v>#VALUE!</v>
      </c>
      <c r="Y2115" s="26" t="e">
        <f t="shared" ref="Y2115:Y2178" si="485">IF(AND(O2115&gt;=2,O2115&lt;=5),1,0)</f>
        <v>#VALUE!</v>
      </c>
      <c r="Z2115" s="1" t="e">
        <f t="shared" ref="Z2115:Z2178" si="486">IF(P2115&gt;=2,1,0)</f>
        <v>#VALUE!</v>
      </c>
      <c r="AA2115"/>
      <c r="AB2115"/>
    </row>
    <row r="2116" spans="1:28" x14ac:dyDescent="0.55000000000000004">
      <c r="A2116" s="1">
        <f t="shared" si="473"/>
        <v>2116</v>
      </c>
      <c r="B2116" t="s">
        <v>34</v>
      </c>
      <c r="N2116" s="1" t="e">
        <f t="shared" si="474"/>
        <v>#VALUE!</v>
      </c>
      <c r="O2116" s="1" t="e">
        <f t="shared" si="475"/>
        <v>#VALUE!</v>
      </c>
      <c r="P2116" s="1" t="e">
        <f t="shared" si="476"/>
        <v>#VALUE!</v>
      </c>
      <c r="Q2116" s="1" t="e">
        <f t="shared" si="477"/>
        <v>#VALUE!</v>
      </c>
      <c r="R2116" s="1" t="e">
        <f t="shared" si="478"/>
        <v>#VALUE!</v>
      </c>
      <c r="S2116" s="1" t="e">
        <f t="shared" si="479"/>
        <v>#VALUE!</v>
      </c>
      <c r="T2116" s="1" t="e">
        <f t="shared" si="480"/>
        <v>#VALUE!</v>
      </c>
      <c r="U2116" s="26" t="e">
        <f t="shared" si="481"/>
        <v>#VALUE!</v>
      </c>
      <c r="V2116" s="26" t="e">
        <f t="shared" si="482"/>
        <v>#VALUE!</v>
      </c>
      <c r="W2116" s="1" t="e">
        <f t="shared" si="483"/>
        <v>#VALUE!</v>
      </c>
      <c r="X2116" s="26" t="e">
        <f t="shared" si="484"/>
        <v>#VALUE!</v>
      </c>
      <c r="Y2116" s="26" t="e">
        <f t="shared" si="485"/>
        <v>#VALUE!</v>
      </c>
      <c r="Z2116" s="1" t="e">
        <f t="shared" si="486"/>
        <v>#VALUE!</v>
      </c>
      <c r="AA2116"/>
      <c r="AB2116"/>
    </row>
    <row r="2117" spans="1:28" x14ac:dyDescent="0.55000000000000004">
      <c r="A2117" s="1">
        <f t="shared" si="473"/>
        <v>2117</v>
      </c>
      <c r="B2117" t="s">
        <v>34</v>
      </c>
      <c r="N2117" s="1" t="e">
        <f t="shared" si="474"/>
        <v>#VALUE!</v>
      </c>
      <c r="O2117" s="1" t="e">
        <f t="shared" si="475"/>
        <v>#VALUE!</v>
      </c>
      <c r="P2117" s="1" t="e">
        <f t="shared" si="476"/>
        <v>#VALUE!</v>
      </c>
      <c r="Q2117" s="1" t="e">
        <f t="shared" si="477"/>
        <v>#VALUE!</v>
      </c>
      <c r="R2117" s="1" t="e">
        <f t="shared" si="478"/>
        <v>#VALUE!</v>
      </c>
      <c r="S2117" s="1" t="e">
        <f t="shared" si="479"/>
        <v>#VALUE!</v>
      </c>
      <c r="T2117" s="1" t="e">
        <f t="shared" si="480"/>
        <v>#VALUE!</v>
      </c>
      <c r="U2117" s="26" t="e">
        <f t="shared" si="481"/>
        <v>#VALUE!</v>
      </c>
      <c r="V2117" s="26" t="e">
        <f t="shared" si="482"/>
        <v>#VALUE!</v>
      </c>
      <c r="W2117" s="1" t="e">
        <f t="shared" si="483"/>
        <v>#VALUE!</v>
      </c>
      <c r="X2117" s="26" t="e">
        <f t="shared" si="484"/>
        <v>#VALUE!</v>
      </c>
      <c r="Y2117" s="26" t="e">
        <f t="shared" si="485"/>
        <v>#VALUE!</v>
      </c>
      <c r="Z2117" s="1" t="e">
        <f t="shared" si="486"/>
        <v>#VALUE!</v>
      </c>
      <c r="AA2117"/>
      <c r="AB2117"/>
    </row>
    <row r="2118" spans="1:28" x14ac:dyDescent="0.55000000000000004">
      <c r="A2118" s="1">
        <f t="shared" si="473"/>
        <v>2118</v>
      </c>
      <c r="B2118" t="s">
        <v>34</v>
      </c>
      <c r="N2118" s="1" t="e">
        <f t="shared" si="474"/>
        <v>#VALUE!</v>
      </c>
      <c r="O2118" s="1" t="e">
        <f t="shared" si="475"/>
        <v>#VALUE!</v>
      </c>
      <c r="P2118" s="1" t="e">
        <f t="shared" si="476"/>
        <v>#VALUE!</v>
      </c>
      <c r="Q2118" s="1" t="e">
        <f t="shared" si="477"/>
        <v>#VALUE!</v>
      </c>
      <c r="R2118" s="1" t="e">
        <f t="shared" si="478"/>
        <v>#VALUE!</v>
      </c>
      <c r="S2118" s="1" t="e">
        <f t="shared" si="479"/>
        <v>#VALUE!</v>
      </c>
      <c r="T2118" s="1" t="e">
        <f t="shared" si="480"/>
        <v>#VALUE!</v>
      </c>
      <c r="U2118" s="26" t="e">
        <f t="shared" si="481"/>
        <v>#VALUE!</v>
      </c>
      <c r="V2118" s="26" t="e">
        <f t="shared" si="482"/>
        <v>#VALUE!</v>
      </c>
      <c r="W2118" s="1" t="e">
        <f t="shared" si="483"/>
        <v>#VALUE!</v>
      </c>
      <c r="X2118" s="26" t="e">
        <f t="shared" si="484"/>
        <v>#VALUE!</v>
      </c>
      <c r="Y2118" s="26" t="e">
        <f t="shared" si="485"/>
        <v>#VALUE!</v>
      </c>
      <c r="Z2118" s="1" t="e">
        <f t="shared" si="486"/>
        <v>#VALUE!</v>
      </c>
      <c r="AA2118"/>
      <c r="AB2118"/>
    </row>
    <row r="2119" spans="1:28" x14ac:dyDescent="0.55000000000000004">
      <c r="A2119" s="1">
        <f t="shared" si="473"/>
        <v>2119</v>
      </c>
      <c r="B2119" t="s">
        <v>34</v>
      </c>
      <c r="N2119" s="1" t="e">
        <f t="shared" si="474"/>
        <v>#VALUE!</v>
      </c>
      <c r="O2119" s="1" t="e">
        <f t="shared" si="475"/>
        <v>#VALUE!</v>
      </c>
      <c r="P2119" s="1" t="e">
        <f t="shared" si="476"/>
        <v>#VALUE!</v>
      </c>
      <c r="Q2119" s="1" t="e">
        <f t="shared" si="477"/>
        <v>#VALUE!</v>
      </c>
      <c r="R2119" s="1" t="e">
        <f t="shared" si="478"/>
        <v>#VALUE!</v>
      </c>
      <c r="S2119" s="1" t="e">
        <f t="shared" si="479"/>
        <v>#VALUE!</v>
      </c>
      <c r="T2119" s="1" t="e">
        <f t="shared" si="480"/>
        <v>#VALUE!</v>
      </c>
      <c r="U2119" s="26" t="e">
        <f t="shared" si="481"/>
        <v>#VALUE!</v>
      </c>
      <c r="V2119" s="26" t="e">
        <f t="shared" si="482"/>
        <v>#VALUE!</v>
      </c>
      <c r="W2119" s="1" t="e">
        <f t="shared" si="483"/>
        <v>#VALUE!</v>
      </c>
      <c r="X2119" s="26" t="e">
        <f t="shared" si="484"/>
        <v>#VALUE!</v>
      </c>
      <c r="Y2119" s="26" t="e">
        <f t="shared" si="485"/>
        <v>#VALUE!</v>
      </c>
      <c r="Z2119" s="1" t="e">
        <f t="shared" si="486"/>
        <v>#VALUE!</v>
      </c>
      <c r="AA2119"/>
      <c r="AB2119"/>
    </row>
    <row r="2120" spans="1:28" x14ac:dyDescent="0.55000000000000004">
      <c r="A2120" s="1">
        <f t="shared" si="473"/>
        <v>2120</v>
      </c>
      <c r="B2120" t="s">
        <v>34</v>
      </c>
      <c r="N2120" s="1" t="e">
        <f t="shared" si="474"/>
        <v>#VALUE!</v>
      </c>
      <c r="O2120" s="1" t="e">
        <f t="shared" si="475"/>
        <v>#VALUE!</v>
      </c>
      <c r="P2120" s="1" t="e">
        <f t="shared" si="476"/>
        <v>#VALUE!</v>
      </c>
      <c r="Q2120" s="1" t="e">
        <f t="shared" si="477"/>
        <v>#VALUE!</v>
      </c>
      <c r="R2120" s="1" t="e">
        <f t="shared" si="478"/>
        <v>#VALUE!</v>
      </c>
      <c r="S2120" s="1" t="e">
        <f t="shared" si="479"/>
        <v>#VALUE!</v>
      </c>
      <c r="T2120" s="1" t="e">
        <f t="shared" si="480"/>
        <v>#VALUE!</v>
      </c>
      <c r="U2120" s="26" t="e">
        <f t="shared" si="481"/>
        <v>#VALUE!</v>
      </c>
      <c r="V2120" s="26" t="e">
        <f t="shared" si="482"/>
        <v>#VALUE!</v>
      </c>
      <c r="W2120" s="1" t="e">
        <f t="shared" si="483"/>
        <v>#VALUE!</v>
      </c>
      <c r="X2120" s="26" t="e">
        <f t="shared" si="484"/>
        <v>#VALUE!</v>
      </c>
      <c r="Y2120" s="26" t="e">
        <f t="shared" si="485"/>
        <v>#VALUE!</v>
      </c>
      <c r="Z2120" s="1" t="e">
        <f t="shared" si="486"/>
        <v>#VALUE!</v>
      </c>
      <c r="AA2120"/>
      <c r="AB2120"/>
    </row>
    <row r="2121" spans="1:28" x14ac:dyDescent="0.55000000000000004">
      <c r="A2121" s="1">
        <f t="shared" si="473"/>
        <v>2121</v>
      </c>
      <c r="B2121" t="s">
        <v>34</v>
      </c>
      <c r="N2121" s="1" t="e">
        <f t="shared" si="474"/>
        <v>#VALUE!</v>
      </c>
      <c r="O2121" s="1" t="e">
        <f t="shared" si="475"/>
        <v>#VALUE!</v>
      </c>
      <c r="P2121" s="1" t="e">
        <f t="shared" si="476"/>
        <v>#VALUE!</v>
      </c>
      <c r="Q2121" s="1" t="e">
        <f t="shared" si="477"/>
        <v>#VALUE!</v>
      </c>
      <c r="R2121" s="1" t="e">
        <f t="shared" si="478"/>
        <v>#VALUE!</v>
      </c>
      <c r="S2121" s="1" t="e">
        <f t="shared" si="479"/>
        <v>#VALUE!</v>
      </c>
      <c r="T2121" s="1" t="e">
        <f t="shared" si="480"/>
        <v>#VALUE!</v>
      </c>
      <c r="U2121" s="26" t="e">
        <f t="shared" si="481"/>
        <v>#VALUE!</v>
      </c>
      <c r="V2121" s="26" t="e">
        <f t="shared" si="482"/>
        <v>#VALUE!</v>
      </c>
      <c r="W2121" s="1" t="e">
        <f t="shared" si="483"/>
        <v>#VALUE!</v>
      </c>
      <c r="X2121" s="26" t="e">
        <f t="shared" si="484"/>
        <v>#VALUE!</v>
      </c>
      <c r="Y2121" s="26" t="e">
        <f t="shared" si="485"/>
        <v>#VALUE!</v>
      </c>
      <c r="Z2121" s="1" t="e">
        <f t="shared" si="486"/>
        <v>#VALUE!</v>
      </c>
      <c r="AA2121"/>
      <c r="AB2121"/>
    </row>
    <row r="2122" spans="1:28" x14ac:dyDescent="0.55000000000000004">
      <c r="A2122" s="1">
        <f t="shared" si="473"/>
        <v>2122</v>
      </c>
      <c r="B2122" t="s">
        <v>34</v>
      </c>
      <c r="N2122" s="1" t="e">
        <f t="shared" si="474"/>
        <v>#VALUE!</v>
      </c>
      <c r="O2122" s="1" t="e">
        <f t="shared" si="475"/>
        <v>#VALUE!</v>
      </c>
      <c r="P2122" s="1" t="e">
        <f t="shared" si="476"/>
        <v>#VALUE!</v>
      </c>
      <c r="Q2122" s="1" t="e">
        <f t="shared" si="477"/>
        <v>#VALUE!</v>
      </c>
      <c r="R2122" s="1" t="e">
        <f t="shared" si="478"/>
        <v>#VALUE!</v>
      </c>
      <c r="S2122" s="1" t="e">
        <f t="shared" si="479"/>
        <v>#VALUE!</v>
      </c>
      <c r="T2122" s="1" t="e">
        <f t="shared" si="480"/>
        <v>#VALUE!</v>
      </c>
      <c r="U2122" s="26" t="e">
        <f t="shared" si="481"/>
        <v>#VALUE!</v>
      </c>
      <c r="V2122" s="26" t="e">
        <f t="shared" si="482"/>
        <v>#VALUE!</v>
      </c>
      <c r="W2122" s="1" t="e">
        <f t="shared" si="483"/>
        <v>#VALUE!</v>
      </c>
      <c r="X2122" s="26" t="e">
        <f t="shared" si="484"/>
        <v>#VALUE!</v>
      </c>
      <c r="Y2122" s="26" t="e">
        <f t="shared" si="485"/>
        <v>#VALUE!</v>
      </c>
      <c r="Z2122" s="1" t="e">
        <f t="shared" si="486"/>
        <v>#VALUE!</v>
      </c>
      <c r="AA2122"/>
      <c r="AB2122"/>
    </row>
    <row r="2123" spans="1:28" x14ac:dyDescent="0.55000000000000004">
      <c r="A2123" s="1">
        <f t="shared" si="473"/>
        <v>2123</v>
      </c>
      <c r="B2123" t="s">
        <v>34</v>
      </c>
      <c r="N2123" s="1" t="e">
        <f t="shared" si="474"/>
        <v>#VALUE!</v>
      </c>
      <c r="O2123" s="1" t="e">
        <f t="shared" si="475"/>
        <v>#VALUE!</v>
      </c>
      <c r="P2123" s="1" t="e">
        <f t="shared" si="476"/>
        <v>#VALUE!</v>
      </c>
      <c r="Q2123" s="1" t="e">
        <f t="shared" si="477"/>
        <v>#VALUE!</v>
      </c>
      <c r="R2123" s="1" t="e">
        <f t="shared" si="478"/>
        <v>#VALUE!</v>
      </c>
      <c r="S2123" s="1" t="e">
        <f t="shared" si="479"/>
        <v>#VALUE!</v>
      </c>
      <c r="T2123" s="1" t="e">
        <f t="shared" si="480"/>
        <v>#VALUE!</v>
      </c>
      <c r="U2123" s="26" t="e">
        <f t="shared" si="481"/>
        <v>#VALUE!</v>
      </c>
      <c r="V2123" s="26" t="e">
        <f t="shared" si="482"/>
        <v>#VALUE!</v>
      </c>
      <c r="W2123" s="1" t="e">
        <f t="shared" si="483"/>
        <v>#VALUE!</v>
      </c>
      <c r="X2123" s="26" t="e">
        <f t="shared" si="484"/>
        <v>#VALUE!</v>
      </c>
      <c r="Y2123" s="26" t="e">
        <f t="shared" si="485"/>
        <v>#VALUE!</v>
      </c>
      <c r="Z2123" s="1" t="e">
        <f t="shared" si="486"/>
        <v>#VALUE!</v>
      </c>
      <c r="AA2123"/>
      <c r="AB2123"/>
    </row>
    <row r="2124" spans="1:28" x14ac:dyDescent="0.55000000000000004">
      <c r="A2124" s="1">
        <f t="shared" si="473"/>
        <v>2124</v>
      </c>
      <c r="B2124" t="s">
        <v>34</v>
      </c>
      <c r="N2124" s="1" t="e">
        <f t="shared" si="474"/>
        <v>#VALUE!</v>
      </c>
      <c r="O2124" s="1" t="e">
        <f t="shared" si="475"/>
        <v>#VALUE!</v>
      </c>
      <c r="P2124" s="1" t="e">
        <f t="shared" si="476"/>
        <v>#VALUE!</v>
      </c>
      <c r="Q2124" s="1" t="e">
        <f t="shared" si="477"/>
        <v>#VALUE!</v>
      </c>
      <c r="R2124" s="1" t="e">
        <f t="shared" si="478"/>
        <v>#VALUE!</v>
      </c>
      <c r="S2124" s="1" t="e">
        <f t="shared" si="479"/>
        <v>#VALUE!</v>
      </c>
      <c r="T2124" s="1" t="e">
        <f t="shared" si="480"/>
        <v>#VALUE!</v>
      </c>
      <c r="U2124" s="26" t="e">
        <f t="shared" si="481"/>
        <v>#VALUE!</v>
      </c>
      <c r="V2124" s="26" t="e">
        <f t="shared" si="482"/>
        <v>#VALUE!</v>
      </c>
      <c r="W2124" s="1" t="e">
        <f t="shared" si="483"/>
        <v>#VALUE!</v>
      </c>
      <c r="X2124" s="26" t="e">
        <f t="shared" si="484"/>
        <v>#VALUE!</v>
      </c>
      <c r="Y2124" s="26" t="e">
        <f t="shared" si="485"/>
        <v>#VALUE!</v>
      </c>
      <c r="Z2124" s="1" t="e">
        <f t="shared" si="486"/>
        <v>#VALUE!</v>
      </c>
      <c r="AA2124"/>
      <c r="AB2124"/>
    </row>
    <row r="2125" spans="1:28" x14ac:dyDescent="0.55000000000000004">
      <c r="A2125" s="1">
        <f t="shared" si="473"/>
        <v>2125</v>
      </c>
      <c r="B2125" t="s">
        <v>34</v>
      </c>
      <c r="N2125" s="1" t="e">
        <f t="shared" si="474"/>
        <v>#VALUE!</v>
      </c>
      <c r="O2125" s="1" t="e">
        <f t="shared" si="475"/>
        <v>#VALUE!</v>
      </c>
      <c r="P2125" s="1" t="e">
        <f t="shared" si="476"/>
        <v>#VALUE!</v>
      </c>
      <c r="Q2125" s="1" t="e">
        <f t="shared" si="477"/>
        <v>#VALUE!</v>
      </c>
      <c r="R2125" s="1" t="e">
        <f t="shared" si="478"/>
        <v>#VALUE!</v>
      </c>
      <c r="S2125" s="1" t="e">
        <f t="shared" si="479"/>
        <v>#VALUE!</v>
      </c>
      <c r="T2125" s="1" t="e">
        <f t="shared" si="480"/>
        <v>#VALUE!</v>
      </c>
      <c r="U2125" s="26" t="e">
        <f t="shared" si="481"/>
        <v>#VALUE!</v>
      </c>
      <c r="V2125" s="26" t="e">
        <f t="shared" si="482"/>
        <v>#VALUE!</v>
      </c>
      <c r="W2125" s="1" t="e">
        <f t="shared" si="483"/>
        <v>#VALUE!</v>
      </c>
      <c r="X2125" s="26" t="e">
        <f t="shared" si="484"/>
        <v>#VALUE!</v>
      </c>
      <c r="Y2125" s="26" t="e">
        <f t="shared" si="485"/>
        <v>#VALUE!</v>
      </c>
      <c r="Z2125" s="1" t="e">
        <f t="shared" si="486"/>
        <v>#VALUE!</v>
      </c>
      <c r="AA2125"/>
      <c r="AB2125"/>
    </row>
    <row r="2126" spans="1:28" x14ac:dyDescent="0.55000000000000004">
      <c r="A2126" s="1">
        <f t="shared" si="473"/>
        <v>2126</v>
      </c>
      <c r="B2126" t="s">
        <v>34</v>
      </c>
      <c r="N2126" s="1" t="e">
        <f t="shared" si="474"/>
        <v>#VALUE!</v>
      </c>
      <c r="O2126" s="1" t="e">
        <f t="shared" si="475"/>
        <v>#VALUE!</v>
      </c>
      <c r="P2126" s="1" t="e">
        <f t="shared" si="476"/>
        <v>#VALUE!</v>
      </c>
      <c r="Q2126" s="1" t="e">
        <f t="shared" si="477"/>
        <v>#VALUE!</v>
      </c>
      <c r="R2126" s="1" t="e">
        <f t="shared" si="478"/>
        <v>#VALUE!</v>
      </c>
      <c r="S2126" s="1" t="e">
        <f t="shared" si="479"/>
        <v>#VALUE!</v>
      </c>
      <c r="T2126" s="1" t="e">
        <f t="shared" si="480"/>
        <v>#VALUE!</v>
      </c>
      <c r="U2126" s="26" t="e">
        <f t="shared" si="481"/>
        <v>#VALUE!</v>
      </c>
      <c r="V2126" s="26" t="e">
        <f t="shared" si="482"/>
        <v>#VALUE!</v>
      </c>
      <c r="W2126" s="1" t="e">
        <f t="shared" si="483"/>
        <v>#VALUE!</v>
      </c>
      <c r="X2126" s="26" t="e">
        <f t="shared" si="484"/>
        <v>#VALUE!</v>
      </c>
      <c r="Y2126" s="26" t="e">
        <f t="shared" si="485"/>
        <v>#VALUE!</v>
      </c>
      <c r="Z2126" s="1" t="e">
        <f t="shared" si="486"/>
        <v>#VALUE!</v>
      </c>
      <c r="AA2126"/>
      <c r="AB2126"/>
    </row>
    <row r="2127" spans="1:28" x14ac:dyDescent="0.55000000000000004">
      <c r="A2127" s="1">
        <f t="shared" si="473"/>
        <v>2127</v>
      </c>
      <c r="B2127" t="s">
        <v>34</v>
      </c>
      <c r="N2127" s="1" t="e">
        <f t="shared" si="474"/>
        <v>#VALUE!</v>
      </c>
      <c r="O2127" s="1" t="e">
        <f t="shared" si="475"/>
        <v>#VALUE!</v>
      </c>
      <c r="P2127" s="1" t="e">
        <f t="shared" si="476"/>
        <v>#VALUE!</v>
      </c>
      <c r="Q2127" s="1" t="e">
        <f t="shared" si="477"/>
        <v>#VALUE!</v>
      </c>
      <c r="R2127" s="1" t="e">
        <f t="shared" si="478"/>
        <v>#VALUE!</v>
      </c>
      <c r="S2127" s="1" t="e">
        <f t="shared" si="479"/>
        <v>#VALUE!</v>
      </c>
      <c r="T2127" s="1" t="e">
        <f t="shared" si="480"/>
        <v>#VALUE!</v>
      </c>
      <c r="U2127" s="26" t="e">
        <f t="shared" si="481"/>
        <v>#VALUE!</v>
      </c>
      <c r="V2127" s="26" t="e">
        <f t="shared" si="482"/>
        <v>#VALUE!</v>
      </c>
      <c r="W2127" s="1" t="e">
        <f t="shared" si="483"/>
        <v>#VALUE!</v>
      </c>
      <c r="X2127" s="26" t="e">
        <f t="shared" si="484"/>
        <v>#VALUE!</v>
      </c>
      <c r="Y2127" s="26" t="e">
        <f t="shared" si="485"/>
        <v>#VALUE!</v>
      </c>
      <c r="Z2127" s="1" t="e">
        <f t="shared" si="486"/>
        <v>#VALUE!</v>
      </c>
      <c r="AA2127"/>
      <c r="AB2127"/>
    </row>
    <row r="2128" spans="1:28" x14ac:dyDescent="0.55000000000000004">
      <c r="A2128" s="1">
        <f t="shared" si="473"/>
        <v>2128</v>
      </c>
      <c r="B2128" t="s">
        <v>34</v>
      </c>
      <c r="N2128" s="1" t="e">
        <f t="shared" si="474"/>
        <v>#VALUE!</v>
      </c>
      <c r="O2128" s="1" t="e">
        <f t="shared" si="475"/>
        <v>#VALUE!</v>
      </c>
      <c r="P2128" s="1" t="e">
        <f t="shared" si="476"/>
        <v>#VALUE!</v>
      </c>
      <c r="Q2128" s="1" t="e">
        <f t="shared" si="477"/>
        <v>#VALUE!</v>
      </c>
      <c r="R2128" s="1" t="e">
        <f t="shared" si="478"/>
        <v>#VALUE!</v>
      </c>
      <c r="S2128" s="1" t="e">
        <f t="shared" si="479"/>
        <v>#VALUE!</v>
      </c>
      <c r="T2128" s="1" t="e">
        <f t="shared" si="480"/>
        <v>#VALUE!</v>
      </c>
      <c r="U2128" s="26" t="e">
        <f t="shared" si="481"/>
        <v>#VALUE!</v>
      </c>
      <c r="V2128" s="26" t="e">
        <f t="shared" si="482"/>
        <v>#VALUE!</v>
      </c>
      <c r="W2128" s="1" t="e">
        <f t="shared" si="483"/>
        <v>#VALUE!</v>
      </c>
      <c r="X2128" s="26" t="e">
        <f t="shared" si="484"/>
        <v>#VALUE!</v>
      </c>
      <c r="Y2128" s="26" t="e">
        <f t="shared" si="485"/>
        <v>#VALUE!</v>
      </c>
      <c r="Z2128" s="1" t="e">
        <f t="shared" si="486"/>
        <v>#VALUE!</v>
      </c>
      <c r="AA2128"/>
      <c r="AB2128"/>
    </row>
    <row r="2129" spans="1:28" x14ac:dyDescent="0.55000000000000004">
      <c r="A2129" s="1">
        <f t="shared" si="473"/>
        <v>2129</v>
      </c>
      <c r="B2129" t="s">
        <v>34</v>
      </c>
      <c r="N2129" s="1" t="e">
        <f t="shared" si="474"/>
        <v>#VALUE!</v>
      </c>
      <c r="O2129" s="1" t="e">
        <f t="shared" si="475"/>
        <v>#VALUE!</v>
      </c>
      <c r="P2129" s="1" t="e">
        <f t="shared" si="476"/>
        <v>#VALUE!</v>
      </c>
      <c r="Q2129" s="1" t="e">
        <f t="shared" si="477"/>
        <v>#VALUE!</v>
      </c>
      <c r="R2129" s="1" t="e">
        <f t="shared" si="478"/>
        <v>#VALUE!</v>
      </c>
      <c r="S2129" s="1" t="e">
        <f t="shared" si="479"/>
        <v>#VALUE!</v>
      </c>
      <c r="T2129" s="1" t="e">
        <f t="shared" si="480"/>
        <v>#VALUE!</v>
      </c>
      <c r="U2129" s="26" t="e">
        <f t="shared" si="481"/>
        <v>#VALUE!</v>
      </c>
      <c r="V2129" s="26" t="e">
        <f t="shared" si="482"/>
        <v>#VALUE!</v>
      </c>
      <c r="W2129" s="1" t="e">
        <f t="shared" si="483"/>
        <v>#VALUE!</v>
      </c>
      <c r="X2129" s="26" t="e">
        <f t="shared" si="484"/>
        <v>#VALUE!</v>
      </c>
      <c r="Y2129" s="26" t="e">
        <f t="shared" si="485"/>
        <v>#VALUE!</v>
      </c>
      <c r="Z2129" s="1" t="e">
        <f t="shared" si="486"/>
        <v>#VALUE!</v>
      </c>
      <c r="AA2129"/>
      <c r="AB2129"/>
    </row>
    <row r="2130" spans="1:28" x14ac:dyDescent="0.55000000000000004">
      <c r="A2130" s="1">
        <f t="shared" si="473"/>
        <v>2130</v>
      </c>
      <c r="B2130" t="s">
        <v>34</v>
      </c>
      <c r="N2130" s="1" t="e">
        <f t="shared" si="474"/>
        <v>#VALUE!</v>
      </c>
      <c r="O2130" s="1" t="e">
        <f t="shared" si="475"/>
        <v>#VALUE!</v>
      </c>
      <c r="P2130" s="1" t="e">
        <f t="shared" si="476"/>
        <v>#VALUE!</v>
      </c>
      <c r="Q2130" s="1" t="e">
        <f t="shared" si="477"/>
        <v>#VALUE!</v>
      </c>
      <c r="R2130" s="1" t="e">
        <f t="shared" si="478"/>
        <v>#VALUE!</v>
      </c>
      <c r="S2130" s="1" t="e">
        <f t="shared" si="479"/>
        <v>#VALUE!</v>
      </c>
      <c r="T2130" s="1" t="e">
        <f t="shared" si="480"/>
        <v>#VALUE!</v>
      </c>
      <c r="U2130" s="26" t="e">
        <f t="shared" si="481"/>
        <v>#VALUE!</v>
      </c>
      <c r="V2130" s="26" t="e">
        <f t="shared" si="482"/>
        <v>#VALUE!</v>
      </c>
      <c r="W2130" s="1" t="e">
        <f t="shared" si="483"/>
        <v>#VALUE!</v>
      </c>
      <c r="X2130" s="26" t="e">
        <f t="shared" si="484"/>
        <v>#VALUE!</v>
      </c>
      <c r="Y2130" s="26" t="e">
        <f t="shared" si="485"/>
        <v>#VALUE!</v>
      </c>
      <c r="Z2130" s="1" t="e">
        <f t="shared" si="486"/>
        <v>#VALUE!</v>
      </c>
      <c r="AA2130"/>
      <c r="AB2130"/>
    </row>
    <row r="2131" spans="1:28" x14ac:dyDescent="0.55000000000000004">
      <c r="A2131" s="1">
        <f t="shared" si="473"/>
        <v>2131</v>
      </c>
      <c r="B2131" t="s">
        <v>34</v>
      </c>
      <c r="N2131" s="1" t="e">
        <f t="shared" si="474"/>
        <v>#VALUE!</v>
      </c>
      <c r="O2131" s="1" t="e">
        <f t="shared" si="475"/>
        <v>#VALUE!</v>
      </c>
      <c r="P2131" s="1" t="e">
        <f t="shared" si="476"/>
        <v>#VALUE!</v>
      </c>
      <c r="Q2131" s="1" t="e">
        <f t="shared" si="477"/>
        <v>#VALUE!</v>
      </c>
      <c r="R2131" s="1" t="e">
        <f t="shared" si="478"/>
        <v>#VALUE!</v>
      </c>
      <c r="S2131" s="1" t="e">
        <f t="shared" si="479"/>
        <v>#VALUE!</v>
      </c>
      <c r="T2131" s="1" t="e">
        <f t="shared" si="480"/>
        <v>#VALUE!</v>
      </c>
      <c r="U2131" s="26" t="e">
        <f t="shared" si="481"/>
        <v>#VALUE!</v>
      </c>
      <c r="V2131" s="26" t="e">
        <f t="shared" si="482"/>
        <v>#VALUE!</v>
      </c>
      <c r="W2131" s="1" t="e">
        <f t="shared" si="483"/>
        <v>#VALUE!</v>
      </c>
      <c r="X2131" s="26" t="e">
        <f t="shared" si="484"/>
        <v>#VALUE!</v>
      </c>
      <c r="Y2131" s="26" t="e">
        <f t="shared" si="485"/>
        <v>#VALUE!</v>
      </c>
      <c r="Z2131" s="1" t="e">
        <f t="shared" si="486"/>
        <v>#VALUE!</v>
      </c>
      <c r="AA2131"/>
      <c r="AB2131"/>
    </row>
    <row r="2132" spans="1:28" x14ac:dyDescent="0.55000000000000004">
      <c r="A2132" s="1">
        <f t="shared" si="473"/>
        <v>2132</v>
      </c>
      <c r="B2132" t="s">
        <v>34</v>
      </c>
      <c r="N2132" s="1" t="e">
        <f t="shared" si="474"/>
        <v>#VALUE!</v>
      </c>
      <c r="O2132" s="1" t="e">
        <f t="shared" si="475"/>
        <v>#VALUE!</v>
      </c>
      <c r="P2132" s="1" t="e">
        <f t="shared" si="476"/>
        <v>#VALUE!</v>
      </c>
      <c r="Q2132" s="1" t="e">
        <f t="shared" si="477"/>
        <v>#VALUE!</v>
      </c>
      <c r="R2132" s="1" t="e">
        <f t="shared" si="478"/>
        <v>#VALUE!</v>
      </c>
      <c r="S2132" s="1" t="e">
        <f t="shared" si="479"/>
        <v>#VALUE!</v>
      </c>
      <c r="T2132" s="1" t="e">
        <f t="shared" si="480"/>
        <v>#VALUE!</v>
      </c>
      <c r="U2132" s="26" t="e">
        <f t="shared" si="481"/>
        <v>#VALUE!</v>
      </c>
      <c r="V2132" s="26" t="e">
        <f t="shared" si="482"/>
        <v>#VALUE!</v>
      </c>
      <c r="W2132" s="1" t="e">
        <f t="shared" si="483"/>
        <v>#VALUE!</v>
      </c>
      <c r="X2132" s="26" t="e">
        <f t="shared" si="484"/>
        <v>#VALUE!</v>
      </c>
      <c r="Y2132" s="26" t="e">
        <f t="shared" si="485"/>
        <v>#VALUE!</v>
      </c>
      <c r="Z2132" s="1" t="e">
        <f t="shared" si="486"/>
        <v>#VALUE!</v>
      </c>
      <c r="AA2132"/>
      <c r="AB2132"/>
    </row>
    <row r="2133" spans="1:28" x14ac:dyDescent="0.55000000000000004">
      <c r="A2133" s="1">
        <f t="shared" si="473"/>
        <v>2133</v>
      </c>
      <c r="B2133" t="s">
        <v>34</v>
      </c>
      <c r="N2133" s="1" t="e">
        <f t="shared" si="474"/>
        <v>#VALUE!</v>
      </c>
      <c r="O2133" s="1" t="e">
        <f t="shared" si="475"/>
        <v>#VALUE!</v>
      </c>
      <c r="P2133" s="1" t="e">
        <f t="shared" si="476"/>
        <v>#VALUE!</v>
      </c>
      <c r="Q2133" s="1" t="e">
        <f t="shared" si="477"/>
        <v>#VALUE!</v>
      </c>
      <c r="R2133" s="1" t="e">
        <f t="shared" si="478"/>
        <v>#VALUE!</v>
      </c>
      <c r="S2133" s="1" t="e">
        <f t="shared" si="479"/>
        <v>#VALUE!</v>
      </c>
      <c r="T2133" s="1" t="e">
        <f t="shared" si="480"/>
        <v>#VALUE!</v>
      </c>
      <c r="U2133" s="26" t="e">
        <f t="shared" si="481"/>
        <v>#VALUE!</v>
      </c>
      <c r="V2133" s="26" t="e">
        <f t="shared" si="482"/>
        <v>#VALUE!</v>
      </c>
      <c r="W2133" s="1" t="e">
        <f t="shared" si="483"/>
        <v>#VALUE!</v>
      </c>
      <c r="X2133" s="26" t="e">
        <f t="shared" si="484"/>
        <v>#VALUE!</v>
      </c>
      <c r="Y2133" s="26" t="e">
        <f t="shared" si="485"/>
        <v>#VALUE!</v>
      </c>
      <c r="Z2133" s="1" t="e">
        <f t="shared" si="486"/>
        <v>#VALUE!</v>
      </c>
      <c r="AA2133"/>
      <c r="AB2133"/>
    </row>
    <row r="2134" spans="1:28" x14ac:dyDescent="0.55000000000000004">
      <c r="A2134" s="1">
        <f t="shared" si="473"/>
        <v>2134</v>
      </c>
      <c r="B2134" t="s">
        <v>35</v>
      </c>
      <c r="N2134" s="1" t="e">
        <f t="shared" si="474"/>
        <v>#VALUE!</v>
      </c>
      <c r="O2134" s="1" t="e">
        <f t="shared" si="475"/>
        <v>#VALUE!</v>
      </c>
      <c r="P2134" s="1" t="e">
        <f t="shared" si="476"/>
        <v>#VALUE!</v>
      </c>
      <c r="Q2134" s="1" t="e">
        <f t="shared" si="477"/>
        <v>#VALUE!</v>
      </c>
      <c r="R2134" s="1" t="e">
        <f t="shared" si="478"/>
        <v>#VALUE!</v>
      </c>
      <c r="S2134" s="1" t="e">
        <f t="shared" si="479"/>
        <v>#VALUE!</v>
      </c>
      <c r="T2134" s="1" t="e">
        <f t="shared" si="480"/>
        <v>#VALUE!</v>
      </c>
      <c r="U2134" s="26" t="e">
        <f t="shared" si="481"/>
        <v>#VALUE!</v>
      </c>
      <c r="V2134" s="26" t="e">
        <f t="shared" si="482"/>
        <v>#VALUE!</v>
      </c>
      <c r="W2134" s="1" t="e">
        <f t="shared" si="483"/>
        <v>#VALUE!</v>
      </c>
      <c r="X2134" s="26" t="e">
        <f t="shared" si="484"/>
        <v>#VALUE!</v>
      </c>
      <c r="Y2134" s="26" t="e">
        <f t="shared" si="485"/>
        <v>#VALUE!</v>
      </c>
      <c r="Z2134" s="1" t="e">
        <f t="shared" si="486"/>
        <v>#VALUE!</v>
      </c>
      <c r="AA2134"/>
      <c r="AB2134"/>
    </row>
    <row r="2135" spans="1:28" x14ac:dyDescent="0.55000000000000004">
      <c r="A2135" s="1">
        <f t="shared" si="473"/>
        <v>2135</v>
      </c>
      <c r="B2135" t="s">
        <v>35</v>
      </c>
      <c r="N2135" s="1" t="e">
        <f t="shared" si="474"/>
        <v>#VALUE!</v>
      </c>
      <c r="O2135" s="1" t="e">
        <f t="shared" si="475"/>
        <v>#VALUE!</v>
      </c>
      <c r="P2135" s="1" t="e">
        <f t="shared" si="476"/>
        <v>#VALUE!</v>
      </c>
      <c r="Q2135" s="1" t="e">
        <f t="shared" si="477"/>
        <v>#VALUE!</v>
      </c>
      <c r="R2135" s="1" t="e">
        <f t="shared" si="478"/>
        <v>#VALUE!</v>
      </c>
      <c r="S2135" s="1" t="e">
        <f t="shared" si="479"/>
        <v>#VALUE!</v>
      </c>
      <c r="T2135" s="1" t="e">
        <f t="shared" si="480"/>
        <v>#VALUE!</v>
      </c>
      <c r="U2135" s="26" t="e">
        <f t="shared" si="481"/>
        <v>#VALUE!</v>
      </c>
      <c r="V2135" s="26" t="e">
        <f t="shared" si="482"/>
        <v>#VALUE!</v>
      </c>
      <c r="W2135" s="1" t="e">
        <f t="shared" si="483"/>
        <v>#VALUE!</v>
      </c>
      <c r="X2135" s="26" t="e">
        <f t="shared" si="484"/>
        <v>#VALUE!</v>
      </c>
      <c r="Y2135" s="26" t="e">
        <f t="shared" si="485"/>
        <v>#VALUE!</v>
      </c>
      <c r="Z2135" s="1" t="e">
        <f t="shared" si="486"/>
        <v>#VALUE!</v>
      </c>
      <c r="AA2135"/>
      <c r="AB2135"/>
    </row>
    <row r="2136" spans="1:28" x14ac:dyDescent="0.55000000000000004">
      <c r="A2136" s="1">
        <f t="shared" si="473"/>
        <v>2136</v>
      </c>
      <c r="B2136" t="s">
        <v>35</v>
      </c>
      <c r="N2136" s="1" t="e">
        <f t="shared" si="474"/>
        <v>#VALUE!</v>
      </c>
      <c r="O2136" s="1" t="e">
        <f t="shared" si="475"/>
        <v>#VALUE!</v>
      </c>
      <c r="P2136" s="1" t="e">
        <f t="shared" si="476"/>
        <v>#VALUE!</v>
      </c>
      <c r="Q2136" s="1" t="e">
        <f t="shared" si="477"/>
        <v>#VALUE!</v>
      </c>
      <c r="R2136" s="1" t="e">
        <f t="shared" si="478"/>
        <v>#VALUE!</v>
      </c>
      <c r="S2136" s="1" t="e">
        <f t="shared" si="479"/>
        <v>#VALUE!</v>
      </c>
      <c r="T2136" s="1" t="e">
        <f t="shared" si="480"/>
        <v>#VALUE!</v>
      </c>
      <c r="U2136" s="26" t="e">
        <f t="shared" si="481"/>
        <v>#VALUE!</v>
      </c>
      <c r="V2136" s="26" t="e">
        <f t="shared" si="482"/>
        <v>#VALUE!</v>
      </c>
      <c r="W2136" s="1" t="e">
        <f t="shared" si="483"/>
        <v>#VALUE!</v>
      </c>
      <c r="X2136" s="26" t="e">
        <f t="shared" si="484"/>
        <v>#VALUE!</v>
      </c>
      <c r="Y2136" s="26" t="e">
        <f t="shared" si="485"/>
        <v>#VALUE!</v>
      </c>
      <c r="Z2136" s="1" t="e">
        <f t="shared" si="486"/>
        <v>#VALUE!</v>
      </c>
      <c r="AA2136"/>
      <c r="AB2136"/>
    </row>
    <row r="2137" spans="1:28" x14ac:dyDescent="0.55000000000000004">
      <c r="A2137" s="1">
        <f t="shared" si="473"/>
        <v>2137</v>
      </c>
      <c r="B2137" t="s">
        <v>35</v>
      </c>
      <c r="N2137" s="1" t="e">
        <f t="shared" si="474"/>
        <v>#VALUE!</v>
      </c>
      <c r="O2137" s="1" t="e">
        <f t="shared" si="475"/>
        <v>#VALUE!</v>
      </c>
      <c r="P2137" s="1" t="e">
        <f t="shared" si="476"/>
        <v>#VALUE!</v>
      </c>
      <c r="Q2137" s="1" t="e">
        <f t="shared" si="477"/>
        <v>#VALUE!</v>
      </c>
      <c r="R2137" s="1" t="e">
        <f t="shared" si="478"/>
        <v>#VALUE!</v>
      </c>
      <c r="S2137" s="1" t="e">
        <f t="shared" si="479"/>
        <v>#VALUE!</v>
      </c>
      <c r="T2137" s="1" t="e">
        <f t="shared" si="480"/>
        <v>#VALUE!</v>
      </c>
      <c r="U2137" s="26" t="e">
        <f t="shared" si="481"/>
        <v>#VALUE!</v>
      </c>
      <c r="V2137" s="26" t="e">
        <f t="shared" si="482"/>
        <v>#VALUE!</v>
      </c>
      <c r="W2137" s="1" t="e">
        <f t="shared" si="483"/>
        <v>#VALUE!</v>
      </c>
      <c r="X2137" s="26" t="e">
        <f t="shared" si="484"/>
        <v>#VALUE!</v>
      </c>
      <c r="Y2137" s="26" t="e">
        <f t="shared" si="485"/>
        <v>#VALUE!</v>
      </c>
      <c r="Z2137" s="1" t="e">
        <f t="shared" si="486"/>
        <v>#VALUE!</v>
      </c>
      <c r="AA2137"/>
      <c r="AB2137"/>
    </row>
    <row r="2138" spans="1:28" x14ac:dyDescent="0.55000000000000004">
      <c r="A2138" s="1">
        <f t="shared" si="473"/>
        <v>2138</v>
      </c>
      <c r="B2138" t="s">
        <v>35</v>
      </c>
      <c r="N2138" s="1" t="e">
        <f t="shared" si="474"/>
        <v>#VALUE!</v>
      </c>
      <c r="O2138" s="1" t="e">
        <f t="shared" si="475"/>
        <v>#VALUE!</v>
      </c>
      <c r="P2138" s="1" t="e">
        <f t="shared" si="476"/>
        <v>#VALUE!</v>
      </c>
      <c r="Q2138" s="1" t="e">
        <f t="shared" si="477"/>
        <v>#VALUE!</v>
      </c>
      <c r="R2138" s="1" t="e">
        <f t="shared" si="478"/>
        <v>#VALUE!</v>
      </c>
      <c r="S2138" s="1" t="e">
        <f t="shared" si="479"/>
        <v>#VALUE!</v>
      </c>
      <c r="T2138" s="1" t="e">
        <f t="shared" si="480"/>
        <v>#VALUE!</v>
      </c>
      <c r="U2138" s="26" t="e">
        <f t="shared" si="481"/>
        <v>#VALUE!</v>
      </c>
      <c r="V2138" s="26" t="e">
        <f t="shared" si="482"/>
        <v>#VALUE!</v>
      </c>
      <c r="W2138" s="1" t="e">
        <f t="shared" si="483"/>
        <v>#VALUE!</v>
      </c>
      <c r="X2138" s="26" t="e">
        <f t="shared" si="484"/>
        <v>#VALUE!</v>
      </c>
      <c r="Y2138" s="26" t="e">
        <f t="shared" si="485"/>
        <v>#VALUE!</v>
      </c>
      <c r="Z2138" s="1" t="e">
        <f t="shared" si="486"/>
        <v>#VALUE!</v>
      </c>
      <c r="AA2138"/>
      <c r="AB2138"/>
    </row>
    <row r="2139" spans="1:28" x14ac:dyDescent="0.55000000000000004">
      <c r="A2139" s="1">
        <f t="shared" si="473"/>
        <v>2139</v>
      </c>
      <c r="B2139" t="s">
        <v>35</v>
      </c>
      <c r="N2139" s="1" t="e">
        <f t="shared" si="474"/>
        <v>#VALUE!</v>
      </c>
      <c r="O2139" s="1" t="e">
        <f t="shared" si="475"/>
        <v>#VALUE!</v>
      </c>
      <c r="P2139" s="1" t="e">
        <f t="shared" si="476"/>
        <v>#VALUE!</v>
      </c>
      <c r="Q2139" s="1" t="e">
        <f t="shared" si="477"/>
        <v>#VALUE!</v>
      </c>
      <c r="R2139" s="1" t="e">
        <f t="shared" si="478"/>
        <v>#VALUE!</v>
      </c>
      <c r="S2139" s="1" t="e">
        <f t="shared" si="479"/>
        <v>#VALUE!</v>
      </c>
      <c r="T2139" s="1" t="e">
        <f t="shared" si="480"/>
        <v>#VALUE!</v>
      </c>
      <c r="U2139" s="26" t="e">
        <f t="shared" si="481"/>
        <v>#VALUE!</v>
      </c>
      <c r="V2139" s="26" t="e">
        <f t="shared" si="482"/>
        <v>#VALUE!</v>
      </c>
      <c r="W2139" s="1" t="e">
        <f t="shared" si="483"/>
        <v>#VALUE!</v>
      </c>
      <c r="X2139" s="26" t="e">
        <f t="shared" si="484"/>
        <v>#VALUE!</v>
      </c>
      <c r="Y2139" s="26" t="e">
        <f t="shared" si="485"/>
        <v>#VALUE!</v>
      </c>
      <c r="Z2139" s="1" t="e">
        <f t="shared" si="486"/>
        <v>#VALUE!</v>
      </c>
      <c r="AA2139"/>
      <c r="AB2139"/>
    </row>
    <row r="2140" spans="1:28" x14ac:dyDescent="0.55000000000000004">
      <c r="A2140" s="1">
        <f t="shared" si="473"/>
        <v>2140</v>
      </c>
      <c r="B2140" t="s">
        <v>35</v>
      </c>
      <c r="N2140" s="1" t="e">
        <f t="shared" si="474"/>
        <v>#VALUE!</v>
      </c>
      <c r="O2140" s="1" t="e">
        <f t="shared" si="475"/>
        <v>#VALUE!</v>
      </c>
      <c r="P2140" s="1" t="e">
        <f t="shared" si="476"/>
        <v>#VALUE!</v>
      </c>
      <c r="Q2140" s="1" t="e">
        <f t="shared" si="477"/>
        <v>#VALUE!</v>
      </c>
      <c r="R2140" s="1" t="e">
        <f t="shared" si="478"/>
        <v>#VALUE!</v>
      </c>
      <c r="S2140" s="1" t="e">
        <f t="shared" si="479"/>
        <v>#VALUE!</v>
      </c>
      <c r="T2140" s="1" t="e">
        <f t="shared" si="480"/>
        <v>#VALUE!</v>
      </c>
      <c r="U2140" s="26" t="e">
        <f t="shared" si="481"/>
        <v>#VALUE!</v>
      </c>
      <c r="V2140" s="26" t="e">
        <f t="shared" si="482"/>
        <v>#VALUE!</v>
      </c>
      <c r="W2140" s="1" t="e">
        <f t="shared" si="483"/>
        <v>#VALUE!</v>
      </c>
      <c r="X2140" s="26" t="e">
        <f t="shared" si="484"/>
        <v>#VALUE!</v>
      </c>
      <c r="Y2140" s="26" t="e">
        <f t="shared" si="485"/>
        <v>#VALUE!</v>
      </c>
      <c r="Z2140" s="1" t="e">
        <f t="shared" si="486"/>
        <v>#VALUE!</v>
      </c>
      <c r="AA2140"/>
      <c r="AB2140"/>
    </row>
    <row r="2141" spans="1:28" x14ac:dyDescent="0.55000000000000004">
      <c r="A2141" s="1">
        <f t="shared" si="473"/>
        <v>2141</v>
      </c>
      <c r="B2141" t="s">
        <v>35</v>
      </c>
      <c r="N2141" s="1" t="e">
        <f t="shared" si="474"/>
        <v>#VALUE!</v>
      </c>
      <c r="O2141" s="1" t="e">
        <f t="shared" si="475"/>
        <v>#VALUE!</v>
      </c>
      <c r="P2141" s="1" t="e">
        <f t="shared" si="476"/>
        <v>#VALUE!</v>
      </c>
      <c r="Q2141" s="1" t="e">
        <f t="shared" si="477"/>
        <v>#VALUE!</v>
      </c>
      <c r="R2141" s="1" t="e">
        <f t="shared" si="478"/>
        <v>#VALUE!</v>
      </c>
      <c r="S2141" s="1" t="e">
        <f t="shared" si="479"/>
        <v>#VALUE!</v>
      </c>
      <c r="T2141" s="1" t="e">
        <f t="shared" si="480"/>
        <v>#VALUE!</v>
      </c>
      <c r="U2141" s="26" t="e">
        <f t="shared" si="481"/>
        <v>#VALUE!</v>
      </c>
      <c r="V2141" s="26" t="e">
        <f t="shared" si="482"/>
        <v>#VALUE!</v>
      </c>
      <c r="W2141" s="1" t="e">
        <f t="shared" si="483"/>
        <v>#VALUE!</v>
      </c>
      <c r="X2141" s="26" t="e">
        <f t="shared" si="484"/>
        <v>#VALUE!</v>
      </c>
      <c r="Y2141" s="26" t="e">
        <f t="shared" si="485"/>
        <v>#VALUE!</v>
      </c>
      <c r="Z2141" s="1" t="e">
        <f t="shared" si="486"/>
        <v>#VALUE!</v>
      </c>
      <c r="AA2141"/>
      <c r="AB2141"/>
    </row>
    <row r="2142" spans="1:28" x14ac:dyDescent="0.55000000000000004">
      <c r="A2142" s="1">
        <f t="shared" si="473"/>
        <v>2142</v>
      </c>
      <c r="B2142" t="s">
        <v>35</v>
      </c>
      <c r="N2142" s="1" t="e">
        <f t="shared" si="474"/>
        <v>#VALUE!</v>
      </c>
      <c r="O2142" s="1" t="e">
        <f t="shared" si="475"/>
        <v>#VALUE!</v>
      </c>
      <c r="P2142" s="1" t="e">
        <f t="shared" si="476"/>
        <v>#VALUE!</v>
      </c>
      <c r="Q2142" s="1" t="e">
        <f t="shared" si="477"/>
        <v>#VALUE!</v>
      </c>
      <c r="R2142" s="1" t="e">
        <f t="shared" si="478"/>
        <v>#VALUE!</v>
      </c>
      <c r="S2142" s="1" t="e">
        <f t="shared" si="479"/>
        <v>#VALUE!</v>
      </c>
      <c r="T2142" s="1" t="e">
        <f t="shared" si="480"/>
        <v>#VALUE!</v>
      </c>
      <c r="U2142" s="26" t="e">
        <f t="shared" si="481"/>
        <v>#VALUE!</v>
      </c>
      <c r="V2142" s="26" t="e">
        <f t="shared" si="482"/>
        <v>#VALUE!</v>
      </c>
      <c r="W2142" s="1" t="e">
        <f t="shared" si="483"/>
        <v>#VALUE!</v>
      </c>
      <c r="X2142" s="26" t="e">
        <f t="shared" si="484"/>
        <v>#VALUE!</v>
      </c>
      <c r="Y2142" s="26" t="e">
        <f t="shared" si="485"/>
        <v>#VALUE!</v>
      </c>
      <c r="Z2142" s="1" t="e">
        <f t="shared" si="486"/>
        <v>#VALUE!</v>
      </c>
      <c r="AA2142"/>
      <c r="AB2142"/>
    </row>
    <row r="2143" spans="1:28" x14ac:dyDescent="0.55000000000000004">
      <c r="A2143" s="1">
        <f t="shared" si="473"/>
        <v>2143</v>
      </c>
      <c r="B2143" t="s">
        <v>35</v>
      </c>
      <c r="N2143" s="1" t="e">
        <f t="shared" si="474"/>
        <v>#VALUE!</v>
      </c>
      <c r="O2143" s="1" t="e">
        <f t="shared" si="475"/>
        <v>#VALUE!</v>
      </c>
      <c r="P2143" s="1" t="e">
        <f t="shared" si="476"/>
        <v>#VALUE!</v>
      </c>
      <c r="Q2143" s="1" t="e">
        <f t="shared" si="477"/>
        <v>#VALUE!</v>
      </c>
      <c r="R2143" s="1" t="e">
        <f t="shared" si="478"/>
        <v>#VALUE!</v>
      </c>
      <c r="S2143" s="1" t="e">
        <f t="shared" si="479"/>
        <v>#VALUE!</v>
      </c>
      <c r="T2143" s="1" t="e">
        <f t="shared" si="480"/>
        <v>#VALUE!</v>
      </c>
      <c r="U2143" s="26" t="e">
        <f t="shared" si="481"/>
        <v>#VALUE!</v>
      </c>
      <c r="V2143" s="26" t="e">
        <f t="shared" si="482"/>
        <v>#VALUE!</v>
      </c>
      <c r="W2143" s="1" t="e">
        <f t="shared" si="483"/>
        <v>#VALUE!</v>
      </c>
      <c r="X2143" s="26" t="e">
        <f t="shared" si="484"/>
        <v>#VALUE!</v>
      </c>
      <c r="Y2143" s="26" t="e">
        <f t="shared" si="485"/>
        <v>#VALUE!</v>
      </c>
      <c r="Z2143" s="1" t="e">
        <f t="shared" si="486"/>
        <v>#VALUE!</v>
      </c>
      <c r="AA2143"/>
      <c r="AB2143"/>
    </row>
    <row r="2144" spans="1:28" x14ac:dyDescent="0.55000000000000004">
      <c r="A2144" s="1">
        <f t="shared" si="473"/>
        <v>2144</v>
      </c>
      <c r="B2144" t="s">
        <v>35</v>
      </c>
      <c r="N2144" s="1" t="e">
        <f t="shared" si="474"/>
        <v>#VALUE!</v>
      </c>
      <c r="O2144" s="1" t="e">
        <f t="shared" si="475"/>
        <v>#VALUE!</v>
      </c>
      <c r="P2144" s="1" t="e">
        <f t="shared" si="476"/>
        <v>#VALUE!</v>
      </c>
      <c r="Q2144" s="1" t="e">
        <f t="shared" si="477"/>
        <v>#VALUE!</v>
      </c>
      <c r="R2144" s="1" t="e">
        <f t="shared" si="478"/>
        <v>#VALUE!</v>
      </c>
      <c r="S2144" s="1" t="e">
        <f t="shared" si="479"/>
        <v>#VALUE!</v>
      </c>
      <c r="T2144" s="1" t="e">
        <f t="shared" si="480"/>
        <v>#VALUE!</v>
      </c>
      <c r="U2144" s="26" t="e">
        <f t="shared" si="481"/>
        <v>#VALUE!</v>
      </c>
      <c r="V2144" s="26" t="e">
        <f t="shared" si="482"/>
        <v>#VALUE!</v>
      </c>
      <c r="W2144" s="1" t="e">
        <f t="shared" si="483"/>
        <v>#VALUE!</v>
      </c>
      <c r="X2144" s="26" t="e">
        <f t="shared" si="484"/>
        <v>#VALUE!</v>
      </c>
      <c r="Y2144" s="26" t="e">
        <f t="shared" si="485"/>
        <v>#VALUE!</v>
      </c>
      <c r="Z2144" s="1" t="e">
        <f t="shared" si="486"/>
        <v>#VALUE!</v>
      </c>
      <c r="AA2144"/>
      <c r="AB2144"/>
    </row>
    <row r="2145" spans="1:28" x14ac:dyDescent="0.55000000000000004">
      <c r="A2145" s="1">
        <f t="shared" si="473"/>
        <v>2145</v>
      </c>
      <c r="B2145" t="s">
        <v>35</v>
      </c>
      <c r="N2145" s="1" t="e">
        <f t="shared" si="474"/>
        <v>#VALUE!</v>
      </c>
      <c r="O2145" s="1" t="e">
        <f t="shared" si="475"/>
        <v>#VALUE!</v>
      </c>
      <c r="P2145" s="1" t="e">
        <f t="shared" si="476"/>
        <v>#VALUE!</v>
      </c>
      <c r="Q2145" s="1" t="e">
        <f t="shared" si="477"/>
        <v>#VALUE!</v>
      </c>
      <c r="R2145" s="1" t="e">
        <f t="shared" si="478"/>
        <v>#VALUE!</v>
      </c>
      <c r="S2145" s="1" t="e">
        <f t="shared" si="479"/>
        <v>#VALUE!</v>
      </c>
      <c r="T2145" s="1" t="e">
        <f t="shared" si="480"/>
        <v>#VALUE!</v>
      </c>
      <c r="U2145" s="26" t="e">
        <f t="shared" si="481"/>
        <v>#VALUE!</v>
      </c>
      <c r="V2145" s="26" t="e">
        <f t="shared" si="482"/>
        <v>#VALUE!</v>
      </c>
      <c r="W2145" s="1" t="e">
        <f t="shared" si="483"/>
        <v>#VALUE!</v>
      </c>
      <c r="X2145" s="26" t="e">
        <f t="shared" si="484"/>
        <v>#VALUE!</v>
      </c>
      <c r="Y2145" s="26" t="e">
        <f t="shared" si="485"/>
        <v>#VALUE!</v>
      </c>
      <c r="Z2145" s="1" t="e">
        <f t="shared" si="486"/>
        <v>#VALUE!</v>
      </c>
      <c r="AA2145"/>
      <c r="AB2145"/>
    </row>
    <row r="2146" spans="1:28" x14ac:dyDescent="0.55000000000000004">
      <c r="A2146" s="1">
        <f t="shared" si="473"/>
        <v>2146</v>
      </c>
      <c r="B2146" t="s">
        <v>35</v>
      </c>
      <c r="N2146" s="1" t="e">
        <f t="shared" si="474"/>
        <v>#VALUE!</v>
      </c>
      <c r="O2146" s="1" t="e">
        <f t="shared" si="475"/>
        <v>#VALUE!</v>
      </c>
      <c r="P2146" s="1" t="e">
        <f t="shared" si="476"/>
        <v>#VALUE!</v>
      </c>
      <c r="Q2146" s="1" t="e">
        <f t="shared" si="477"/>
        <v>#VALUE!</v>
      </c>
      <c r="R2146" s="1" t="e">
        <f t="shared" si="478"/>
        <v>#VALUE!</v>
      </c>
      <c r="S2146" s="1" t="e">
        <f t="shared" si="479"/>
        <v>#VALUE!</v>
      </c>
      <c r="T2146" s="1" t="e">
        <f t="shared" si="480"/>
        <v>#VALUE!</v>
      </c>
      <c r="U2146" s="26" t="e">
        <f t="shared" si="481"/>
        <v>#VALUE!</v>
      </c>
      <c r="V2146" s="26" t="e">
        <f t="shared" si="482"/>
        <v>#VALUE!</v>
      </c>
      <c r="W2146" s="1" t="e">
        <f t="shared" si="483"/>
        <v>#VALUE!</v>
      </c>
      <c r="X2146" s="26" t="e">
        <f t="shared" si="484"/>
        <v>#VALUE!</v>
      </c>
      <c r="Y2146" s="26" t="e">
        <f t="shared" si="485"/>
        <v>#VALUE!</v>
      </c>
      <c r="Z2146" s="1" t="e">
        <f t="shared" si="486"/>
        <v>#VALUE!</v>
      </c>
      <c r="AA2146"/>
      <c r="AB2146"/>
    </row>
    <row r="2147" spans="1:28" x14ac:dyDescent="0.55000000000000004">
      <c r="A2147" s="1">
        <f t="shared" si="473"/>
        <v>2147</v>
      </c>
      <c r="B2147" t="s">
        <v>35</v>
      </c>
      <c r="N2147" s="1" t="e">
        <f t="shared" si="474"/>
        <v>#VALUE!</v>
      </c>
      <c r="O2147" s="1" t="e">
        <f t="shared" si="475"/>
        <v>#VALUE!</v>
      </c>
      <c r="P2147" s="1" t="e">
        <f t="shared" si="476"/>
        <v>#VALUE!</v>
      </c>
      <c r="Q2147" s="1" t="e">
        <f t="shared" si="477"/>
        <v>#VALUE!</v>
      </c>
      <c r="R2147" s="1" t="e">
        <f t="shared" si="478"/>
        <v>#VALUE!</v>
      </c>
      <c r="S2147" s="1" t="e">
        <f t="shared" si="479"/>
        <v>#VALUE!</v>
      </c>
      <c r="T2147" s="1" t="e">
        <f t="shared" si="480"/>
        <v>#VALUE!</v>
      </c>
      <c r="U2147" s="26" t="e">
        <f t="shared" si="481"/>
        <v>#VALUE!</v>
      </c>
      <c r="V2147" s="26" t="e">
        <f t="shared" si="482"/>
        <v>#VALUE!</v>
      </c>
      <c r="W2147" s="1" t="e">
        <f t="shared" si="483"/>
        <v>#VALUE!</v>
      </c>
      <c r="X2147" s="26" t="e">
        <f t="shared" si="484"/>
        <v>#VALUE!</v>
      </c>
      <c r="Y2147" s="26" t="e">
        <f t="shared" si="485"/>
        <v>#VALUE!</v>
      </c>
      <c r="Z2147" s="1" t="e">
        <f t="shared" si="486"/>
        <v>#VALUE!</v>
      </c>
      <c r="AA2147"/>
      <c r="AB2147"/>
    </row>
    <row r="2148" spans="1:28" x14ac:dyDescent="0.55000000000000004">
      <c r="A2148" s="1">
        <f t="shared" si="473"/>
        <v>2148</v>
      </c>
      <c r="B2148" t="s">
        <v>35</v>
      </c>
      <c r="N2148" s="1" t="e">
        <f t="shared" si="474"/>
        <v>#VALUE!</v>
      </c>
      <c r="O2148" s="1" t="e">
        <f t="shared" si="475"/>
        <v>#VALUE!</v>
      </c>
      <c r="P2148" s="1" t="e">
        <f t="shared" si="476"/>
        <v>#VALUE!</v>
      </c>
      <c r="Q2148" s="1" t="e">
        <f t="shared" si="477"/>
        <v>#VALUE!</v>
      </c>
      <c r="R2148" s="1" t="e">
        <f t="shared" si="478"/>
        <v>#VALUE!</v>
      </c>
      <c r="S2148" s="1" t="e">
        <f t="shared" si="479"/>
        <v>#VALUE!</v>
      </c>
      <c r="T2148" s="1" t="e">
        <f t="shared" si="480"/>
        <v>#VALUE!</v>
      </c>
      <c r="U2148" s="26" t="e">
        <f t="shared" si="481"/>
        <v>#VALUE!</v>
      </c>
      <c r="V2148" s="26" t="e">
        <f t="shared" si="482"/>
        <v>#VALUE!</v>
      </c>
      <c r="W2148" s="1" t="e">
        <f t="shared" si="483"/>
        <v>#VALUE!</v>
      </c>
      <c r="X2148" s="26" t="e">
        <f t="shared" si="484"/>
        <v>#VALUE!</v>
      </c>
      <c r="Y2148" s="26" t="e">
        <f t="shared" si="485"/>
        <v>#VALUE!</v>
      </c>
      <c r="Z2148" s="1" t="e">
        <f t="shared" si="486"/>
        <v>#VALUE!</v>
      </c>
      <c r="AA2148"/>
      <c r="AB2148"/>
    </row>
    <row r="2149" spans="1:28" x14ac:dyDescent="0.55000000000000004">
      <c r="A2149" s="1">
        <f t="shared" si="473"/>
        <v>2149</v>
      </c>
      <c r="B2149" t="s">
        <v>35</v>
      </c>
      <c r="N2149" s="1" t="e">
        <f t="shared" si="474"/>
        <v>#VALUE!</v>
      </c>
      <c r="O2149" s="1" t="e">
        <f t="shared" si="475"/>
        <v>#VALUE!</v>
      </c>
      <c r="P2149" s="1" t="e">
        <f t="shared" si="476"/>
        <v>#VALUE!</v>
      </c>
      <c r="Q2149" s="1" t="e">
        <f t="shared" si="477"/>
        <v>#VALUE!</v>
      </c>
      <c r="R2149" s="1" t="e">
        <f t="shared" si="478"/>
        <v>#VALUE!</v>
      </c>
      <c r="S2149" s="1" t="e">
        <f t="shared" si="479"/>
        <v>#VALUE!</v>
      </c>
      <c r="T2149" s="1" t="e">
        <f t="shared" si="480"/>
        <v>#VALUE!</v>
      </c>
      <c r="U2149" s="26" t="e">
        <f t="shared" si="481"/>
        <v>#VALUE!</v>
      </c>
      <c r="V2149" s="26" t="e">
        <f t="shared" si="482"/>
        <v>#VALUE!</v>
      </c>
      <c r="W2149" s="1" t="e">
        <f t="shared" si="483"/>
        <v>#VALUE!</v>
      </c>
      <c r="X2149" s="26" t="e">
        <f t="shared" si="484"/>
        <v>#VALUE!</v>
      </c>
      <c r="Y2149" s="26" t="e">
        <f t="shared" si="485"/>
        <v>#VALUE!</v>
      </c>
      <c r="Z2149" s="1" t="e">
        <f t="shared" si="486"/>
        <v>#VALUE!</v>
      </c>
      <c r="AA2149"/>
      <c r="AB2149"/>
    </row>
    <row r="2150" spans="1:28" x14ac:dyDescent="0.55000000000000004">
      <c r="A2150" s="1">
        <f t="shared" si="473"/>
        <v>2150</v>
      </c>
      <c r="B2150" t="s">
        <v>35</v>
      </c>
      <c r="N2150" s="1" t="e">
        <f t="shared" si="474"/>
        <v>#VALUE!</v>
      </c>
      <c r="O2150" s="1" t="e">
        <f t="shared" si="475"/>
        <v>#VALUE!</v>
      </c>
      <c r="P2150" s="1" t="e">
        <f t="shared" si="476"/>
        <v>#VALUE!</v>
      </c>
      <c r="Q2150" s="1" t="e">
        <f t="shared" si="477"/>
        <v>#VALUE!</v>
      </c>
      <c r="R2150" s="1" t="e">
        <f t="shared" si="478"/>
        <v>#VALUE!</v>
      </c>
      <c r="S2150" s="1" t="e">
        <f t="shared" si="479"/>
        <v>#VALUE!</v>
      </c>
      <c r="T2150" s="1" t="e">
        <f t="shared" si="480"/>
        <v>#VALUE!</v>
      </c>
      <c r="U2150" s="26" t="e">
        <f t="shared" si="481"/>
        <v>#VALUE!</v>
      </c>
      <c r="V2150" s="26" t="e">
        <f t="shared" si="482"/>
        <v>#VALUE!</v>
      </c>
      <c r="W2150" s="1" t="e">
        <f t="shared" si="483"/>
        <v>#VALUE!</v>
      </c>
      <c r="X2150" s="26" t="e">
        <f t="shared" si="484"/>
        <v>#VALUE!</v>
      </c>
      <c r="Y2150" s="26" t="e">
        <f t="shared" si="485"/>
        <v>#VALUE!</v>
      </c>
      <c r="Z2150" s="1" t="e">
        <f t="shared" si="486"/>
        <v>#VALUE!</v>
      </c>
      <c r="AA2150"/>
      <c r="AB2150"/>
    </row>
    <row r="2151" spans="1:28" x14ac:dyDescent="0.55000000000000004">
      <c r="A2151" s="1">
        <f t="shared" si="473"/>
        <v>2151</v>
      </c>
      <c r="B2151" t="s">
        <v>35</v>
      </c>
      <c r="N2151" s="1" t="e">
        <f t="shared" si="474"/>
        <v>#VALUE!</v>
      </c>
      <c r="O2151" s="1" t="e">
        <f t="shared" si="475"/>
        <v>#VALUE!</v>
      </c>
      <c r="P2151" s="1" t="e">
        <f t="shared" si="476"/>
        <v>#VALUE!</v>
      </c>
      <c r="Q2151" s="1" t="e">
        <f t="shared" si="477"/>
        <v>#VALUE!</v>
      </c>
      <c r="R2151" s="1" t="e">
        <f t="shared" si="478"/>
        <v>#VALUE!</v>
      </c>
      <c r="S2151" s="1" t="e">
        <f t="shared" si="479"/>
        <v>#VALUE!</v>
      </c>
      <c r="T2151" s="1" t="e">
        <f t="shared" si="480"/>
        <v>#VALUE!</v>
      </c>
      <c r="U2151" s="26" t="e">
        <f t="shared" si="481"/>
        <v>#VALUE!</v>
      </c>
      <c r="V2151" s="26" t="e">
        <f t="shared" si="482"/>
        <v>#VALUE!</v>
      </c>
      <c r="W2151" s="1" t="e">
        <f t="shared" si="483"/>
        <v>#VALUE!</v>
      </c>
      <c r="X2151" s="26" t="e">
        <f t="shared" si="484"/>
        <v>#VALUE!</v>
      </c>
      <c r="Y2151" s="26" t="e">
        <f t="shared" si="485"/>
        <v>#VALUE!</v>
      </c>
      <c r="Z2151" s="1" t="e">
        <f t="shared" si="486"/>
        <v>#VALUE!</v>
      </c>
      <c r="AA2151"/>
      <c r="AB2151"/>
    </row>
    <row r="2152" spans="1:28" x14ac:dyDescent="0.55000000000000004">
      <c r="A2152" s="1">
        <f t="shared" si="473"/>
        <v>2152</v>
      </c>
      <c r="B2152" t="s">
        <v>35</v>
      </c>
      <c r="N2152" s="1" t="e">
        <f t="shared" si="474"/>
        <v>#VALUE!</v>
      </c>
      <c r="O2152" s="1" t="e">
        <f t="shared" si="475"/>
        <v>#VALUE!</v>
      </c>
      <c r="P2152" s="1" t="e">
        <f t="shared" si="476"/>
        <v>#VALUE!</v>
      </c>
      <c r="Q2152" s="1" t="e">
        <f t="shared" si="477"/>
        <v>#VALUE!</v>
      </c>
      <c r="R2152" s="1" t="e">
        <f t="shared" si="478"/>
        <v>#VALUE!</v>
      </c>
      <c r="S2152" s="1" t="e">
        <f t="shared" si="479"/>
        <v>#VALUE!</v>
      </c>
      <c r="T2152" s="1" t="e">
        <f t="shared" si="480"/>
        <v>#VALUE!</v>
      </c>
      <c r="U2152" s="26" t="e">
        <f t="shared" si="481"/>
        <v>#VALUE!</v>
      </c>
      <c r="V2152" s="26" t="e">
        <f t="shared" si="482"/>
        <v>#VALUE!</v>
      </c>
      <c r="W2152" s="1" t="e">
        <f t="shared" si="483"/>
        <v>#VALUE!</v>
      </c>
      <c r="X2152" s="26" t="e">
        <f t="shared" si="484"/>
        <v>#VALUE!</v>
      </c>
      <c r="Y2152" s="26" t="e">
        <f t="shared" si="485"/>
        <v>#VALUE!</v>
      </c>
      <c r="Z2152" s="1" t="e">
        <f t="shared" si="486"/>
        <v>#VALUE!</v>
      </c>
      <c r="AA2152"/>
      <c r="AB2152"/>
    </row>
    <row r="2153" spans="1:28" x14ac:dyDescent="0.55000000000000004">
      <c r="A2153" s="1">
        <f t="shared" si="473"/>
        <v>2153</v>
      </c>
      <c r="B2153" t="s">
        <v>35</v>
      </c>
      <c r="N2153" s="1" t="e">
        <f t="shared" si="474"/>
        <v>#VALUE!</v>
      </c>
      <c r="O2153" s="1" t="e">
        <f t="shared" si="475"/>
        <v>#VALUE!</v>
      </c>
      <c r="P2153" s="1" t="e">
        <f t="shared" si="476"/>
        <v>#VALUE!</v>
      </c>
      <c r="Q2153" s="1" t="e">
        <f t="shared" si="477"/>
        <v>#VALUE!</v>
      </c>
      <c r="R2153" s="1" t="e">
        <f t="shared" si="478"/>
        <v>#VALUE!</v>
      </c>
      <c r="S2153" s="1" t="e">
        <f t="shared" si="479"/>
        <v>#VALUE!</v>
      </c>
      <c r="T2153" s="1" t="e">
        <f t="shared" si="480"/>
        <v>#VALUE!</v>
      </c>
      <c r="U2153" s="26" t="e">
        <f t="shared" si="481"/>
        <v>#VALUE!</v>
      </c>
      <c r="V2153" s="26" t="e">
        <f t="shared" si="482"/>
        <v>#VALUE!</v>
      </c>
      <c r="W2153" s="1" t="e">
        <f t="shared" si="483"/>
        <v>#VALUE!</v>
      </c>
      <c r="X2153" s="26" t="e">
        <f t="shared" si="484"/>
        <v>#VALUE!</v>
      </c>
      <c r="Y2153" s="26" t="e">
        <f t="shared" si="485"/>
        <v>#VALUE!</v>
      </c>
      <c r="Z2153" s="1" t="e">
        <f t="shared" si="486"/>
        <v>#VALUE!</v>
      </c>
      <c r="AA2153"/>
      <c r="AB2153"/>
    </row>
    <row r="2154" spans="1:28" x14ac:dyDescent="0.55000000000000004">
      <c r="A2154" s="1">
        <f t="shared" si="473"/>
        <v>2154</v>
      </c>
      <c r="B2154" t="s">
        <v>35</v>
      </c>
      <c r="N2154" s="1" t="e">
        <f t="shared" si="474"/>
        <v>#VALUE!</v>
      </c>
      <c r="O2154" s="1" t="e">
        <f t="shared" si="475"/>
        <v>#VALUE!</v>
      </c>
      <c r="P2154" s="1" t="e">
        <f t="shared" si="476"/>
        <v>#VALUE!</v>
      </c>
      <c r="Q2154" s="1" t="e">
        <f t="shared" si="477"/>
        <v>#VALUE!</v>
      </c>
      <c r="R2154" s="1" t="e">
        <f t="shared" si="478"/>
        <v>#VALUE!</v>
      </c>
      <c r="S2154" s="1" t="e">
        <f t="shared" si="479"/>
        <v>#VALUE!</v>
      </c>
      <c r="T2154" s="1" t="e">
        <f t="shared" si="480"/>
        <v>#VALUE!</v>
      </c>
      <c r="U2154" s="26" t="e">
        <f t="shared" si="481"/>
        <v>#VALUE!</v>
      </c>
      <c r="V2154" s="26" t="e">
        <f t="shared" si="482"/>
        <v>#VALUE!</v>
      </c>
      <c r="W2154" s="1" t="e">
        <f t="shared" si="483"/>
        <v>#VALUE!</v>
      </c>
      <c r="X2154" s="26" t="e">
        <f t="shared" si="484"/>
        <v>#VALUE!</v>
      </c>
      <c r="Y2154" s="26" t="e">
        <f t="shared" si="485"/>
        <v>#VALUE!</v>
      </c>
      <c r="Z2154" s="1" t="e">
        <f t="shared" si="486"/>
        <v>#VALUE!</v>
      </c>
      <c r="AA2154"/>
      <c r="AB2154"/>
    </row>
    <row r="2155" spans="1:28" x14ac:dyDescent="0.55000000000000004">
      <c r="A2155" s="1">
        <f t="shared" si="473"/>
        <v>2155</v>
      </c>
      <c r="B2155" t="s">
        <v>35</v>
      </c>
      <c r="N2155" s="1" t="e">
        <f t="shared" si="474"/>
        <v>#VALUE!</v>
      </c>
      <c r="O2155" s="1" t="e">
        <f t="shared" si="475"/>
        <v>#VALUE!</v>
      </c>
      <c r="P2155" s="1" t="e">
        <f t="shared" si="476"/>
        <v>#VALUE!</v>
      </c>
      <c r="Q2155" s="1" t="e">
        <f t="shared" si="477"/>
        <v>#VALUE!</v>
      </c>
      <c r="R2155" s="1" t="e">
        <f t="shared" si="478"/>
        <v>#VALUE!</v>
      </c>
      <c r="S2155" s="1" t="e">
        <f t="shared" si="479"/>
        <v>#VALUE!</v>
      </c>
      <c r="T2155" s="1" t="e">
        <f t="shared" si="480"/>
        <v>#VALUE!</v>
      </c>
      <c r="U2155" s="26" t="e">
        <f t="shared" si="481"/>
        <v>#VALUE!</v>
      </c>
      <c r="V2155" s="26" t="e">
        <f t="shared" si="482"/>
        <v>#VALUE!</v>
      </c>
      <c r="W2155" s="1" t="e">
        <f t="shared" si="483"/>
        <v>#VALUE!</v>
      </c>
      <c r="X2155" s="26" t="e">
        <f t="shared" si="484"/>
        <v>#VALUE!</v>
      </c>
      <c r="Y2155" s="26" t="e">
        <f t="shared" si="485"/>
        <v>#VALUE!</v>
      </c>
      <c r="Z2155" s="1" t="e">
        <f t="shared" si="486"/>
        <v>#VALUE!</v>
      </c>
      <c r="AA2155"/>
      <c r="AB2155"/>
    </row>
    <row r="2156" spans="1:28" x14ac:dyDescent="0.55000000000000004">
      <c r="A2156" s="1">
        <f t="shared" si="473"/>
        <v>2156</v>
      </c>
      <c r="B2156" t="s">
        <v>35</v>
      </c>
      <c r="N2156" s="1" t="e">
        <f t="shared" si="474"/>
        <v>#VALUE!</v>
      </c>
      <c r="O2156" s="1" t="e">
        <f t="shared" si="475"/>
        <v>#VALUE!</v>
      </c>
      <c r="P2156" s="1" t="e">
        <f t="shared" si="476"/>
        <v>#VALUE!</v>
      </c>
      <c r="Q2156" s="1" t="e">
        <f t="shared" si="477"/>
        <v>#VALUE!</v>
      </c>
      <c r="R2156" s="1" t="e">
        <f t="shared" si="478"/>
        <v>#VALUE!</v>
      </c>
      <c r="S2156" s="1" t="e">
        <f t="shared" si="479"/>
        <v>#VALUE!</v>
      </c>
      <c r="T2156" s="1" t="e">
        <f t="shared" si="480"/>
        <v>#VALUE!</v>
      </c>
      <c r="U2156" s="26" t="e">
        <f t="shared" si="481"/>
        <v>#VALUE!</v>
      </c>
      <c r="V2156" s="26" t="e">
        <f t="shared" si="482"/>
        <v>#VALUE!</v>
      </c>
      <c r="W2156" s="1" t="e">
        <f t="shared" si="483"/>
        <v>#VALUE!</v>
      </c>
      <c r="X2156" s="26" t="e">
        <f t="shared" si="484"/>
        <v>#VALUE!</v>
      </c>
      <c r="Y2156" s="26" t="e">
        <f t="shared" si="485"/>
        <v>#VALUE!</v>
      </c>
      <c r="Z2156" s="1" t="e">
        <f t="shared" si="486"/>
        <v>#VALUE!</v>
      </c>
      <c r="AA2156"/>
      <c r="AB2156"/>
    </row>
    <row r="2157" spans="1:28" x14ac:dyDescent="0.55000000000000004">
      <c r="A2157" s="1">
        <f t="shared" si="473"/>
        <v>2157</v>
      </c>
      <c r="B2157" t="s">
        <v>35</v>
      </c>
      <c r="N2157" s="1" t="e">
        <f t="shared" si="474"/>
        <v>#VALUE!</v>
      </c>
      <c r="O2157" s="1" t="e">
        <f t="shared" si="475"/>
        <v>#VALUE!</v>
      </c>
      <c r="P2157" s="1" t="e">
        <f t="shared" si="476"/>
        <v>#VALUE!</v>
      </c>
      <c r="Q2157" s="1" t="e">
        <f t="shared" si="477"/>
        <v>#VALUE!</v>
      </c>
      <c r="R2157" s="1" t="e">
        <f t="shared" si="478"/>
        <v>#VALUE!</v>
      </c>
      <c r="S2157" s="1" t="e">
        <f t="shared" si="479"/>
        <v>#VALUE!</v>
      </c>
      <c r="T2157" s="1" t="e">
        <f t="shared" si="480"/>
        <v>#VALUE!</v>
      </c>
      <c r="U2157" s="26" t="e">
        <f t="shared" si="481"/>
        <v>#VALUE!</v>
      </c>
      <c r="V2157" s="26" t="e">
        <f t="shared" si="482"/>
        <v>#VALUE!</v>
      </c>
      <c r="W2157" s="1" t="e">
        <f t="shared" si="483"/>
        <v>#VALUE!</v>
      </c>
      <c r="X2157" s="26" t="e">
        <f t="shared" si="484"/>
        <v>#VALUE!</v>
      </c>
      <c r="Y2157" s="26" t="e">
        <f t="shared" si="485"/>
        <v>#VALUE!</v>
      </c>
      <c r="Z2157" s="1" t="e">
        <f t="shared" si="486"/>
        <v>#VALUE!</v>
      </c>
      <c r="AA2157"/>
      <c r="AB2157"/>
    </row>
    <row r="2158" spans="1:28" x14ac:dyDescent="0.55000000000000004">
      <c r="A2158" s="1">
        <f t="shared" si="473"/>
        <v>2158</v>
      </c>
      <c r="B2158" t="s">
        <v>35</v>
      </c>
      <c r="N2158" s="1" t="e">
        <f t="shared" si="474"/>
        <v>#VALUE!</v>
      </c>
      <c r="O2158" s="1" t="e">
        <f t="shared" si="475"/>
        <v>#VALUE!</v>
      </c>
      <c r="P2158" s="1" t="e">
        <f t="shared" si="476"/>
        <v>#VALUE!</v>
      </c>
      <c r="Q2158" s="1" t="e">
        <f t="shared" si="477"/>
        <v>#VALUE!</v>
      </c>
      <c r="R2158" s="1" t="e">
        <f t="shared" si="478"/>
        <v>#VALUE!</v>
      </c>
      <c r="S2158" s="1" t="e">
        <f t="shared" si="479"/>
        <v>#VALUE!</v>
      </c>
      <c r="T2158" s="1" t="e">
        <f t="shared" si="480"/>
        <v>#VALUE!</v>
      </c>
      <c r="U2158" s="26" t="e">
        <f t="shared" si="481"/>
        <v>#VALUE!</v>
      </c>
      <c r="V2158" s="26" t="e">
        <f t="shared" si="482"/>
        <v>#VALUE!</v>
      </c>
      <c r="W2158" s="1" t="e">
        <f t="shared" si="483"/>
        <v>#VALUE!</v>
      </c>
      <c r="X2158" s="26" t="e">
        <f t="shared" si="484"/>
        <v>#VALUE!</v>
      </c>
      <c r="Y2158" s="26" t="e">
        <f t="shared" si="485"/>
        <v>#VALUE!</v>
      </c>
      <c r="Z2158" s="1" t="e">
        <f t="shared" si="486"/>
        <v>#VALUE!</v>
      </c>
      <c r="AA2158"/>
      <c r="AB2158"/>
    </row>
    <row r="2159" spans="1:28" x14ac:dyDescent="0.55000000000000004">
      <c r="A2159" s="1">
        <f t="shared" si="473"/>
        <v>2159</v>
      </c>
      <c r="B2159" t="s">
        <v>35</v>
      </c>
      <c r="N2159" s="1" t="e">
        <f t="shared" si="474"/>
        <v>#VALUE!</v>
      </c>
      <c r="O2159" s="1" t="e">
        <f t="shared" si="475"/>
        <v>#VALUE!</v>
      </c>
      <c r="P2159" s="1" t="e">
        <f t="shared" si="476"/>
        <v>#VALUE!</v>
      </c>
      <c r="Q2159" s="1" t="e">
        <f t="shared" si="477"/>
        <v>#VALUE!</v>
      </c>
      <c r="R2159" s="1" t="e">
        <f t="shared" si="478"/>
        <v>#VALUE!</v>
      </c>
      <c r="S2159" s="1" t="e">
        <f t="shared" si="479"/>
        <v>#VALUE!</v>
      </c>
      <c r="T2159" s="1" t="e">
        <f t="shared" si="480"/>
        <v>#VALUE!</v>
      </c>
      <c r="U2159" s="26" t="e">
        <f t="shared" si="481"/>
        <v>#VALUE!</v>
      </c>
      <c r="V2159" s="26" t="e">
        <f t="shared" si="482"/>
        <v>#VALUE!</v>
      </c>
      <c r="W2159" s="1" t="e">
        <f t="shared" si="483"/>
        <v>#VALUE!</v>
      </c>
      <c r="X2159" s="26" t="e">
        <f t="shared" si="484"/>
        <v>#VALUE!</v>
      </c>
      <c r="Y2159" s="26" t="e">
        <f t="shared" si="485"/>
        <v>#VALUE!</v>
      </c>
      <c r="Z2159" s="1" t="e">
        <f t="shared" si="486"/>
        <v>#VALUE!</v>
      </c>
      <c r="AA2159"/>
      <c r="AB2159"/>
    </row>
    <row r="2160" spans="1:28" x14ac:dyDescent="0.55000000000000004">
      <c r="A2160" s="1">
        <f t="shared" si="473"/>
        <v>2160</v>
      </c>
      <c r="B2160" t="s">
        <v>35</v>
      </c>
      <c r="N2160" s="1" t="e">
        <f t="shared" si="474"/>
        <v>#VALUE!</v>
      </c>
      <c r="O2160" s="1" t="e">
        <f t="shared" si="475"/>
        <v>#VALUE!</v>
      </c>
      <c r="P2160" s="1" t="e">
        <f t="shared" si="476"/>
        <v>#VALUE!</v>
      </c>
      <c r="Q2160" s="1" t="e">
        <f t="shared" si="477"/>
        <v>#VALUE!</v>
      </c>
      <c r="R2160" s="1" t="e">
        <f t="shared" si="478"/>
        <v>#VALUE!</v>
      </c>
      <c r="S2160" s="1" t="e">
        <f t="shared" si="479"/>
        <v>#VALUE!</v>
      </c>
      <c r="T2160" s="1" t="e">
        <f t="shared" si="480"/>
        <v>#VALUE!</v>
      </c>
      <c r="U2160" s="26" t="e">
        <f t="shared" si="481"/>
        <v>#VALUE!</v>
      </c>
      <c r="V2160" s="26" t="e">
        <f t="shared" si="482"/>
        <v>#VALUE!</v>
      </c>
      <c r="W2160" s="1" t="e">
        <f t="shared" si="483"/>
        <v>#VALUE!</v>
      </c>
      <c r="X2160" s="26" t="e">
        <f t="shared" si="484"/>
        <v>#VALUE!</v>
      </c>
      <c r="Y2160" s="26" t="e">
        <f t="shared" si="485"/>
        <v>#VALUE!</v>
      </c>
      <c r="Z2160" s="1" t="e">
        <f t="shared" si="486"/>
        <v>#VALUE!</v>
      </c>
      <c r="AA2160"/>
      <c r="AB2160"/>
    </row>
    <row r="2161" spans="1:28" x14ac:dyDescent="0.55000000000000004">
      <c r="A2161" s="1">
        <f t="shared" si="473"/>
        <v>2161</v>
      </c>
      <c r="B2161" t="s">
        <v>35</v>
      </c>
      <c r="N2161" s="1" t="e">
        <f t="shared" si="474"/>
        <v>#VALUE!</v>
      </c>
      <c r="O2161" s="1" t="e">
        <f t="shared" si="475"/>
        <v>#VALUE!</v>
      </c>
      <c r="P2161" s="1" t="e">
        <f t="shared" si="476"/>
        <v>#VALUE!</v>
      </c>
      <c r="Q2161" s="1" t="e">
        <f t="shared" si="477"/>
        <v>#VALUE!</v>
      </c>
      <c r="R2161" s="1" t="e">
        <f t="shared" si="478"/>
        <v>#VALUE!</v>
      </c>
      <c r="S2161" s="1" t="e">
        <f t="shared" si="479"/>
        <v>#VALUE!</v>
      </c>
      <c r="T2161" s="1" t="e">
        <f t="shared" si="480"/>
        <v>#VALUE!</v>
      </c>
      <c r="U2161" s="26" t="e">
        <f t="shared" si="481"/>
        <v>#VALUE!</v>
      </c>
      <c r="V2161" s="26" t="e">
        <f t="shared" si="482"/>
        <v>#VALUE!</v>
      </c>
      <c r="W2161" s="1" t="e">
        <f t="shared" si="483"/>
        <v>#VALUE!</v>
      </c>
      <c r="X2161" s="26" t="e">
        <f t="shared" si="484"/>
        <v>#VALUE!</v>
      </c>
      <c r="Y2161" s="26" t="e">
        <f t="shared" si="485"/>
        <v>#VALUE!</v>
      </c>
      <c r="Z2161" s="1" t="e">
        <f t="shared" si="486"/>
        <v>#VALUE!</v>
      </c>
      <c r="AA2161"/>
      <c r="AB2161"/>
    </row>
    <row r="2162" spans="1:28" x14ac:dyDescent="0.55000000000000004">
      <c r="A2162" s="1">
        <f t="shared" si="473"/>
        <v>2162</v>
      </c>
      <c r="B2162" t="s">
        <v>35</v>
      </c>
      <c r="N2162" s="1" t="e">
        <f t="shared" si="474"/>
        <v>#VALUE!</v>
      </c>
      <c r="O2162" s="1" t="e">
        <f t="shared" si="475"/>
        <v>#VALUE!</v>
      </c>
      <c r="P2162" s="1" t="e">
        <f t="shared" si="476"/>
        <v>#VALUE!</v>
      </c>
      <c r="Q2162" s="1" t="e">
        <f t="shared" si="477"/>
        <v>#VALUE!</v>
      </c>
      <c r="R2162" s="1" t="e">
        <f t="shared" si="478"/>
        <v>#VALUE!</v>
      </c>
      <c r="S2162" s="1" t="e">
        <f t="shared" si="479"/>
        <v>#VALUE!</v>
      </c>
      <c r="T2162" s="1" t="e">
        <f t="shared" si="480"/>
        <v>#VALUE!</v>
      </c>
      <c r="U2162" s="26" t="e">
        <f t="shared" si="481"/>
        <v>#VALUE!</v>
      </c>
      <c r="V2162" s="26" t="e">
        <f t="shared" si="482"/>
        <v>#VALUE!</v>
      </c>
      <c r="W2162" s="1" t="e">
        <f t="shared" si="483"/>
        <v>#VALUE!</v>
      </c>
      <c r="X2162" s="26" t="e">
        <f t="shared" si="484"/>
        <v>#VALUE!</v>
      </c>
      <c r="Y2162" s="26" t="e">
        <f t="shared" si="485"/>
        <v>#VALUE!</v>
      </c>
      <c r="Z2162" s="1" t="e">
        <f t="shared" si="486"/>
        <v>#VALUE!</v>
      </c>
      <c r="AA2162"/>
      <c r="AB2162"/>
    </row>
    <row r="2163" spans="1:28" x14ac:dyDescent="0.55000000000000004">
      <c r="A2163" s="1">
        <f t="shared" si="473"/>
        <v>2163</v>
      </c>
      <c r="B2163" t="s">
        <v>35</v>
      </c>
      <c r="N2163" s="1" t="e">
        <f t="shared" si="474"/>
        <v>#VALUE!</v>
      </c>
      <c r="O2163" s="1" t="e">
        <f t="shared" si="475"/>
        <v>#VALUE!</v>
      </c>
      <c r="P2163" s="1" t="e">
        <f t="shared" si="476"/>
        <v>#VALUE!</v>
      </c>
      <c r="Q2163" s="1" t="e">
        <f t="shared" si="477"/>
        <v>#VALUE!</v>
      </c>
      <c r="R2163" s="1" t="e">
        <f t="shared" si="478"/>
        <v>#VALUE!</v>
      </c>
      <c r="S2163" s="1" t="e">
        <f t="shared" si="479"/>
        <v>#VALUE!</v>
      </c>
      <c r="T2163" s="1" t="e">
        <f t="shared" si="480"/>
        <v>#VALUE!</v>
      </c>
      <c r="U2163" s="26" t="e">
        <f t="shared" si="481"/>
        <v>#VALUE!</v>
      </c>
      <c r="V2163" s="26" t="e">
        <f t="shared" si="482"/>
        <v>#VALUE!</v>
      </c>
      <c r="W2163" s="1" t="e">
        <f t="shared" si="483"/>
        <v>#VALUE!</v>
      </c>
      <c r="X2163" s="26" t="e">
        <f t="shared" si="484"/>
        <v>#VALUE!</v>
      </c>
      <c r="Y2163" s="26" t="e">
        <f t="shared" si="485"/>
        <v>#VALUE!</v>
      </c>
      <c r="Z2163" s="1" t="e">
        <f t="shared" si="486"/>
        <v>#VALUE!</v>
      </c>
      <c r="AA2163"/>
      <c r="AB2163"/>
    </row>
    <row r="2164" spans="1:28" x14ac:dyDescent="0.55000000000000004">
      <c r="A2164" s="1">
        <f t="shared" si="473"/>
        <v>2164</v>
      </c>
      <c r="B2164" t="s">
        <v>35</v>
      </c>
      <c r="N2164" s="1" t="e">
        <f t="shared" si="474"/>
        <v>#VALUE!</v>
      </c>
      <c r="O2164" s="1" t="e">
        <f t="shared" si="475"/>
        <v>#VALUE!</v>
      </c>
      <c r="P2164" s="1" t="e">
        <f t="shared" si="476"/>
        <v>#VALUE!</v>
      </c>
      <c r="Q2164" s="1" t="e">
        <f t="shared" si="477"/>
        <v>#VALUE!</v>
      </c>
      <c r="R2164" s="1" t="e">
        <f t="shared" si="478"/>
        <v>#VALUE!</v>
      </c>
      <c r="S2164" s="1" t="e">
        <f t="shared" si="479"/>
        <v>#VALUE!</v>
      </c>
      <c r="T2164" s="1" t="e">
        <f t="shared" si="480"/>
        <v>#VALUE!</v>
      </c>
      <c r="U2164" s="26" t="e">
        <f t="shared" si="481"/>
        <v>#VALUE!</v>
      </c>
      <c r="V2164" s="26" t="e">
        <f t="shared" si="482"/>
        <v>#VALUE!</v>
      </c>
      <c r="W2164" s="1" t="e">
        <f t="shared" si="483"/>
        <v>#VALUE!</v>
      </c>
      <c r="X2164" s="26" t="e">
        <f t="shared" si="484"/>
        <v>#VALUE!</v>
      </c>
      <c r="Y2164" s="26" t="e">
        <f t="shared" si="485"/>
        <v>#VALUE!</v>
      </c>
      <c r="Z2164" s="1" t="e">
        <f t="shared" si="486"/>
        <v>#VALUE!</v>
      </c>
      <c r="AA2164"/>
      <c r="AB2164"/>
    </row>
    <row r="2165" spans="1:28" x14ac:dyDescent="0.55000000000000004">
      <c r="A2165" s="1">
        <f t="shared" si="473"/>
        <v>2165</v>
      </c>
      <c r="B2165" t="s">
        <v>35</v>
      </c>
      <c r="N2165" s="1" t="e">
        <f t="shared" si="474"/>
        <v>#VALUE!</v>
      </c>
      <c r="O2165" s="1" t="e">
        <f t="shared" si="475"/>
        <v>#VALUE!</v>
      </c>
      <c r="P2165" s="1" t="e">
        <f t="shared" si="476"/>
        <v>#VALUE!</v>
      </c>
      <c r="Q2165" s="1" t="e">
        <f t="shared" si="477"/>
        <v>#VALUE!</v>
      </c>
      <c r="R2165" s="1" t="e">
        <f t="shared" si="478"/>
        <v>#VALUE!</v>
      </c>
      <c r="S2165" s="1" t="e">
        <f t="shared" si="479"/>
        <v>#VALUE!</v>
      </c>
      <c r="T2165" s="1" t="e">
        <f t="shared" si="480"/>
        <v>#VALUE!</v>
      </c>
      <c r="U2165" s="26" t="e">
        <f t="shared" si="481"/>
        <v>#VALUE!</v>
      </c>
      <c r="V2165" s="26" t="e">
        <f t="shared" si="482"/>
        <v>#VALUE!</v>
      </c>
      <c r="W2165" s="1" t="e">
        <f t="shared" si="483"/>
        <v>#VALUE!</v>
      </c>
      <c r="X2165" s="26" t="e">
        <f t="shared" si="484"/>
        <v>#VALUE!</v>
      </c>
      <c r="Y2165" s="26" t="e">
        <f t="shared" si="485"/>
        <v>#VALUE!</v>
      </c>
      <c r="Z2165" s="1" t="e">
        <f t="shared" si="486"/>
        <v>#VALUE!</v>
      </c>
      <c r="AA2165"/>
      <c r="AB2165"/>
    </row>
    <row r="2166" spans="1:28" x14ac:dyDescent="0.55000000000000004">
      <c r="A2166" s="1">
        <f t="shared" si="473"/>
        <v>2166</v>
      </c>
      <c r="B2166" t="s">
        <v>35</v>
      </c>
      <c r="N2166" s="1" t="e">
        <f t="shared" si="474"/>
        <v>#VALUE!</v>
      </c>
      <c r="O2166" s="1" t="e">
        <f t="shared" si="475"/>
        <v>#VALUE!</v>
      </c>
      <c r="P2166" s="1" t="e">
        <f t="shared" si="476"/>
        <v>#VALUE!</v>
      </c>
      <c r="Q2166" s="1" t="e">
        <f t="shared" si="477"/>
        <v>#VALUE!</v>
      </c>
      <c r="R2166" s="1" t="e">
        <f t="shared" si="478"/>
        <v>#VALUE!</v>
      </c>
      <c r="S2166" s="1" t="e">
        <f t="shared" si="479"/>
        <v>#VALUE!</v>
      </c>
      <c r="T2166" s="1" t="e">
        <f t="shared" si="480"/>
        <v>#VALUE!</v>
      </c>
      <c r="U2166" s="26" t="e">
        <f t="shared" si="481"/>
        <v>#VALUE!</v>
      </c>
      <c r="V2166" s="26" t="e">
        <f t="shared" si="482"/>
        <v>#VALUE!</v>
      </c>
      <c r="W2166" s="1" t="e">
        <f t="shared" si="483"/>
        <v>#VALUE!</v>
      </c>
      <c r="X2166" s="26" t="e">
        <f t="shared" si="484"/>
        <v>#VALUE!</v>
      </c>
      <c r="Y2166" s="26" t="e">
        <f t="shared" si="485"/>
        <v>#VALUE!</v>
      </c>
      <c r="Z2166" s="1" t="e">
        <f t="shared" si="486"/>
        <v>#VALUE!</v>
      </c>
      <c r="AA2166"/>
      <c r="AB2166"/>
    </row>
    <row r="2167" spans="1:28" x14ac:dyDescent="0.55000000000000004">
      <c r="A2167" s="1">
        <f t="shared" si="473"/>
        <v>2167</v>
      </c>
      <c r="B2167" t="s">
        <v>35</v>
      </c>
      <c r="N2167" s="1" t="e">
        <f t="shared" si="474"/>
        <v>#VALUE!</v>
      </c>
      <c r="O2167" s="1" t="e">
        <f t="shared" si="475"/>
        <v>#VALUE!</v>
      </c>
      <c r="P2167" s="1" t="e">
        <f t="shared" si="476"/>
        <v>#VALUE!</v>
      </c>
      <c r="Q2167" s="1" t="e">
        <f t="shared" si="477"/>
        <v>#VALUE!</v>
      </c>
      <c r="R2167" s="1" t="e">
        <f t="shared" si="478"/>
        <v>#VALUE!</v>
      </c>
      <c r="S2167" s="1" t="e">
        <f t="shared" si="479"/>
        <v>#VALUE!</v>
      </c>
      <c r="T2167" s="1" t="e">
        <f t="shared" si="480"/>
        <v>#VALUE!</v>
      </c>
      <c r="U2167" s="26" t="e">
        <f t="shared" si="481"/>
        <v>#VALUE!</v>
      </c>
      <c r="V2167" s="26" t="e">
        <f t="shared" si="482"/>
        <v>#VALUE!</v>
      </c>
      <c r="W2167" s="1" t="e">
        <f t="shared" si="483"/>
        <v>#VALUE!</v>
      </c>
      <c r="X2167" s="26" t="e">
        <f t="shared" si="484"/>
        <v>#VALUE!</v>
      </c>
      <c r="Y2167" s="26" t="e">
        <f t="shared" si="485"/>
        <v>#VALUE!</v>
      </c>
      <c r="Z2167" s="1" t="e">
        <f t="shared" si="486"/>
        <v>#VALUE!</v>
      </c>
      <c r="AA2167"/>
      <c r="AB2167"/>
    </row>
    <row r="2168" spans="1:28" x14ac:dyDescent="0.55000000000000004">
      <c r="A2168" s="1">
        <f t="shared" si="473"/>
        <v>2168</v>
      </c>
      <c r="B2168" t="s">
        <v>35</v>
      </c>
      <c r="N2168" s="1" t="e">
        <f t="shared" si="474"/>
        <v>#VALUE!</v>
      </c>
      <c r="O2168" s="1" t="e">
        <f t="shared" si="475"/>
        <v>#VALUE!</v>
      </c>
      <c r="P2168" s="1" t="e">
        <f t="shared" si="476"/>
        <v>#VALUE!</v>
      </c>
      <c r="Q2168" s="1" t="e">
        <f t="shared" si="477"/>
        <v>#VALUE!</v>
      </c>
      <c r="R2168" s="1" t="e">
        <f t="shared" si="478"/>
        <v>#VALUE!</v>
      </c>
      <c r="S2168" s="1" t="e">
        <f t="shared" si="479"/>
        <v>#VALUE!</v>
      </c>
      <c r="T2168" s="1" t="e">
        <f t="shared" si="480"/>
        <v>#VALUE!</v>
      </c>
      <c r="U2168" s="26" t="e">
        <f t="shared" si="481"/>
        <v>#VALUE!</v>
      </c>
      <c r="V2168" s="26" t="e">
        <f t="shared" si="482"/>
        <v>#VALUE!</v>
      </c>
      <c r="W2168" s="1" t="e">
        <f t="shared" si="483"/>
        <v>#VALUE!</v>
      </c>
      <c r="X2168" s="26" t="e">
        <f t="shared" si="484"/>
        <v>#VALUE!</v>
      </c>
      <c r="Y2168" s="26" t="e">
        <f t="shared" si="485"/>
        <v>#VALUE!</v>
      </c>
      <c r="Z2168" s="1" t="e">
        <f t="shared" si="486"/>
        <v>#VALUE!</v>
      </c>
      <c r="AA2168"/>
      <c r="AB2168"/>
    </row>
    <row r="2169" spans="1:28" x14ac:dyDescent="0.55000000000000004">
      <c r="A2169" s="1">
        <f t="shared" si="473"/>
        <v>2169</v>
      </c>
      <c r="B2169" t="s">
        <v>35</v>
      </c>
      <c r="N2169" s="1" t="e">
        <f t="shared" si="474"/>
        <v>#VALUE!</v>
      </c>
      <c r="O2169" s="1" t="e">
        <f t="shared" si="475"/>
        <v>#VALUE!</v>
      </c>
      <c r="P2169" s="1" t="e">
        <f t="shared" si="476"/>
        <v>#VALUE!</v>
      </c>
      <c r="Q2169" s="1" t="e">
        <f t="shared" si="477"/>
        <v>#VALUE!</v>
      </c>
      <c r="R2169" s="1" t="e">
        <f t="shared" si="478"/>
        <v>#VALUE!</v>
      </c>
      <c r="S2169" s="1" t="e">
        <f t="shared" si="479"/>
        <v>#VALUE!</v>
      </c>
      <c r="T2169" s="1" t="e">
        <f t="shared" si="480"/>
        <v>#VALUE!</v>
      </c>
      <c r="U2169" s="26" t="e">
        <f t="shared" si="481"/>
        <v>#VALUE!</v>
      </c>
      <c r="V2169" s="26" t="e">
        <f t="shared" si="482"/>
        <v>#VALUE!</v>
      </c>
      <c r="W2169" s="1" t="e">
        <f t="shared" si="483"/>
        <v>#VALUE!</v>
      </c>
      <c r="X2169" s="26" t="e">
        <f t="shared" si="484"/>
        <v>#VALUE!</v>
      </c>
      <c r="Y2169" s="26" t="e">
        <f t="shared" si="485"/>
        <v>#VALUE!</v>
      </c>
      <c r="Z2169" s="1" t="e">
        <f t="shared" si="486"/>
        <v>#VALUE!</v>
      </c>
      <c r="AA2169"/>
      <c r="AB2169"/>
    </row>
    <row r="2170" spans="1:28" x14ac:dyDescent="0.55000000000000004">
      <c r="A2170" s="1">
        <f t="shared" si="473"/>
        <v>2170</v>
      </c>
      <c r="B2170" t="s">
        <v>35</v>
      </c>
      <c r="N2170" s="1" t="e">
        <f t="shared" si="474"/>
        <v>#VALUE!</v>
      </c>
      <c r="O2170" s="1" t="e">
        <f t="shared" si="475"/>
        <v>#VALUE!</v>
      </c>
      <c r="P2170" s="1" t="e">
        <f t="shared" si="476"/>
        <v>#VALUE!</v>
      </c>
      <c r="Q2170" s="1" t="e">
        <f t="shared" si="477"/>
        <v>#VALUE!</v>
      </c>
      <c r="R2170" s="1" t="e">
        <f t="shared" si="478"/>
        <v>#VALUE!</v>
      </c>
      <c r="S2170" s="1" t="e">
        <f t="shared" si="479"/>
        <v>#VALUE!</v>
      </c>
      <c r="T2170" s="1" t="e">
        <f t="shared" si="480"/>
        <v>#VALUE!</v>
      </c>
      <c r="U2170" s="26" t="e">
        <f t="shared" si="481"/>
        <v>#VALUE!</v>
      </c>
      <c r="V2170" s="26" t="e">
        <f t="shared" si="482"/>
        <v>#VALUE!</v>
      </c>
      <c r="W2170" s="1" t="e">
        <f t="shared" si="483"/>
        <v>#VALUE!</v>
      </c>
      <c r="X2170" s="26" t="e">
        <f t="shared" si="484"/>
        <v>#VALUE!</v>
      </c>
      <c r="Y2170" s="26" t="e">
        <f t="shared" si="485"/>
        <v>#VALUE!</v>
      </c>
      <c r="Z2170" s="1" t="e">
        <f t="shared" si="486"/>
        <v>#VALUE!</v>
      </c>
      <c r="AA2170"/>
      <c r="AB2170"/>
    </row>
    <row r="2171" spans="1:28" x14ac:dyDescent="0.55000000000000004">
      <c r="A2171" s="1">
        <f t="shared" si="473"/>
        <v>2171</v>
      </c>
      <c r="B2171" t="s">
        <v>35</v>
      </c>
      <c r="N2171" s="1" t="e">
        <f t="shared" si="474"/>
        <v>#VALUE!</v>
      </c>
      <c r="O2171" s="1" t="e">
        <f t="shared" si="475"/>
        <v>#VALUE!</v>
      </c>
      <c r="P2171" s="1" t="e">
        <f t="shared" si="476"/>
        <v>#VALUE!</v>
      </c>
      <c r="Q2171" s="1" t="e">
        <f t="shared" si="477"/>
        <v>#VALUE!</v>
      </c>
      <c r="R2171" s="1" t="e">
        <f t="shared" si="478"/>
        <v>#VALUE!</v>
      </c>
      <c r="S2171" s="1" t="e">
        <f t="shared" si="479"/>
        <v>#VALUE!</v>
      </c>
      <c r="T2171" s="1" t="e">
        <f t="shared" si="480"/>
        <v>#VALUE!</v>
      </c>
      <c r="U2171" s="26" t="e">
        <f t="shared" si="481"/>
        <v>#VALUE!</v>
      </c>
      <c r="V2171" s="26" t="e">
        <f t="shared" si="482"/>
        <v>#VALUE!</v>
      </c>
      <c r="W2171" s="1" t="e">
        <f t="shared" si="483"/>
        <v>#VALUE!</v>
      </c>
      <c r="X2171" s="26" t="e">
        <f t="shared" si="484"/>
        <v>#VALUE!</v>
      </c>
      <c r="Y2171" s="26" t="e">
        <f t="shared" si="485"/>
        <v>#VALUE!</v>
      </c>
      <c r="Z2171" s="1" t="e">
        <f t="shared" si="486"/>
        <v>#VALUE!</v>
      </c>
      <c r="AA2171"/>
      <c r="AB2171"/>
    </row>
    <row r="2172" spans="1:28" x14ac:dyDescent="0.55000000000000004">
      <c r="A2172" s="1">
        <f t="shared" si="473"/>
        <v>2172</v>
      </c>
      <c r="B2172" t="s">
        <v>36</v>
      </c>
      <c r="N2172" s="1" t="e">
        <f t="shared" si="474"/>
        <v>#VALUE!</v>
      </c>
      <c r="O2172" s="1" t="e">
        <f t="shared" si="475"/>
        <v>#VALUE!</v>
      </c>
      <c r="P2172" s="1" t="e">
        <f t="shared" si="476"/>
        <v>#VALUE!</v>
      </c>
      <c r="Q2172" s="1" t="e">
        <f t="shared" si="477"/>
        <v>#VALUE!</v>
      </c>
      <c r="R2172" s="1" t="e">
        <f t="shared" si="478"/>
        <v>#VALUE!</v>
      </c>
      <c r="S2172" s="1" t="e">
        <f t="shared" si="479"/>
        <v>#VALUE!</v>
      </c>
      <c r="T2172" s="1" t="e">
        <f t="shared" si="480"/>
        <v>#VALUE!</v>
      </c>
      <c r="U2172" s="26" t="e">
        <f t="shared" si="481"/>
        <v>#VALUE!</v>
      </c>
      <c r="V2172" s="26" t="e">
        <f t="shared" si="482"/>
        <v>#VALUE!</v>
      </c>
      <c r="W2172" s="1" t="e">
        <f t="shared" si="483"/>
        <v>#VALUE!</v>
      </c>
      <c r="X2172" s="26" t="e">
        <f t="shared" si="484"/>
        <v>#VALUE!</v>
      </c>
      <c r="Y2172" s="26" t="e">
        <f t="shared" si="485"/>
        <v>#VALUE!</v>
      </c>
      <c r="Z2172" s="1" t="e">
        <f t="shared" si="486"/>
        <v>#VALUE!</v>
      </c>
      <c r="AA2172"/>
      <c r="AB2172"/>
    </row>
    <row r="2173" spans="1:28" x14ac:dyDescent="0.55000000000000004">
      <c r="A2173" s="1">
        <f t="shared" si="473"/>
        <v>2173</v>
      </c>
      <c r="B2173" t="s">
        <v>37</v>
      </c>
      <c r="N2173" s="1" t="e">
        <f t="shared" si="474"/>
        <v>#VALUE!</v>
      </c>
      <c r="O2173" s="1" t="e">
        <f t="shared" si="475"/>
        <v>#VALUE!</v>
      </c>
      <c r="P2173" s="1" t="e">
        <f t="shared" si="476"/>
        <v>#VALUE!</v>
      </c>
      <c r="Q2173" s="1" t="e">
        <f t="shared" si="477"/>
        <v>#VALUE!</v>
      </c>
      <c r="R2173" s="1" t="e">
        <f t="shared" si="478"/>
        <v>#VALUE!</v>
      </c>
      <c r="S2173" s="1" t="e">
        <f t="shared" si="479"/>
        <v>#VALUE!</v>
      </c>
      <c r="T2173" s="1" t="e">
        <f t="shared" si="480"/>
        <v>#VALUE!</v>
      </c>
      <c r="U2173" s="26" t="e">
        <f t="shared" si="481"/>
        <v>#VALUE!</v>
      </c>
      <c r="V2173" s="26" t="e">
        <f t="shared" si="482"/>
        <v>#VALUE!</v>
      </c>
      <c r="W2173" s="1" t="e">
        <f t="shared" si="483"/>
        <v>#VALUE!</v>
      </c>
      <c r="X2173" s="26" t="e">
        <f t="shared" si="484"/>
        <v>#VALUE!</v>
      </c>
      <c r="Y2173" s="26" t="e">
        <f t="shared" si="485"/>
        <v>#VALUE!</v>
      </c>
      <c r="Z2173" s="1" t="e">
        <f t="shared" si="486"/>
        <v>#VALUE!</v>
      </c>
      <c r="AA2173"/>
      <c r="AB2173"/>
    </row>
    <row r="2174" spans="1:28" x14ac:dyDescent="0.55000000000000004">
      <c r="A2174" s="1">
        <f t="shared" si="473"/>
        <v>2174</v>
      </c>
      <c r="B2174" t="s">
        <v>37</v>
      </c>
      <c r="N2174" s="1" t="e">
        <f t="shared" si="474"/>
        <v>#VALUE!</v>
      </c>
      <c r="O2174" s="1" t="e">
        <f t="shared" si="475"/>
        <v>#VALUE!</v>
      </c>
      <c r="P2174" s="1" t="e">
        <f t="shared" si="476"/>
        <v>#VALUE!</v>
      </c>
      <c r="Q2174" s="1" t="e">
        <f t="shared" si="477"/>
        <v>#VALUE!</v>
      </c>
      <c r="R2174" s="1" t="e">
        <f t="shared" si="478"/>
        <v>#VALUE!</v>
      </c>
      <c r="S2174" s="1" t="e">
        <f t="shared" si="479"/>
        <v>#VALUE!</v>
      </c>
      <c r="T2174" s="1" t="e">
        <f t="shared" si="480"/>
        <v>#VALUE!</v>
      </c>
      <c r="U2174" s="26" t="e">
        <f t="shared" si="481"/>
        <v>#VALUE!</v>
      </c>
      <c r="V2174" s="26" t="e">
        <f t="shared" si="482"/>
        <v>#VALUE!</v>
      </c>
      <c r="W2174" s="1" t="e">
        <f t="shared" si="483"/>
        <v>#VALUE!</v>
      </c>
      <c r="X2174" s="26" t="e">
        <f t="shared" si="484"/>
        <v>#VALUE!</v>
      </c>
      <c r="Y2174" s="26" t="e">
        <f t="shared" si="485"/>
        <v>#VALUE!</v>
      </c>
      <c r="Z2174" s="1" t="e">
        <f t="shared" si="486"/>
        <v>#VALUE!</v>
      </c>
      <c r="AA2174"/>
      <c r="AB2174"/>
    </row>
    <row r="2175" spans="1:28" x14ac:dyDescent="0.55000000000000004">
      <c r="A2175" s="1">
        <f t="shared" si="473"/>
        <v>2175</v>
      </c>
      <c r="B2175" t="s">
        <v>37</v>
      </c>
      <c r="N2175" s="1" t="e">
        <f t="shared" si="474"/>
        <v>#VALUE!</v>
      </c>
      <c r="O2175" s="1" t="e">
        <f t="shared" si="475"/>
        <v>#VALUE!</v>
      </c>
      <c r="P2175" s="1" t="e">
        <f t="shared" si="476"/>
        <v>#VALUE!</v>
      </c>
      <c r="Q2175" s="1" t="e">
        <f t="shared" si="477"/>
        <v>#VALUE!</v>
      </c>
      <c r="R2175" s="1" t="e">
        <f t="shared" si="478"/>
        <v>#VALUE!</v>
      </c>
      <c r="S2175" s="1" t="e">
        <f t="shared" si="479"/>
        <v>#VALUE!</v>
      </c>
      <c r="T2175" s="1" t="e">
        <f t="shared" si="480"/>
        <v>#VALUE!</v>
      </c>
      <c r="U2175" s="26" t="e">
        <f t="shared" si="481"/>
        <v>#VALUE!</v>
      </c>
      <c r="V2175" s="26" t="e">
        <f t="shared" si="482"/>
        <v>#VALUE!</v>
      </c>
      <c r="W2175" s="1" t="e">
        <f t="shared" si="483"/>
        <v>#VALUE!</v>
      </c>
      <c r="X2175" s="26" t="e">
        <f t="shared" si="484"/>
        <v>#VALUE!</v>
      </c>
      <c r="Y2175" s="26" t="e">
        <f t="shared" si="485"/>
        <v>#VALUE!</v>
      </c>
      <c r="Z2175" s="1" t="e">
        <f t="shared" si="486"/>
        <v>#VALUE!</v>
      </c>
      <c r="AA2175"/>
      <c r="AB2175"/>
    </row>
    <row r="2176" spans="1:28" x14ac:dyDescent="0.55000000000000004">
      <c r="A2176" s="1">
        <f t="shared" si="473"/>
        <v>2176</v>
      </c>
      <c r="B2176" t="s">
        <v>37</v>
      </c>
      <c r="N2176" s="1" t="e">
        <f t="shared" si="474"/>
        <v>#VALUE!</v>
      </c>
      <c r="O2176" s="1" t="e">
        <f t="shared" si="475"/>
        <v>#VALUE!</v>
      </c>
      <c r="P2176" s="1" t="e">
        <f t="shared" si="476"/>
        <v>#VALUE!</v>
      </c>
      <c r="Q2176" s="1" t="e">
        <f t="shared" si="477"/>
        <v>#VALUE!</v>
      </c>
      <c r="R2176" s="1" t="e">
        <f t="shared" si="478"/>
        <v>#VALUE!</v>
      </c>
      <c r="S2176" s="1" t="e">
        <f t="shared" si="479"/>
        <v>#VALUE!</v>
      </c>
      <c r="T2176" s="1" t="e">
        <f t="shared" si="480"/>
        <v>#VALUE!</v>
      </c>
      <c r="U2176" s="26" t="e">
        <f t="shared" si="481"/>
        <v>#VALUE!</v>
      </c>
      <c r="V2176" s="26" t="e">
        <f t="shared" si="482"/>
        <v>#VALUE!</v>
      </c>
      <c r="W2176" s="1" t="e">
        <f t="shared" si="483"/>
        <v>#VALUE!</v>
      </c>
      <c r="X2176" s="26" t="e">
        <f t="shared" si="484"/>
        <v>#VALUE!</v>
      </c>
      <c r="Y2176" s="26" t="e">
        <f t="shared" si="485"/>
        <v>#VALUE!</v>
      </c>
      <c r="Z2176" s="1" t="e">
        <f t="shared" si="486"/>
        <v>#VALUE!</v>
      </c>
      <c r="AA2176"/>
      <c r="AB2176"/>
    </row>
    <row r="2177" spans="1:28" x14ac:dyDescent="0.55000000000000004">
      <c r="A2177" s="1">
        <f t="shared" si="473"/>
        <v>2177</v>
      </c>
      <c r="B2177" t="s">
        <v>37</v>
      </c>
      <c r="N2177" s="1" t="e">
        <f t="shared" si="474"/>
        <v>#VALUE!</v>
      </c>
      <c r="O2177" s="1" t="e">
        <f t="shared" si="475"/>
        <v>#VALUE!</v>
      </c>
      <c r="P2177" s="1" t="e">
        <f t="shared" si="476"/>
        <v>#VALUE!</v>
      </c>
      <c r="Q2177" s="1" t="e">
        <f t="shared" si="477"/>
        <v>#VALUE!</v>
      </c>
      <c r="R2177" s="1" t="e">
        <f t="shared" si="478"/>
        <v>#VALUE!</v>
      </c>
      <c r="S2177" s="1" t="e">
        <f t="shared" si="479"/>
        <v>#VALUE!</v>
      </c>
      <c r="T2177" s="1" t="e">
        <f t="shared" si="480"/>
        <v>#VALUE!</v>
      </c>
      <c r="U2177" s="26" t="e">
        <f t="shared" si="481"/>
        <v>#VALUE!</v>
      </c>
      <c r="V2177" s="26" t="e">
        <f t="shared" si="482"/>
        <v>#VALUE!</v>
      </c>
      <c r="W2177" s="1" t="e">
        <f t="shared" si="483"/>
        <v>#VALUE!</v>
      </c>
      <c r="X2177" s="26" t="e">
        <f t="shared" si="484"/>
        <v>#VALUE!</v>
      </c>
      <c r="Y2177" s="26" t="e">
        <f t="shared" si="485"/>
        <v>#VALUE!</v>
      </c>
      <c r="Z2177" s="1" t="e">
        <f t="shared" si="486"/>
        <v>#VALUE!</v>
      </c>
      <c r="AA2177"/>
      <c r="AB2177"/>
    </row>
    <row r="2178" spans="1:28" x14ac:dyDescent="0.55000000000000004">
      <c r="A2178" s="1">
        <f t="shared" si="473"/>
        <v>2178</v>
      </c>
      <c r="B2178" t="s">
        <v>37</v>
      </c>
      <c r="N2178" s="1" t="e">
        <f t="shared" si="474"/>
        <v>#VALUE!</v>
      </c>
      <c r="O2178" s="1" t="e">
        <f t="shared" si="475"/>
        <v>#VALUE!</v>
      </c>
      <c r="P2178" s="1" t="e">
        <f t="shared" si="476"/>
        <v>#VALUE!</v>
      </c>
      <c r="Q2178" s="1" t="e">
        <f t="shared" si="477"/>
        <v>#VALUE!</v>
      </c>
      <c r="R2178" s="1" t="e">
        <f t="shared" si="478"/>
        <v>#VALUE!</v>
      </c>
      <c r="S2178" s="1" t="e">
        <f t="shared" si="479"/>
        <v>#VALUE!</v>
      </c>
      <c r="T2178" s="1" t="e">
        <f t="shared" si="480"/>
        <v>#VALUE!</v>
      </c>
      <c r="U2178" s="26" t="e">
        <f t="shared" si="481"/>
        <v>#VALUE!</v>
      </c>
      <c r="V2178" s="26" t="e">
        <f t="shared" si="482"/>
        <v>#VALUE!</v>
      </c>
      <c r="W2178" s="1" t="e">
        <f t="shared" si="483"/>
        <v>#VALUE!</v>
      </c>
      <c r="X2178" s="26" t="e">
        <f t="shared" si="484"/>
        <v>#VALUE!</v>
      </c>
      <c r="Y2178" s="26" t="e">
        <f t="shared" si="485"/>
        <v>#VALUE!</v>
      </c>
      <c r="Z2178" s="1" t="e">
        <f t="shared" si="486"/>
        <v>#VALUE!</v>
      </c>
      <c r="AA2178"/>
      <c r="AB2178"/>
    </row>
    <row r="2179" spans="1:28" x14ac:dyDescent="0.55000000000000004">
      <c r="A2179" s="1">
        <f t="shared" ref="A2179:A2242" si="487">A2178+1</f>
        <v>2179</v>
      </c>
      <c r="B2179" t="s">
        <v>37</v>
      </c>
      <c r="N2179" s="1" t="e">
        <f t="shared" ref="N2179:N2242" si="488">VALUE(LEFT(H2179,1))</f>
        <v>#VALUE!</v>
      </c>
      <c r="O2179" s="1" t="e">
        <f t="shared" ref="O2179:O2242" si="489">VALUE(RIGHT(H2179,1))</f>
        <v>#VALUE!</v>
      </c>
      <c r="P2179" s="1" t="e">
        <f t="shared" ref="P2179:P2242" si="490">SUM(N2179,O2179)</f>
        <v>#VALUE!</v>
      </c>
      <c r="Q2179" s="1" t="e">
        <f t="shared" ref="Q2179:Q2242" si="491">IF(N2179&lt;&gt;O2179, 1, 0)</f>
        <v>#VALUE!</v>
      </c>
      <c r="R2179" s="1" t="e">
        <f t="shared" ref="R2179:R2242" si="492">IF(P2179&lt;=4,1,0)</f>
        <v>#VALUE!</v>
      </c>
      <c r="S2179" s="1" t="e">
        <f t="shared" ref="S2179:S2242" si="493">IF(AND(Q2179=1,R2179=1),1,0)</f>
        <v>#VALUE!</v>
      </c>
      <c r="T2179" s="1" t="e">
        <f t="shared" ref="T2179:T2242" si="494">IF(N2179&lt;=2,1,0)</f>
        <v>#VALUE!</v>
      </c>
      <c r="U2179" s="26" t="e">
        <f t="shared" ref="U2179:U2242" si="495">IF(AND(N2179&gt;=1,N2179&lt;=3),1,0)</f>
        <v>#VALUE!</v>
      </c>
      <c r="V2179" s="26" t="e">
        <f t="shared" ref="V2179:V2242" si="496">IF(AND(N2179&gt;=2,N2179&lt;=5),1,0)</f>
        <v>#VALUE!</v>
      </c>
      <c r="W2179" s="1" t="e">
        <f t="shared" ref="W2179:W2242" si="497">IF(O2179&lt;=2,1,0)</f>
        <v>#VALUE!</v>
      </c>
      <c r="X2179" s="26" t="e">
        <f t="shared" ref="X2179:X2242" si="498">IF(AND(O2179&gt;=1,O2179&lt;=3),1,0)</f>
        <v>#VALUE!</v>
      </c>
      <c r="Y2179" s="26" t="e">
        <f t="shared" ref="Y2179:Y2242" si="499">IF(AND(O2179&gt;=2,O2179&lt;=5),1,0)</f>
        <v>#VALUE!</v>
      </c>
      <c r="Z2179" s="1" t="e">
        <f t="shared" ref="Z2179:Z2242" si="500">IF(P2179&gt;=2,1,0)</f>
        <v>#VALUE!</v>
      </c>
      <c r="AA2179"/>
      <c r="AB2179"/>
    </row>
    <row r="2180" spans="1:28" x14ac:dyDescent="0.55000000000000004">
      <c r="A2180" s="1">
        <f t="shared" si="487"/>
        <v>2180</v>
      </c>
      <c r="B2180" t="s">
        <v>37</v>
      </c>
      <c r="N2180" s="1" t="e">
        <f t="shared" si="488"/>
        <v>#VALUE!</v>
      </c>
      <c r="O2180" s="1" t="e">
        <f t="shared" si="489"/>
        <v>#VALUE!</v>
      </c>
      <c r="P2180" s="1" t="e">
        <f t="shared" si="490"/>
        <v>#VALUE!</v>
      </c>
      <c r="Q2180" s="1" t="e">
        <f t="shared" si="491"/>
        <v>#VALUE!</v>
      </c>
      <c r="R2180" s="1" t="e">
        <f t="shared" si="492"/>
        <v>#VALUE!</v>
      </c>
      <c r="S2180" s="1" t="e">
        <f t="shared" si="493"/>
        <v>#VALUE!</v>
      </c>
      <c r="T2180" s="1" t="e">
        <f t="shared" si="494"/>
        <v>#VALUE!</v>
      </c>
      <c r="U2180" s="26" t="e">
        <f t="shared" si="495"/>
        <v>#VALUE!</v>
      </c>
      <c r="V2180" s="26" t="e">
        <f t="shared" si="496"/>
        <v>#VALUE!</v>
      </c>
      <c r="W2180" s="1" t="e">
        <f t="shared" si="497"/>
        <v>#VALUE!</v>
      </c>
      <c r="X2180" s="26" t="e">
        <f t="shared" si="498"/>
        <v>#VALUE!</v>
      </c>
      <c r="Y2180" s="26" t="e">
        <f t="shared" si="499"/>
        <v>#VALUE!</v>
      </c>
      <c r="Z2180" s="1" t="e">
        <f t="shared" si="500"/>
        <v>#VALUE!</v>
      </c>
      <c r="AA2180"/>
      <c r="AB2180"/>
    </row>
    <row r="2181" spans="1:28" x14ac:dyDescent="0.55000000000000004">
      <c r="A2181" s="1">
        <f t="shared" si="487"/>
        <v>2181</v>
      </c>
      <c r="B2181" t="s">
        <v>37</v>
      </c>
      <c r="N2181" s="1" t="e">
        <f t="shared" si="488"/>
        <v>#VALUE!</v>
      </c>
      <c r="O2181" s="1" t="e">
        <f t="shared" si="489"/>
        <v>#VALUE!</v>
      </c>
      <c r="P2181" s="1" t="e">
        <f t="shared" si="490"/>
        <v>#VALUE!</v>
      </c>
      <c r="Q2181" s="1" t="e">
        <f t="shared" si="491"/>
        <v>#VALUE!</v>
      </c>
      <c r="R2181" s="1" t="e">
        <f t="shared" si="492"/>
        <v>#VALUE!</v>
      </c>
      <c r="S2181" s="1" t="e">
        <f t="shared" si="493"/>
        <v>#VALUE!</v>
      </c>
      <c r="T2181" s="1" t="e">
        <f t="shared" si="494"/>
        <v>#VALUE!</v>
      </c>
      <c r="U2181" s="26" t="e">
        <f t="shared" si="495"/>
        <v>#VALUE!</v>
      </c>
      <c r="V2181" s="26" t="e">
        <f t="shared" si="496"/>
        <v>#VALUE!</v>
      </c>
      <c r="W2181" s="1" t="e">
        <f t="shared" si="497"/>
        <v>#VALUE!</v>
      </c>
      <c r="X2181" s="26" t="e">
        <f t="shared" si="498"/>
        <v>#VALUE!</v>
      </c>
      <c r="Y2181" s="26" t="e">
        <f t="shared" si="499"/>
        <v>#VALUE!</v>
      </c>
      <c r="Z2181" s="1" t="e">
        <f t="shared" si="500"/>
        <v>#VALUE!</v>
      </c>
      <c r="AA2181"/>
      <c r="AB2181"/>
    </row>
    <row r="2182" spans="1:28" x14ac:dyDescent="0.55000000000000004">
      <c r="A2182" s="1">
        <f t="shared" si="487"/>
        <v>2182</v>
      </c>
      <c r="B2182" t="s">
        <v>37</v>
      </c>
      <c r="N2182" s="1" t="e">
        <f t="shared" si="488"/>
        <v>#VALUE!</v>
      </c>
      <c r="O2182" s="1" t="e">
        <f t="shared" si="489"/>
        <v>#VALUE!</v>
      </c>
      <c r="P2182" s="1" t="e">
        <f t="shared" si="490"/>
        <v>#VALUE!</v>
      </c>
      <c r="Q2182" s="1" t="e">
        <f t="shared" si="491"/>
        <v>#VALUE!</v>
      </c>
      <c r="R2182" s="1" t="e">
        <f t="shared" si="492"/>
        <v>#VALUE!</v>
      </c>
      <c r="S2182" s="1" t="e">
        <f t="shared" si="493"/>
        <v>#VALUE!</v>
      </c>
      <c r="T2182" s="1" t="e">
        <f t="shared" si="494"/>
        <v>#VALUE!</v>
      </c>
      <c r="U2182" s="26" t="e">
        <f t="shared" si="495"/>
        <v>#VALUE!</v>
      </c>
      <c r="V2182" s="26" t="e">
        <f t="shared" si="496"/>
        <v>#VALUE!</v>
      </c>
      <c r="W2182" s="1" t="e">
        <f t="shared" si="497"/>
        <v>#VALUE!</v>
      </c>
      <c r="X2182" s="26" t="e">
        <f t="shared" si="498"/>
        <v>#VALUE!</v>
      </c>
      <c r="Y2182" s="26" t="e">
        <f t="shared" si="499"/>
        <v>#VALUE!</v>
      </c>
      <c r="Z2182" s="1" t="e">
        <f t="shared" si="500"/>
        <v>#VALUE!</v>
      </c>
      <c r="AA2182"/>
      <c r="AB2182"/>
    </row>
    <row r="2183" spans="1:28" x14ac:dyDescent="0.55000000000000004">
      <c r="A2183" s="1">
        <f t="shared" si="487"/>
        <v>2183</v>
      </c>
      <c r="B2183" t="s">
        <v>37</v>
      </c>
      <c r="N2183" s="1" t="e">
        <f t="shared" si="488"/>
        <v>#VALUE!</v>
      </c>
      <c r="O2183" s="1" t="e">
        <f t="shared" si="489"/>
        <v>#VALUE!</v>
      </c>
      <c r="P2183" s="1" t="e">
        <f t="shared" si="490"/>
        <v>#VALUE!</v>
      </c>
      <c r="Q2183" s="1" t="e">
        <f t="shared" si="491"/>
        <v>#VALUE!</v>
      </c>
      <c r="R2183" s="1" t="e">
        <f t="shared" si="492"/>
        <v>#VALUE!</v>
      </c>
      <c r="S2183" s="1" t="e">
        <f t="shared" si="493"/>
        <v>#VALUE!</v>
      </c>
      <c r="T2183" s="1" t="e">
        <f t="shared" si="494"/>
        <v>#VALUE!</v>
      </c>
      <c r="U2183" s="26" t="e">
        <f t="shared" si="495"/>
        <v>#VALUE!</v>
      </c>
      <c r="V2183" s="26" t="e">
        <f t="shared" si="496"/>
        <v>#VALUE!</v>
      </c>
      <c r="W2183" s="1" t="e">
        <f t="shared" si="497"/>
        <v>#VALUE!</v>
      </c>
      <c r="X2183" s="26" t="e">
        <f t="shared" si="498"/>
        <v>#VALUE!</v>
      </c>
      <c r="Y2183" s="26" t="e">
        <f t="shared" si="499"/>
        <v>#VALUE!</v>
      </c>
      <c r="Z2183" s="1" t="e">
        <f t="shared" si="500"/>
        <v>#VALUE!</v>
      </c>
      <c r="AA2183"/>
      <c r="AB2183"/>
    </row>
    <row r="2184" spans="1:28" x14ac:dyDescent="0.55000000000000004">
      <c r="A2184" s="1">
        <f t="shared" si="487"/>
        <v>2184</v>
      </c>
      <c r="B2184" t="s">
        <v>37</v>
      </c>
      <c r="N2184" s="1" t="e">
        <f t="shared" si="488"/>
        <v>#VALUE!</v>
      </c>
      <c r="O2184" s="1" t="e">
        <f t="shared" si="489"/>
        <v>#VALUE!</v>
      </c>
      <c r="P2184" s="1" t="e">
        <f t="shared" si="490"/>
        <v>#VALUE!</v>
      </c>
      <c r="Q2184" s="1" t="e">
        <f t="shared" si="491"/>
        <v>#VALUE!</v>
      </c>
      <c r="R2184" s="1" t="e">
        <f t="shared" si="492"/>
        <v>#VALUE!</v>
      </c>
      <c r="S2184" s="1" t="e">
        <f t="shared" si="493"/>
        <v>#VALUE!</v>
      </c>
      <c r="T2184" s="1" t="e">
        <f t="shared" si="494"/>
        <v>#VALUE!</v>
      </c>
      <c r="U2184" s="26" t="e">
        <f t="shared" si="495"/>
        <v>#VALUE!</v>
      </c>
      <c r="V2184" s="26" t="e">
        <f t="shared" si="496"/>
        <v>#VALUE!</v>
      </c>
      <c r="W2184" s="1" t="e">
        <f t="shared" si="497"/>
        <v>#VALUE!</v>
      </c>
      <c r="X2184" s="26" t="e">
        <f t="shared" si="498"/>
        <v>#VALUE!</v>
      </c>
      <c r="Y2184" s="26" t="e">
        <f t="shared" si="499"/>
        <v>#VALUE!</v>
      </c>
      <c r="Z2184" s="1" t="e">
        <f t="shared" si="500"/>
        <v>#VALUE!</v>
      </c>
      <c r="AA2184"/>
      <c r="AB2184"/>
    </row>
    <row r="2185" spans="1:28" x14ac:dyDescent="0.55000000000000004">
      <c r="A2185" s="1">
        <f t="shared" si="487"/>
        <v>2185</v>
      </c>
      <c r="B2185" t="s">
        <v>37</v>
      </c>
      <c r="N2185" s="1" t="e">
        <f t="shared" si="488"/>
        <v>#VALUE!</v>
      </c>
      <c r="O2185" s="1" t="e">
        <f t="shared" si="489"/>
        <v>#VALUE!</v>
      </c>
      <c r="P2185" s="1" t="e">
        <f t="shared" si="490"/>
        <v>#VALUE!</v>
      </c>
      <c r="Q2185" s="1" t="e">
        <f t="shared" si="491"/>
        <v>#VALUE!</v>
      </c>
      <c r="R2185" s="1" t="e">
        <f t="shared" si="492"/>
        <v>#VALUE!</v>
      </c>
      <c r="S2185" s="1" t="e">
        <f t="shared" si="493"/>
        <v>#VALUE!</v>
      </c>
      <c r="T2185" s="1" t="e">
        <f t="shared" si="494"/>
        <v>#VALUE!</v>
      </c>
      <c r="U2185" s="26" t="e">
        <f t="shared" si="495"/>
        <v>#VALUE!</v>
      </c>
      <c r="V2185" s="26" t="e">
        <f t="shared" si="496"/>
        <v>#VALUE!</v>
      </c>
      <c r="W2185" s="1" t="e">
        <f t="shared" si="497"/>
        <v>#VALUE!</v>
      </c>
      <c r="X2185" s="26" t="e">
        <f t="shared" si="498"/>
        <v>#VALUE!</v>
      </c>
      <c r="Y2185" s="26" t="e">
        <f t="shared" si="499"/>
        <v>#VALUE!</v>
      </c>
      <c r="Z2185" s="1" t="e">
        <f t="shared" si="500"/>
        <v>#VALUE!</v>
      </c>
      <c r="AA2185"/>
      <c r="AB2185"/>
    </row>
    <row r="2186" spans="1:28" x14ac:dyDescent="0.55000000000000004">
      <c r="A2186" s="1">
        <f t="shared" si="487"/>
        <v>2186</v>
      </c>
      <c r="B2186" t="s">
        <v>37</v>
      </c>
      <c r="N2186" s="1" t="e">
        <f t="shared" si="488"/>
        <v>#VALUE!</v>
      </c>
      <c r="O2186" s="1" t="e">
        <f t="shared" si="489"/>
        <v>#VALUE!</v>
      </c>
      <c r="P2186" s="1" t="e">
        <f t="shared" si="490"/>
        <v>#VALUE!</v>
      </c>
      <c r="Q2186" s="1" t="e">
        <f t="shared" si="491"/>
        <v>#VALUE!</v>
      </c>
      <c r="R2186" s="1" t="e">
        <f t="shared" si="492"/>
        <v>#VALUE!</v>
      </c>
      <c r="S2186" s="1" t="e">
        <f t="shared" si="493"/>
        <v>#VALUE!</v>
      </c>
      <c r="T2186" s="1" t="e">
        <f t="shared" si="494"/>
        <v>#VALUE!</v>
      </c>
      <c r="U2186" s="26" t="e">
        <f t="shared" si="495"/>
        <v>#VALUE!</v>
      </c>
      <c r="V2186" s="26" t="e">
        <f t="shared" si="496"/>
        <v>#VALUE!</v>
      </c>
      <c r="W2186" s="1" t="e">
        <f t="shared" si="497"/>
        <v>#VALUE!</v>
      </c>
      <c r="X2186" s="26" t="e">
        <f t="shared" si="498"/>
        <v>#VALUE!</v>
      </c>
      <c r="Y2186" s="26" t="e">
        <f t="shared" si="499"/>
        <v>#VALUE!</v>
      </c>
      <c r="Z2186" s="1" t="e">
        <f t="shared" si="500"/>
        <v>#VALUE!</v>
      </c>
      <c r="AA2186"/>
      <c r="AB2186"/>
    </row>
    <row r="2187" spans="1:28" x14ac:dyDescent="0.55000000000000004">
      <c r="A2187" s="1">
        <f t="shared" si="487"/>
        <v>2187</v>
      </c>
      <c r="B2187" t="s">
        <v>37</v>
      </c>
      <c r="N2187" s="1" t="e">
        <f t="shared" si="488"/>
        <v>#VALUE!</v>
      </c>
      <c r="O2187" s="1" t="e">
        <f t="shared" si="489"/>
        <v>#VALUE!</v>
      </c>
      <c r="P2187" s="1" t="e">
        <f t="shared" si="490"/>
        <v>#VALUE!</v>
      </c>
      <c r="Q2187" s="1" t="e">
        <f t="shared" si="491"/>
        <v>#VALUE!</v>
      </c>
      <c r="R2187" s="1" t="e">
        <f t="shared" si="492"/>
        <v>#VALUE!</v>
      </c>
      <c r="S2187" s="1" t="e">
        <f t="shared" si="493"/>
        <v>#VALUE!</v>
      </c>
      <c r="T2187" s="1" t="e">
        <f t="shared" si="494"/>
        <v>#VALUE!</v>
      </c>
      <c r="U2187" s="26" t="e">
        <f t="shared" si="495"/>
        <v>#VALUE!</v>
      </c>
      <c r="V2187" s="26" t="e">
        <f t="shared" si="496"/>
        <v>#VALUE!</v>
      </c>
      <c r="W2187" s="1" t="e">
        <f t="shared" si="497"/>
        <v>#VALUE!</v>
      </c>
      <c r="X2187" s="26" t="e">
        <f t="shared" si="498"/>
        <v>#VALUE!</v>
      </c>
      <c r="Y2187" s="26" t="e">
        <f t="shared" si="499"/>
        <v>#VALUE!</v>
      </c>
      <c r="Z2187" s="1" t="e">
        <f t="shared" si="500"/>
        <v>#VALUE!</v>
      </c>
      <c r="AA2187"/>
      <c r="AB2187"/>
    </row>
    <row r="2188" spans="1:28" x14ac:dyDescent="0.55000000000000004">
      <c r="A2188" s="1">
        <f t="shared" si="487"/>
        <v>2188</v>
      </c>
      <c r="B2188" t="s">
        <v>37</v>
      </c>
      <c r="N2188" s="1" t="e">
        <f t="shared" si="488"/>
        <v>#VALUE!</v>
      </c>
      <c r="O2188" s="1" t="e">
        <f t="shared" si="489"/>
        <v>#VALUE!</v>
      </c>
      <c r="P2188" s="1" t="e">
        <f t="shared" si="490"/>
        <v>#VALUE!</v>
      </c>
      <c r="Q2188" s="1" t="e">
        <f t="shared" si="491"/>
        <v>#VALUE!</v>
      </c>
      <c r="R2188" s="1" t="e">
        <f t="shared" si="492"/>
        <v>#VALUE!</v>
      </c>
      <c r="S2188" s="1" t="e">
        <f t="shared" si="493"/>
        <v>#VALUE!</v>
      </c>
      <c r="T2188" s="1" t="e">
        <f t="shared" si="494"/>
        <v>#VALUE!</v>
      </c>
      <c r="U2188" s="26" t="e">
        <f t="shared" si="495"/>
        <v>#VALUE!</v>
      </c>
      <c r="V2188" s="26" t="e">
        <f t="shared" si="496"/>
        <v>#VALUE!</v>
      </c>
      <c r="W2188" s="1" t="e">
        <f t="shared" si="497"/>
        <v>#VALUE!</v>
      </c>
      <c r="X2188" s="26" t="e">
        <f t="shared" si="498"/>
        <v>#VALUE!</v>
      </c>
      <c r="Y2188" s="26" t="e">
        <f t="shared" si="499"/>
        <v>#VALUE!</v>
      </c>
      <c r="Z2188" s="1" t="e">
        <f t="shared" si="500"/>
        <v>#VALUE!</v>
      </c>
      <c r="AA2188"/>
      <c r="AB2188"/>
    </row>
    <row r="2189" spans="1:28" x14ac:dyDescent="0.55000000000000004">
      <c r="A2189" s="1">
        <f t="shared" si="487"/>
        <v>2189</v>
      </c>
      <c r="B2189" t="s">
        <v>37</v>
      </c>
      <c r="N2189" s="1" t="e">
        <f t="shared" si="488"/>
        <v>#VALUE!</v>
      </c>
      <c r="O2189" s="1" t="e">
        <f t="shared" si="489"/>
        <v>#VALUE!</v>
      </c>
      <c r="P2189" s="1" t="e">
        <f t="shared" si="490"/>
        <v>#VALUE!</v>
      </c>
      <c r="Q2189" s="1" t="e">
        <f t="shared" si="491"/>
        <v>#VALUE!</v>
      </c>
      <c r="R2189" s="1" t="e">
        <f t="shared" si="492"/>
        <v>#VALUE!</v>
      </c>
      <c r="S2189" s="1" t="e">
        <f t="shared" si="493"/>
        <v>#VALUE!</v>
      </c>
      <c r="T2189" s="1" t="e">
        <f t="shared" si="494"/>
        <v>#VALUE!</v>
      </c>
      <c r="U2189" s="26" t="e">
        <f t="shared" si="495"/>
        <v>#VALUE!</v>
      </c>
      <c r="V2189" s="26" t="e">
        <f t="shared" si="496"/>
        <v>#VALUE!</v>
      </c>
      <c r="W2189" s="1" t="e">
        <f t="shared" si="497"/>
        <v>#VALUE!</v>
      </c>
      <c r="X2189" s="26" t="e">
        <f t="shared" si="498"/>
        <v>#VALUE!</v>
      </c>
      <c r="Y2189" s="26" t="e">
        <f t="shared" si="499"/>
        <v>#VALUE!</v>
      </c>
      <c r="Z2189" s="1" t="e">
        <f t="shared" si="500"/>
        <v>#VALUE!</v>
      </c>
      <c r="AA2189"/>
      <c r="AB2189"/>
    </row>
    <row r="2190" spans="1:28" x14ac:dyDescent="0.55000000000000004">
      <c r="A2190" s="1">
        <f t="shared" si="487"/>
        <v>2190</v>
      </c>
      <c r="B2190" t="s">
        <v>37</v>
      </c>
      <c r="N2190" s="1" t="e">
        <f t="shared" si="488"/>
        <v>#VALUE!</v>
      </c>
      <c r="O2190" s="1" t="e">
        <f t="shared" si="489"/>
        <v>#VALUE!</v>
      </c>
      <c r="P2190" s="1" t="e">
        <f t="shared" si="490"/>
        <v>#VALUE!</v>
      </c>
      <c r="Q2190" s="1" t="e">
        <f t="shared" si="491"/>
        <v>#VALUE!</v>
      </c>
      <c r="R2190" s="1" t="e">
        <f t="shared" si="492"/>
        <v>#VALUE!</v>
      </c>
      <c r="S2190" s="1" t="e">
        <f t="shared" si="493"/>
        <v>#VALUE!</v>
      </c>
      <c r="T2190" s="1" t="e">
        <f t="shared" si="494"/>
        <v>#VALUE!</v>
      </c>
      <c r="U2190" s="26" t="e">
        <f t="shared" si="495"/>
        <v>#VALUE!</v>
      </c>
      <c r="V2190" s="26" t="e">
        <f t="shared" si="496"/>
        <v>#VALUE!</v>
      </c>
      <c r="W2190" s="1" t="e">
        <f t="shared" si="497"/>
        <v>#VALUE!</v>
      </c>
      <c r="X2190" s="26" t="e">
        <f t="shared" si="498"/>
        <v>#VALUE!</v>
      </c>
      <c r="Y2190" s="26" t="e">
        <f t="shared" si="499"/>
        <v>#VALUE!</v>
      </c>
      <c r="Z2190" s="1" t="e">
        <f t="shared" si="500"/>
        <v>#VALUE!</v>
      </c>
      <c r="AA2190"/>
      <c r="AB2190"/>
    </row>
    <row r="2191" spans="1:28" x14ac:dyDescent="0.55000000000000004">
      <c r="A2191" s="1">
        <f t="shared" si="487"/>
        <v>2191</v>
      </c>
      <c r="B2191" t="s">
        <v>37</v>
      </c>
      <c r="N2191" s="1" t="e">
        <f t="shared" si="488"/>
        <v>#VALUE!</v>
      </c>
      <c r="O2191" s="1" t="e">
        <f t="shared" si="489"/>
        <v>#VALUE!</v>
      </c>
      <c r="P2191" s="1" t="e">
        <f t="shared" si="490"/>
        <v>#VALUE!</v>
      </c>
      <c r="Q2191" s="1" t="e">
        <f t="shared" si="491"/>
        <v>#VALUE!</v>
      </c>
      <c r="R2191" s="1" t="e">
        <f t="shared" si="492"/>
        <v>#VALUE!</v>
      </c>
      <c r="S2191" s="1" t="e">
        <f t="shared" si="493"/>
        <v>#VALUE!</v>
      </c>
      <c r="T2191" s="1" t="e">
        <f t="shared" si="494"/>
        <v>#VALUE!</v>
      </c>
      <c r="U2191" s="26" t="e">
        <f t="shared" si="495"/>
        <v>#VALUE!</v>
      </c>
      <c r="V2191" s="26" t="e">
        <f t="shared" si="496"/>
        <v>#VALUE!</v>
      </c>
      <c r="W2191" s="1" t="e">
        <f t="shared" si="497"/>
        <v>#VALUE!</v>
      </c>
      <c r="X2191" s="26" t="e">
        <f t="shared" si="498"/>
        <v>#VALUE!</v>
      </c>
      <c r="Y2191" s="26" t="e">
        <f t="shared" si="499"/>
        <v>#VALUE!</v>
      </c>
      <c r="Z2191" s="1" t="e">
        <f t="shared" si="500"/>
        <v>#VALUE!</v>
      </c>
      <c r="AA2191"/>
      <c r="AB2191"/>
    </row>
    <row r="2192" spans="1:28" x14ac:dyDescent="0.55000000000000004">
      <c r="A2192" s="1">
        <f t="shared" si="487"/>
        <v>2192</v>
      </c>
      <c r="B2192" t="s">
        <v>37</v>
      </c>
      <c r="N2192" s="1" t="e">
        <f t="shared" si="488"/>
        <v>#VALUE!</v>
      </c>
      <c r="O2192" s="1" t="e">
        <f t="shared" si="489"/>
        <v>#VALUE!</v>
      </c>
      <c r="P2192" s="1" t="e">
        <f t="shared" si="490"/>
        <v>#VALUE!</v>
      </c>
      <c r="Q2192" s="1" t="e">
        <f t="shared" si="491"/>
        <v>#VALUE!</v>
      </c>
      <c r="R2192" s="1" t="e">
        <f t="shared" si="492"/>
        <v>#VALUE!</v>
      </c>
      <c r="S2192" s="1" t="e">
        <f t="shared" si="493"/>
        <v>#VALUE!</v>
      </c>
      <c r="T2192" s="1" t="e">
        <f t="shared" si="494"/>
        <v>#VALUE!</v>
      </c>
      <c r="U2192" s="26" t="e">
        <f t="shared" si="495"/>
        <v>#VALUE!</v>
      </c>
      <c r="V2192" s="26" t="e">
        <f t="shared" si="496"/>
        <v>#VALUE!</v>
      </c>
      <c r="W2192" s="1" t="e">
        <f t="shared" si="497"/>
        <v>#VALUE!</v>
      </c>
      <c r="X2192" s="26" t="e">
        <f t="shared" si="498"/>
        <v>#VALUE!</v>
      </c>
      <c r="Y2192" s="26" t="e">
        <f t="shared" si="499"/>
        <v>#VALUE!</v>
      </c>
      <c r="Z2192" s="1" t="e">
        <f t="shared" si="500"/>
        <v>#VALUE!</v>
      </c>
      <c r="AA2192"/>
      <c r="AB2192"/>
    </row>
    <row r="2193" spans="1:28" x14ac:dyDescent="0.55000000000000004">
      <c r="A2193" s="1">
        <f t="shared" si="487"/>
        <v>2193</v>
      </c>
      <c r="B2193" t="s">
        <v>37</v>
      </c>
      <c r="N2193" s="1" t="e">
        <f t="shared" si="488"/>
        <v>#VALUE!</v>
      </c>
      <c r="O2193" s="1" t="e">
        <f t="shared" si="489"/>
        <v>#VALUE!</v>
      </c>
      <c r="P2193" s="1" t="e">
        <f t="shared" si="490"/>
        <v>#VALUE!</v>
      </c>
      <c r="Q2193" s="1" t="e">
        <f t="shared" si="491"/>
        <v>#VALUE!</v>
      </c>
      <c r="R2193" s="1" t="e">
        <f t="shared" si="492"/>
        <v>#VALUE!</v>
      </c>
      <c r="S2193" s="1" t="e">
        <f t="shared" si="493"/>
        <v>#VALUE!</v>
      </c>
      <c r="T2193" s="1" t="e">
        <f t="shared" si="494"/>
        <v>#VALUE!</v>
      </c>
      <c r="U2193" s="26" t="e">
        <f t="shared" si="495"/>
        <v>#VALUE!</v>
      </c>
      <c r="V2193" s="26" t="e">
        <f t="shared" si="496"/>
        <v>#VALUE!</v>
      </c>
      <c r="W2193" s="1" t="e">
        <f t="shared" si="497"/>
        <v>#VALUE!</v>
      </c>
      <c r="X2193" s="26" t="e">
        <f t="shared" si="498"/>
        <v>#VALUE!</v>
      </c>
      <c r="Y2193" s="26" t="e">
        <f t="shared" si="499"/>
        <v>#VALUE!</v>
      </c>
      <c r="Z2193" s="1" t="e">
        <f t="shared" si="500"/>
        <v>#VALUE!</v>
      </c>
      <c r="AA2193"/>
      <c r="AB2193"/>
    </row>
    <row r="2194" spans="1:28" x14ac:dyDescent="0.55000000000000004">
      <c r="A2194" s="1">
        <f t="shared" si="487"/>
        <v>2194</v>
      </c>
      <c r="B2194" t="s">
        <v>37</v>
      </c>
      <c r="N2194" s="1" t="e">
        <f t="shared" si="488"/>
        <v>#VALUE!</v>
      </c>
      <c r="O2194" s="1" t="e">
        <f t="shared" si="489"/>
        <v>#VALUE!</v>
      </c>
      <c r="P2194" s="1" t="e">
        <f t="shared" si="490"/>
        <v>#VALUE!</v>
      </c>
      <c r="Q2194" s="1" t="e">
        <f t="shared" si="491"/>
        <v>#VALUE!</v>
      </c>
      <c r="R2194" s="1" t="e">
        <f t="shared" si="492"/>
        <v>#VALUE!</v>
      </c>
      <c r="S2194" s="1" t="e">
        <f t="shared" si="493"/>
        <v>#VALUE!</v>
      </c>
      <c r="T2194" s="1" t="e">
        <f t="shared" si="494"/>
        <v>#VALUE!</v>
      </c>
      <c r="U2194" s="26" t="e">
        <f t="shared" si="495"/>
        <v>#VALUE!</v>
      </c>
      <c r="V2194" s="26" t="e">
        <f t="shared" si="496"/>
        <v>#VALUE!</v>
      </c>
      <c r="W2194" s="1" t="e">
        <f t="shared" si="497"/>
        <v>#VALUE!</v>
      </c>
      <c r="X2194" s="26" t="e">
        <f t="shared" si="498"/>
        <v>#VALUE!</v>
      </c>
      <c r="Y2194" s="26" t="e">
        <f t="shared" si="499"/>
        <v>#VALUE!</v>
      </c>
      <c r="Z2194" s="1" t="e">
        <f t="shared" si="500"/>
        <v>#VALUE!</v>
      </c>
      <c r="AA2194"/>
      <c r="AB2194"/>
    </row>
    <row r="2195" spans="1:28" x14ac:dyDescent="0.55000000000000004">
      <c r="A2195" s="1">
        <f t="shared" si="487"/>
        <v>2195</v>
      </c>
      <c r="B2195" t="s">
        <v>37</v>
      </c>
      <c r="N2195" s="1" t="e">
        <f t="shared" si="488"/>
        <v>#VALUE!</v>
      </c>
      <c r="O2195" s="1" t="e">
        <f t="shared" si="489"/>
        <v>#VALUE!</v>
      </c>
      <c r="P2195" s="1" t="e">
        <f t="shared" si="490"/>
        <v>#VALUE!</v>
      </c>
      <c r="Q2195" s="1" t="e">
        <f t="shared" si="491"/>
        <v>#VALUE!</v>
      </c>
      <c r="R2195" s="1" t="e">
        <f t="shared" si="492"/>
        <v>#VALUE!</v>
      </c>
      <c r="S2195" s="1" t="e">
        <f t="shared" si="493"/>
        <v>#VALUE!</v>
      </c>
      <c r="T2195" s="1" t="e">
        <f t="shared" si="494"/>
        <v>#VALUE!</v>
      </c>
      <c r="U2195" s="26" t="e">
        <f t="shared" si="495"/>
        <v>#VALUE!</v>
      </c>
      <c r="V2195" s="26" t="e">
        <f t="shared" si="496"/>
        <v>#VALUE!</v>
      </c>
      <c r="W2195" s="1" t="e">
        <f t="shared" si="497"/>
        <v>#VALUE!</v>
      </c>
      <c r="X2195" s="26" t="e">
        <f t="shared" si="498"/>
        <v>#VALUE!</v>
      </c>
      <c r="Y2195" s="26" t="e">
        <f t="shared" si="499"/>
        <v>#VALUE!</v>
      </c>
      <c r="Z2195" s="1" t="e">
        <f t="shared" si="500"/>
        <v>#VALUE!</v>
      </c>
      <c r="AA2195"/>
      <c r="AB2195"/>
    </row>
    <row r="2196" spans="1:28" x14ac:dyDescent="0.55000000000000004">
      <c r="A2196" s="1">
        <f t="shared" si="487"/>
        <v>2196</v>
      </c>
      <c r="B2196" t="s">
        <v>37</v>
      </c>
      <c r="N2196" s="1" t="e">
        <f t="shared" si="488"/>
        <v>#VALUE!</v>
      </c>
      <c r="O2196" s="1" t="e">
        <f t="shared" si="489"/>
        <v>#VALUE!</v>
      </c>
      <c r="P2196" s="1" t="e">
        <f t="shared" si="490"/>
        <v>#VALUE!</v>
      </c>
      <c r="Q2196" s="1" t="e">
        <f t="shared" si="491"/>
        <v>#VALUE!</v>
      </c>
      <c r="R2196" s="1" t="e">
        <f t="shared" si="492"/>
        <v>#VALUE!</v>
      </c>
      <c r="S2196" s="1" t="e">
        <f t="shared" si="493"/>
        <v>#VALUE!</v>
      </c>
      <c r="T2196" s="1" t="e">
        <f t="shared" si="494"/>
        <v>#VALUE!</v>
      </c>
      <c r="U2196" s="26" t="e">
        <f t="shared" si="495"/>
        <v>#VALUE!</v>
      </c>
      <c r="V2196" s="26" t="e">
        <f t="shared" si="496"/>
        <v>#VALUE!</v>
      </c>
      <c r="W2196" s="1" t="e">
        <f t="shared" si="497"/>
        <v>#VALUE!</v>
      </c>
      <c r="X2196" s="26" t="e">
        <f t="shared" si="498"/>
        <v>#VALUE!</v>
      </c>
      <c r="Y2196" s="26" t="e">
        <f t="shared" si="499"/>
        <v>#VALUE!</v>
      </c>
      <c r="Z2196" s="1" t="e">
        <f t="shared" si="500"/>
        <v>#VALUE!</v>
      </c>
      <c r="AA2196"/>
      <c r="AB2196"/>
    </row>
    <row r="2197" spans="1:28" x14ac:dyDescent="0.55000000000000004">
      <c r="A2197" s="1">
        <f t="shared" si="487"/>
        <v>2197</v>
      </c>
      <c r="B2197" t="s">
        <v>37</v>
      </c>
      <c r="N2197" s="1" t="e">
        <f t="shared" si="488"/>
        <v>#VALUE!</v>
      </c>
      <c r="O2197" s="1" t="e">
        <f t="shared" si="489"/>
        <v>#VALUE!</v>
      </c>
      <c r="P2197" s="1" t="e">
        <f t="shared" si="490"/>
        <v>#VALUE!</v>
      </c>
      <c r="Q2197" s="1" t="e">
        <f t="shared" si="491"/>
        <v>#VALUE!</v>
      </c>
      <c r="R2197" s="1" t="e">
        <f t="shared" si="492"/>
        <v>#VALUE!</v>
      </c>
      <c r="S2197" s="1" t="e">
        <f t="shared" si="493"/>
        <v>#VALUE!</v>
      </c>
      <c r="T2197" s="1" t="e">
        <f t="shared" si="494"/>
        <v>#VALUE!</v>
      </c>
      <c r="U2197" s="26" t="e">
        <f t="shared" si="495"/>
        <v>#VALUE!</v>
      </c>
      <c r="V2197" s="26" t="e">
        <f t="shared" si="496"/>
        <v>#VALUE!</v>
      </c>
      <c r="W2197" s="1" t="e">
        <f t="shared" si="497"/>
        <v>#VALUE!</v>
      </c>
      <c r="X2197" s="26" t="e">
        <f t="shared" si="498"/>
        <v>#VALUE!</v>
      </c>
      <c r="Y2197" s="26" t="e">
        <f t="shared" si="499"/>
        <v>#VALUE!</v>
      </c>
      <c r="Z2197" s="1" t="e">
        <f t="shared" si="500"/>
        <v>#VALUE!</v>
      </c>
      <c r="AA2197"/>
      <c r="AB2197"/>
    </row>
    <row r="2198" spans="1:28" x14ac:dyDescent="0.55000000000000004">
      <c r="A2198" s="1">
        <f t="shared" si="487"/>
        <v>2198</v>
      </c>
      <c r="B2198" t="s">
        <v>37</v>
      </c>
      <c r="N2198" s="1" t="e">
        <f t="shared" si="488"/>
        <v>#VALUE!</v>
      </c>
      <c r="O2198" s="1" t="e">
        <f t="shared" si="489"/>
        <v>#VALUE!</v>
      </c>
      <c r="P2198" s="1" t="e">
        <f t="shared" si="490"/>
        <v>#VALUE!</v>
      </c>
      <c r="Q2198" s="1" t="e">
        <f t="shared" si="491"/>
        <v>#VALUE!</v>
      </c>
      <c r="R2198" s="1" t="e">
        <f t="shared" si="492"/>
        <v>#VALUE!</v>
      </c>
      <c r="S2198" s="1" t="e">
        <f t="shared" si="493"/>
        <v>#VALUE!</v>
      </c>
      <c r="T2198" s="1" t="e">
        <f t="shared" si="494"/>
        <v>#VALUE!</v>
      </c>
      <c r="U2198" s="26" t="e">
        <f t="shared" si="495"/>
        <v>#VALUE!</v>
      </c>
      <c r="V2198" s="26" t="e">
        <f t="shared" si="496"/>
        <v>#VALUE!</v>
      </c>
      <c r="W2198" s="1" t="e">
        <f t="shared" si="497"/>
        <v>#VALUE!</v>
      </c>
      <c r="X2198" s="26" t="e">
        <f t="shared" si="498"/>
        <v>#VALUE!</v>
      </c>
      <c r="Y2198" s="26" t="e">
        <f t="shared" si="499"/>
        <v>#VALUE!</v>
      </c>
      <c r="Z2198" s="1" t="e">
        <f t="shared" si="500"/>
        <v>#VALUE!</v>
      </c>
      <c r="AA2198"/>
      <c r="AB2198"/>
    </row>
    <row r="2199" spans="1:28" x14ac:dyDescent="0.55000000000000004">
      <c r="A2199" s="1">
        <f t="shared" si="487"/>
        <v>2199</v>
      </c>
      <c r="B2199" t="s">
        <v>37</v>
      </c>
      <c r="N2199" s="1" t="e">
        <f t="shared" si="488"/>
        <v>#VALUE!</v>
      </c>
      <c r="O2199" s="1" t="e">
        <f t="shared" si="489"/>
        <v>#VALUE!</v>
      </c>
      <c r="P2199" s="1" t="e">
        <f t="shared" si="490"/>
        <v>#VALUE!</v>
      </c>
      <c r="Q2199" s="1" t="e">
        <f t="shared" si="491"/>
        <v>#VALUE!</v>
      </c>
      <c r="R2199" s="1" t="e">
        <f t="shared" si="492"/>
        <v>#VALUE!</v>
      </c>
      <c r="S2199" s="1" t="e">
        <f t="shared" si="493"/>
        <v>#VALUE!</v>
      </c>
      <c r="T2199" s="1" t="e">
        <f t="shared" si="494"/>
        <v>#VALUE!</v>
      </c>
      <c r="U2199" s="26" t="e">
        <f t="shared" si="495"/>
        <v>#VALUE!</v>
      </c>
      <c r="V2199" s="26" t="e">
        <f t="shared" si="496"/>
        <v>#VALUE!</v>
      </c>
      <c r="W2199" s="1" t="e">
        <f t="shared" si="497"/>
        <v>#VALUE!</v>
      </c>
      <c r="X2199" s="26" t="e">
        <f t="shared" si="498"/>
        <v>#VALUE!</v>
      </c>
      <c r="Y2199" s="26" t="e">
        <f t="shared" si="499"/>
        <v>#VALUE!</v>
      </c>
      <c r="Z2199" s="1" t="e">
        <f t="shared" si="500"/>
        <v>#VALUE!</v>
      </c>
      <c r="AA2199"/>
      <c r="AB2199"/>
    </row>
    <row r="2200" spans="1:28" x14ac:dyDescent="0.55000000000000004">
      <c r="A2200" s="1">
        <f t="shared" si="487"/>
        <v>2200</v>
      </c>
      <c r="B2200" t="s">
        <v>37</v>
      </c>
      <c r="N2200" s="1" t="e">
        <f t="shared" si="488"/>
        <v>#VALUE!</v>
      </c>
      <c r="O2200" s="1" t="e">
        <f t="shared" si="489"/>
        <v>#VALUE!</v>
      </c>
      <c r="P2200" s="1" t="e">
        <f t="shared" si="490"/>
        <v>#VALUE!</v>
      </c>
      <c r="Q2200" s="1" t="e">
        <f t="shared" si="491"/>
        <v>#VALUE!</v>
      </c>
      <c r="R2200" s="1" t="e">
        <f t="shared" si="492"/>
        <v>#VALUE!</v>
      </c>
      <c r="S2200" s="1" t="e">
        <f t="shared" si="493"/>
        <v>#VALUE!</v>
      </c>
      <c r="T2200" s="1" t="e">
        <f t="shared" si="494"/>
        <v>#VALUE!</v>
      </c>
      <c r="U2200" s="26" t="e">
        <f t="shared" si="495"/>
        <v>#VALUE!</v>
      </c>
      <c r="V2200" s="26" t="e">
        <f t="shared" si="496"/>
        <v>#VALUE!</v>
      </c>
      <c r="W2200" s="1" t="e">
        <f t="shared" si="497"/>
        <v>#VALUE!</v>
      </c>
      <c r="X2200" s="26" t="e">
        <f t="shared" si="498"/>
        <v>#VALUE!</v>
      </c>
      <c r="Y2200" s="26" t="e">
        <f t="shared" si="499"/>
        <v>#VALUE!</v>
      </c>
      <c r="Z2200" s="1" t="e">
        <f t="shared" si="500"/>
        <v>#VALUE!</v>
      </c>
      <c r="AA2200"/>
      <c r="AB2200"/>
    </row>
    <row r="2201" spans="1:28" x14ac:dyDescent="0.55000000000000004">
      <c r="A2201" s="1">
        <f t="shared" si="487"/>
        <v>2201</v>
      </c>
      <c r="B2201" t="s">
        <v>37</v>
      </c>
      <c r="N2201" s="1" t="e">
        <f t="shared" si="488"/>
        <v>#VALUE!</v>
      </c>
      <c r="O2201" s="1" t="e">
        <f t="shared" si="489"/>
        <v>#VALUE!</v>
      </c>
      <c r="P2201" s="1" t="e">
        <f t="shared" si="490"/>
        <v>#VALUE!</v>
      </c>
      <c r="Q2201" s="1" t="e">
        <f t="shared" si="491"/>
        <v>#VALUE!</v>
      </c>
      <c r="R2201" s="1" t="e">
        <f t="shared" si="492"/>
        <v>#VALUE!</v>
      </c>
      <c r="S2201" s="1" t="e">
        <f t="shared" si="493"/>
        <v>#VALUE!</v>
      </c>
      <c r="T2201" s="1" t="e">
        <f t="shared" si="494"/>
        <v>#VALUE!</v>
      </c>
      <c r="U2201" s="26" t="e">
        <f t="shared" si="495"/>
        <v>#VALUE!</v>
      </c>
      <c r="V2201" s="26" t="e">
        <f t="shared" si="496"/>
        <v>#VALUE!</v>
      </c>
      <c r="W2201" s="1" t="e">
        <f t="shared" si="497"/>
        <v>#VALUE!</v>
      </c>
      <c r="X2201" s="26" t="e">
        <f t="shared" si="498"/>
        <v>#VALUE!</v>
      </c>
      <c r="Y2201" s="26" t="e">
        <f t="shared" si="499"/>
        <v>#VALUE!</v>
      </c>
      <c r="Z2201" s="1" t="e">
        <f t="shared" si="500"/>
        <v>#VALUE!</v>
      </c>
      <c r="AA2201"/>
      <c r="AB2201"/>
    </row>
    <row r="2202" spans="1:28" x14ac:dyDescent="0.55000000000000004">
      <c r="A2202" s="1">
        <f t="shared" si="487"/>
        <v>2202</v>
      </c>
      <c r="B2202" t="s">
        <v>37</v>
      </c>
      <c r="N2202" s="1" t="e">
        <f t="shared" si="488"/>
        <v>#VALUE!</v>
      </c>
      <c r="O2202" s="1" t="e">
        <f t="shared" si="489"/>
        <v>#VALUE!</v>
      </c>
      <c r="P2202" s="1" t="e">
        <f t="shared" si="490"/>
        <v>#VALUE!</v>
      </c>
      <c r="Q2202" s="1" t="e">
        <f t="shared" si="491"/>
        <v>#VALUE!</v>
      </c>
      <c r="R2202" s="1" t="e">
        <f t="shared" si="492"/>
        <v>#VALUE!</v>
      </c>
      <c r="S2202" s="1" t="e">
        <f t="shared" si="493"/>
        <v>#VALUE!</v>
      </c>
      <c r="T2202" s="1" t="e">
        <f t="shared" si="494"/>
        <v>#VALUE!</v>
      </c>
      <c r="U2202" s="26" t="e">
        <f t="shared" si="495"/>
        <v>#VALUE!</v>
      </c>
      <c r="V2202" s="26" t="e">
        <f t="shared" si="496"/>
        <v>#VALUE!</v>
      </c>
      <c r="W2202" s="1" t="e">
        <f t="shared" si="497"/>
        <v>#VALUE!</v>
      </c>
      <c r="X2202" s="26" t="e">
        <f t="shared" si="498"/>
        <v>#VALUE!</v>
      </c>
      <c r="Y2202" s="26" t="e">
        <f t="shared" si="499"/>
        <v>#VALUE!</v>
      </c>
      <c r="Z2202" s="1" t="e">
        <f t="shared" si="500"/>
        <v>#VALUE!</v>
      </c>
      <c r="AA2202"/>
      <c r="AB2202"/>
    </row>
    <row r="2203" spans="1:28" x14ac:dyDescent="0.55000000000000004">
      <c r="A2203" s="1">
        <f t="shared" si="487"/>
        <v>2203</v>
      </c>
      <c r="B2203" t="s">
        <v>37</v>
      </c>
      <c r="N2203" s="1" t="e">
        <f t="shared" si="488"/>
        <v>#VALUE!</v>
      </c>
      <c r="O2203" s="1" t="e">
        <f t="shared" si="489"/>
        <v>#VALUE!</v>
      </c>
      <c r="P2203" s="1" t="e">
        <f t="shared" si="490"/>
        <v>#VALUE!</v>
      </c>
      <c r="Q2203" s="1" t="e">
        <f t="shared" si="491"/>
        <v>#VALUE!</v>
      </c>
      <c r="R2203" s="1" t="e">
        <f t="shared" si="492"/>
        <v>#VALUE!</v>
      </c>
      <c r="S2203" s="1" t="e">
        <f t="shared" si="493"/>
        <v>#VALUE!</v>
      </c>
      <c r="T2203" s="1" t="e">
        <f t="shared" si="494"/>
        <v>#VALUE!</v>
      </c>
      <c r="U2203" s="26" t="e">
        <f t="shared" si="495"/>
        <v>#VALUE!</v>
      </c>
      <c r="V2203" s="26" t="e">
        <f t="shared" si="496"/>
        <v>#VALUE!</v>
      </c>
      <c r="W2203" s="1" t="e">
        <f t="shared" si="497"/>
        <v>#VALUE!</v>
      </c>
      <c r="X2203" s="26" t="e">
        <f t="shared" si="498"/>
        <v>#VALUE!</v>
      </c>
      <c r="Y2203" s="26" t="e">
        <f t="shared" si="499"/>
        <v>#VALUE!</v>
      </c>
      <c r="Z2203" s="1" t="e">
        <f t="shared" si="500"/>
        <v>#VALUE!</v>
      </c>
      <c r="AA2203"/>
      <c r="AB2203"/>
    </row>
    <row r="2204" spans="1:28" x14ac:dyDescent="0.55000000000000004">
      <c r="A2204" s="1">
        <f t="shared" si="487"/>
        <v>2204</v>
      </c>
      <c r="B2204" t="s">
        <v>37</v>
      </c>
      <c r="N2204" s="1" t="e">
        <f t="shared" si="488"/>
        <v>#VALUE!</v>
      </c>
      <c r="O2204" s="1" t="e">
        <f t="shared" si="489"/>
        <v>#VALUE!</v>
      </c>
      <c r="P2204" s="1" t="e">
        <f t="shared" si="490"/>
        <v>#VALUE!</v>
      </c>
      <c r="Q2204" s="1" t="e">
        <f t="shared" si="491"/>
        <v>#VALUE!</v>
      </c>
      <c r="R2204" s="1" t="e">
        <f t="shared" si="492"/>
        <v>#VALUE!</v>
      </c>
      <c r="S2204" s="1" t="e">
        <f t="shared" si="493"/>
        <v>#VALUE!</v>
      </c>
      <c r="T2204" s="1" t="e">
        <f t="shared" si="494"/>
        <v>#VALUE!</v>
      </c>
      <c r="U2204" s="26" t="e">
        <f t="shared" si="495"/>
        <v>#VALUE!</v>
      </c>
      <c r="V2204" s="26" t="e">
        <f t="shared" si="496"/>
        <v>#VALUE!</v>
      </c>
      <c r="W2204" s="1" t="e">
        <f t="shared" si="497"/>
        <v>#VALUE!</v>
      </c>
      <c r="X2204" s="26" t="e">
        <f t="shared" si="498"/>
        <v>#VALUE!</v>
      </c>
      <c r="Y2204" s="26" t="e">
        <f t="shared" si="499"/>
        <v>#VALUE!</v>
      </c>
      <c r="Z2204" s="1" t="e">
        <f t="shared" si="500"/>
        <v>#VALUE!</v>
      </c>
      <c r="AA2204"/>
      <c r="AB2204"/>
    </row>
    <row r="2205" spans="1:28" x14ac:dyDescent="0.55000000000000004">
      <c r="A2205" s="1">
        <f t="shared" si="487"/>
        <v>2205</v>
      </c>
      <c r="B2205" t="s">
        <v>37</v>
      </c>
      <c r="N2205" s="1" t="e">
        <f t="shared" si="488"/>
        <v>#VALUE!</v>
      </c>
      <c r="O2205" s="1" t="e">
        <f t="shared" si="489"/>
        <v>#VALUE!</v>
      </c>
      <c r="P2205" s="1" t="e">
        <f t="shared" si="490"/>
        <v>#VALUE!</v>
      </c>
      <c r="Q2205" s="1" t="e">
        <f t="shared" si="491"/>
        <v>#VALUE!</v>
      </c>
      <c r="R2205" s="1" t="e">
        <f t="shared" si="492"/>
        <v>#VALUE!</v>
      </c>
      <c r="S2205" s="1" t="e">
        <f t="shared" si="493"/>
        <v>#VALUE!</v>
      </c>
      <c r="T2205" s="1" t="e">
        <f t="shared" si="494"/>
        <v>#VALUE!</v>
      </c>
      <c r="U2205" s="26" t="e">
        <f t="shared" si="495"/>
        <v>#VALUE!</v>
      </c>
      <c r="V2205" s="26" t="e">
        <f t="shared" si="496"/>
        <v>#VALUE!</v>
      </c>
      <c r="W2205" s="1" t="e">
        <f t="shared" si="497"/>
        <v>#VALUE!</v>
      </c>
      <c r="X2205" s="26" t="e">
        <f t="shared" si="498"/>
        <v>#VALUE!</v>
      </c>
      <c r="Y2205" s="26" t="e">
        <f t="shared" si="499"/>
        <v>#VALUE!</v>
      </c>
      <c r="Z2205" s="1" t="e">
        <f t="shared" si="500"/>
        <v>#VALUE!</v>
      </c>
      <c r="AA2205"/>
      <c r="AB2205"/>
    </row>
    <row r="2206" spans="1:28" x14ac:dyDescent="0.55000000000000004">
      <c r="A2206" s="1">
        <f t="shared" si="487"/>
        <v>2206</v>
      </c>
      <c r="B2206" t="s">
        <v>37</v>
      </c>
      <c r="N2206" s="1" t="e">
        <f t="shared" si="488"/>
        <v>#VALUE!</v>
      </c>
      <c r="O2206" s="1" t="e">
        <f t="shared" si="489"/>
        <v>#VALUE!</v>
      </c>
      <c r="P2206" s="1" t="e">
        <f t="shared" si="490"/>
        <v>#VALUE!</v>
      </c>
      <c r="Q2206" s="1" t="e">
        <f t="shared" si="491"/>
        <v>#VALUE!</v>
      </c>
      <c r="R2206" s="1" t="e">
        <f t="shared" si="492"/>
        <v>#VALUE!</v>
      </c>
      <c r="S2206" s="1" t="e">
        <f t="shared" si="493"/>
        <v>#VALUE!</v>
      </c>
      <c r="T2206" s="1" t="e">
        <f t="shared" si="494"/>
        <v>#VALUE!</v>
      </c>
      <c r="U2206" s="26" t="e">
        <f t="shared" si="495"/>
        <v>#VALUE!</v>
      </c>
      <c r="V2206" s="26" t="e">
        <f t="shared" si="496"/>
        <v>#VALUE!</v>
      </c>
      <c r="W2206" s="1" t="e">
        <f t="shared" si="497"/>
        <v>#VALUE!</v>
      </c>
      <c r="X2206" s="26" t="e">
        <f t="shared" si="498"/>
        <v>#VALUE!</v>
      </c>
      <c r="Y2206" s="26" t="e">
        <f t="shared" si="499"/>
        <v>#VALUE!</v>
      </c>
      <c r="Z2206" s="1" t="e">
        <f t="shared" si="500"/>
        <v>#VALUE!</v>
      </c>
      <c r="AA2206"/>
      <c r="AB2206"/>
    </row>
    <row r="2207" spans="1:28" x14ac:dyDescent="0.55000000000000004">
      <c r="A2207" s="1">
        <f t="shared" si="487"/>
        <v>2207</v>
      </c>
      <c r="B2207" t="s">
        <v>37</v>
      </c>
      <c r="N2207" s="1" t="e">
        <f t="shared" si="488"/>
        <v>#VALUE!</v>
      </c>
      <c r="O2207" s="1" t="e">
        <f t="shared" si="489"/>
        <v>#VALUE!</v>
      </c>
      <c r="P2207" s="1" t="e">
        <f t="shared" si="490"/>
        <v>#VALUE!</v>
      </c>
      <c r="Q2207" s="1" t="e">
        <f t="shared" si="491"/>
        <v>#VALUE!</v>
      </c>
      <c r="R2207" s="1" t="e">
        <f t="shared" si="492"/>
        <v>#VALUE!</v>
      </c>
      <c r="S2207" s="1" t="e">
        <f t="shared" si="493"/>
        <v>#VALUE!</v>
      </c>
      <c r="T2207" s="1" t="e">
        <f t="shared" si="494"/>
        <v>#VALUE!</v>
      </c>
      <c r="U2207" s="26" t="e">
        <f t="shared" si="495"/>
        <v>#VALUE!</v>
      </c>
      <c r="V2207" s="26" t="e">
        <f t="shared" si="496"/>
        <v>#VALUE!</v>
      </c>
      <c r="W2207" s="1" t="e">
        <f t="shared" si="497"/>
        <v>#VALUE!</v>
      </c>
      <c r="X2207" s="26" t="e">
        <f t="shared" si="498"/>
        <v>#VALUE!</v>
      </c>
      <c r="Y2207" s="26" t="e">
        <f t="shared" si="499"/>
        <v>#VALUE!</v>
      </c>
      <c r="Z2207" s="1" t="e">
        <f t="shared" si="500"/>
        <v>#VALUE!</v>
      </c>
      <c r="AA2207"/>
      <c r="AB2207"/>
    </row>
    <row r="2208" spans="1:28" x14ac:dyDescent="0.55000000000000004">
      <c r="A2208" s="1">
        <f t="shared" si="487"/>
        <v>2208</v>
      </c>
      <c r="B2208" t="s">
        <v>37</v>
      </c>
      <c r="N2208" s="1" t="e">
        <f t="shared" si="488"/>
        <v>#VALUE!</v>
      </c>
      <c r="O2208" s="1" t="e">
        <f t="shared" si="489"/>
        <v>#VALUE!</v>
      </c>
      <c r="P2208" s="1" t="e">
        <f t="shared" si="490"/>
        <v>#VALUE!</v>
      </c>
      <c r="Q2208" s="1" t="e">
        <f t="shared" si="491"/>
        <v>#VALUE!</v>
      </c>
      <c r="R2208" s="1" t="e">
        <f t="shared" si="492"/>
        <v>#VALUE!</v>
      </c>
      <c r="S2208" s="1" t="e">
        <f t="shared" si="493"/>
        <v>#VALUE!</v>
      </c>
      <c r="T2208" s="1" t="e">
        <f t="shared" si="494"/>
        <v>#VALUE!</v>
      </c>
      <c r="U2208" s="26" t="e">
        <f t="shared" si="495"/>
        <v>#VALUE!</v>
      </c>
      <c r="V2208" s="26" t="e">
        <f t="shared" si="496"/>
        <v>#VALUE!</v>
      </c>
      <c r="W2208" s="1" t="e">
        <f t="shared" si="497"/>
        <v>#VALUE!</v>
      </c>
      <c r="X2208" s="26" t="e">
        <f t="shared" si="498"/>
        <v>#VALUE!</v>
      </c>
      <c r="Y2208" s="26" t="e">
        <f t="shared" si="499"/>
        <v>#VALUE!</v>
      </c>
      <c r="Z2208" s="1" t="e">
        <f t="shared" si="500"/>
        <v>#VALUE!</v>
      </c>
      <c r="AA2208"/>
      <c r="AB2208"/>
    </row>
    <row r="2209" spans="1:28" x14ac:dyDescent="0.55000000000000004">
      <c r="A2209" s="1">
        <f t="shared" si="487"/>
        <v>2209</v>
      </c>
      <c r="B2209" t="s">
        <v>37</v>
      </c>
      <c r="N2209" s="1" t="e">
        <f t="shared" si="488"/>
        <v>#VALUE!</v>
      </c>
      <c r="O2209" s="1" t="e">
        <f t="shared" si="489"/>
        <v>#VALUE!</v>
      </c>
      <c r="P2209" s="1" t="e">
        <f t="shared" si="490"/>
        <v>#VALUE!</v>
      </c>
      <c r="Q2209" s="1" t="e">
        <f t="shared" si="491"/>
        <v>#VALUE!</v>
      </c>
      <c r="R2209" s="1" t="e">
        <f t="shared" si="492"/>
        <v>#VALUE!</v>
      </c>
      <c r="S2209" s="1" t="e">
        <f t="shared" si="493"/>
        <v>#VALUE!</v>
      </c>
      <c r="T2209" s="1" t="e">
        <f t="shared" si="494"/>
        <v>#VALUE!</v>
      </c>
      <c r="U2209" s="26" t="e">
        <f t="shared" si="495"/>
        <v>#VALUE!</v>
      </c>
      <c r="V2209" s="26" t="e">
        <f t="shared" si="496"/>
        <v>#VALUE!</v>
      </c>
      <c r="W2209" s="1" t="e">
        <f t="shared" si="497"/>
        <v>#VALUE!</v>
      </c>
      <c r="X2209" s="26" t="e">
        <f t="shared" si="498"/>
        <v>#VALUE!</v>
      </c>
      <c r="Y2209" s="26" t="e">
        <f t="shared" si="499"/>
        <v>#VALUE!</v>
      </c>
      <c r="Z2209" s="1" t="e">
        <f t="shared" si="500"/>
        <v>#VALUE!</v>
      </c>
      <c r="AA2209"/>
      <c r="AB2209"/>
    </row>
    <row r="2210" spans="1:28" x14ac:dyDescent="0.55000000000000004">
      <c r="A2210" s="1">
        <f t="shared" si="487"/>
        <v>2210</v>
      </c>
      <c r="B2210" t="s">
        <v>37</v>
      </c>
      <c r="N2210" s="1" t="e">
        <f t="shared" si="488"/>
        <v>#VALUE!</v>
      </c>
      <c r="O2210" s="1" t="e">
        <f t="shared" si="489"/>
        <v>#VALUE!</v>
      </c>
      <c r="P2210" s="1" t="e">
        <f t="shared" si="490"/>
        <v>#VALUE!</v>
      </c>
      <c r="Q2210" s="1" t="e">
        <f t="shared" si="491"/>
        <v>#VALUE!</v>
      </c>
      <c r="R2210" s="1" t="e">
        <f t="shared" si="492"/>
        <v>#VALUE!</v>
      </c>
      <c r="S2210" s="1" t="e">
        <f t="shared" si="493"/>
        <v>#VALUE!</v>
      </c>
      <c r="T2210" s="1" t="e">
        <f t="shared" si="494"/>
        <v>#VALUE!</v>
      </c>
      <c r="U2210" s="26" t="e">
        <f t="shared" si="495"/>
        <v>#VALUE!</v>
      </c>
      <c r="V2210" s="26" t="e">
        <f t="shared" si="496"/>
        <v>#VALUE!</v>
      </c>
      <c r="W2210" s="1" t="e">
        <f t="shared" si="497"/>
        <v>#VALUE!</v>
      </c>
      <c r="X2210" s="26" t="e">
        <f t="shared" si="498"/>
        <v>#VALUE!</v>
      </c>
      <c r="Y2210" s="26" t="e">
        <f t="shared" si="499"/>
        <v>#VALUE!</v>
      </c>
      <c r="Z2210" s="1" t="e">
        <f t="shared" si="500"/>
        <v>#VALUE!</v>
      </c>
      <c r="AA2210"/>
      <c r="AB2210"/>
    </row>
    <row r="2211" spans="1:28" x14ac:dyDescent="0.55000000000000004">
      <c r="A2211" s="1">
        <f t="shared" si="487"/>
        <v>2211</v>
      </c>
      <c r="B2211" t="s">
        <v>37</v>
      </c>
      <c r="N2211" s="1" t="e">
        <f t="shared" si="488"/>
        <v>#VALUE!</v>
      </c>
      <c r="O2211" s="1" t="e">
        <f t="shared" si="489"/>
        <v>#VALUE!</v>
      </c>
      <c r="P2211" s="1" t="e">
        <f t="shared" si="490"/>
        <v>#VALUE!</v>
      </c>
      <c r="Q2211" s="1" t="e">
        <f t="shared" si="491"/>
        <v>#VALUE!</v>
      </c>
      <c r="R2211" s="1" t="e">
        <f t="shared" si="492"/>
        <v>#VALUE!</v>
      </c>
      <c r="S2211" s="1" t="e">
        <f t="shared" si="493"/>
        <v>#VALUE!</v>
      </c>
      <c r="T2211" s="1" t="e">
        <f t="shared" si="494"/>
        <v>#VALUE!</v>
      </c>
      <c r="U2211" s="26" t="e">
        <f t="shared" si="495"/>
        <v>#VALUE!</v>
      </c>
      <c r="V2211" s="26" t="e">
        <f t="shared" si="496"/>
        <v>#VALUE!</v>
      </c>
      <c r="W2211" s="1" t="e">
        <f t="shared" si="497"/>
        <v>#VALUE!</v>
      </c>
      <c r="X2211" s="26" t="e">
        <f t="shared" si="498"/>
        <v>#VALUE!</v>
      </c>
      <c r="Y2211" s="26" t="e">
        <f t="shared" si="499"/>
        <v>#VALUE!</v>
      </c>
      <c r="Z2211" s="1" t="e">
        <f t="shared" si="500"/>
        <v>#VALUE!</v>
      </c>
      <c r="AA2211"/>
      <c r="AB2211"/>
    </row>
    <row r="2212" spans="1:28" x14ac:dyDescent="0.55000000000000004">
      <c r="A2212" s="1">
        <f t="shared" si="487"/>
        <v>2212</v>
      </c>
      <c r="B2212" t="s">
        <v>37</v>
      </c>
      <c r="N2212" s="1" t="e">
        <f t="shared" si="488"/>
        <v>#VALUE!</v>
      </c>
      <c r="O2212" s="1" t="e">
        <f t="shared" si="489"/>
        <v>#VALUE!</v>
      </c>
      <c r="P2212" s="1" t="e">
        <f t="shared" si="490"/>
        <v>#VALUE!</v>
      </c>
      <c r="Q2212" s="1" t="e">
        <f t="shared" si="491"/>
        <v>#VALUE!</v>
      </c>
      <c r="R2212" s="1" t="e">
        <f t="shared" si="492"/>
        <v>#VALUE!</v>
      </c>
      <c r="S2212" s="1" t="e">
        <f t="shared" si="493"/>
        <v>#VALUE!</v>
      </c>
      <c r="T2212" s="1" t="e">
        <f t="shared" si="494"/>
        <v>#VALUE!</v>
      </c>
      <c r="U2212" s="26" t="e">
        <f t="shared" si="495"/>
        <v>#VALUE!</v>
      </c>
      <c r="V2212" s="26" t="e">
        <f t="shared" si="496"/>
        <v>#VALUE!</v>
      </c>
      <c r="W2212" s="1" t="e">
        <f t="shared" si="497"/>
        <v>#VALUE!</v>
      </c>
      <c r="X2212" s="26" t="e">
        <f t="shared" si="498"/>
        <v>#VALUE!</v>
      </c>
      <c r="Y2212" s="26" t="e">
        <f t="shared" si="499"/>
        <v>#VALUE!</v>
      </c>
      <c r="Z2212" s="1" t="e">
        <f t="shared" si="500"/>
        <v>#VALUE!</v>
      </c>
      <c r="AA2212"/>
      <c r="AB2212"/>
    </row>
    <row r="2213" spans="1:28" x14ac:dyDescent="0.55000000000000004">
      <c r="A2213" s="1">
        <f t="shared" si="487"/>
        <v>2213</v>
      </c>
      <c r="B2213" t="s">
        <v>37</v>
      </c>
      <c r="N2213" s="1" t="e">
        <f t="shared" si="488"/>
        <v>#VALUE!</v>
      </c>
      <c r="O2213" s="1" t="e">
        <f t="shared" si="489"/>
        <v>#VALUE!</v>
      </c>
      <c r="P2213" s="1" t="e">
        <f t="shared" si="490"/>
        <v>#VALUE!</v>
      </c>
      <c r="Q2213" s="1" t="e">
        <f t="shared" si="491"/>
        <v>#VALUE!</v>
      </c>
      <c r="R2213" s="1" t="e">
        <f t="shared" si="492"/>
        <v>#VALUE!</v>
      </c>
      <c r="S2213" s="1" t="e">
        <f t="shared" si="493"/>
        <v>#VALUE!</v>
      </c>
      <c r="T2213" s="1" t="e">
        <f t="shared" si="494"/>
        <v>#VALUE!</v>
      </c>
      <c r="U2213" s="26" t="e">
        <f t="shared" si="495"/>
        <v>#VALUE!</v>
      </c>
      <c r="V2213" s="26" t="e">
        <f t="shared" si="496"/>
        <v>#VALUE!</v>
      </c>
      <c r="W2213" s="1" t="e">
        <f t="shared" si="497"/>
        <v>#VALUE!</v>
      </c>
      <c r="X2213" s="26" t="e">
        <f t="shared" si="498"/>
        <v>#VALUE!</v>
      </c>
      <c r="Y2213" s="26" t="e">
        <f t="shared" si="499"/>
        <v>#VALUE!</v>
      </c>
      <c r="Z2213" s="1" t="e">
        <f t="shared" si="500"/>
        <v>#VALUE!</v>
      </c>
      <c r="AA2213"/>
      <c r="AB2213"/>
    </row>
    <row r="2214" spans="1:28" x14ac:dyDescent="0.55000000000000004">
      <c r="A2214" s="1">
        <f t="shared" si="487"/>
        <v>2214</v>
      </c>
      <c r="B2214" t="s">
        <v>37</v>
      </c>
      <c r="N2214" s="1" t="e">
        <f t="shared" si="488"/>
        <v>#VALUE!</v>
      </c>
      <c r="O2214" s="1" t="e">
        <f t="shared" si="489"/>
        <v>#VALUE!</v>
      </c>
      <c r="P2214" s="1" t="e">
        <f t="shared" si="490"/>
        <v>#VALUE!</v>
      </c>
      <c r="Q2214" s="1" t="e">
        <f t="shared" si="491"/>
        <v>#VALUE!</v>
      </c>
      <c r="R2214" s="1" t="e">
        <f t="shared" si="492"/>
        <v>#VALUE!</v>
      </c>
      <c r="S2214" s="1" t="e">
        <f t="shared" si="493"/>
        <v>#VALUE!</v>
      </c>
      <c r="T2214" s="1" t="e">
        <f t="shared" si="494"/>
        <v>#VALUE!</v>
      </c>
      <c r="U2214" s="26" t="e">
        <f t="shared" si="495"/>
        <v>#VALUE!</v>
      </c>
      <c r="V2214" s="26" t="e">
        <f t="shared" si="496"/>
        <v>#VALUE!</v>
      </c>
      <c r="W2214" s="1" t="e">
        <f t="shared" si="497"/>
        <v>#VALUE!</v>
      </c>
      <c r="X2214" s="26" t="e">
        <f t="shared" si="498"/>
        <v>#VALUE!</v>
      </c>
      <c r="Y2214" s="26" t="e">
        <f t="shared" si="499"/>
        <v>#VALUE!</v>
      </c>
      <c r="Z2214" s="1" t="e">
        <f t="shared" si="500"/>
        <v>#VALUE!</v>
      </c>
      <c r="AA2214"/>
      <c r="AB2214"/>
    </row>
    <row r="2215" spans="1:28" x14ac:dyDescent="0.55000000000000004">
      <c r="A2215" s="1">
        <f t="shared" si="487"/>
        <v>2215</v>
      </c>
      <c r="B2215" t="s">
        <v>38</v>
      </c>
      <c r="N2215" s="1" t="e">
        <f t="shared" si="488"/>
        <v>#VALUE!</v>
      </c>
      <c r="O2215" s="1" t="e">
        <f t="shared" si="489"/>
        <v>#VALUE!</v>
      </c>
      <c r="P2215" s="1" t="e">
        <f t="shared" si="490"/>
        <v>#VALUE!</v>
      </c>
      <c r="Q2215" s="1" t="e">
        <f t="shared" si="491"/>
        <v>#VALUE!</v>
      </c>
      <c r="R2215" s="1" t="e">
        <f t="shared" si="492"/>
        <v>#VALUE!</v>
      </c>
      <c r="S2215" s="1" t="e">
        <f t="shared" si="493"/>
        <v>#VALUE!</v>
      </c>
      <c r="T2215" s="1" t="e">
        <f t="shared" si="494"/>
        <v>#VALUE!</v>
      </c>
      <c r="U2215" s="26" t="e">
        <f t="shared" si="495"/>
        <v>#VALUE!</v>
      </c>
      <c r="V2215" s="26" t="e">
        <f t="shared" si="496"/>
        <v>#VALUE!</v>
      </c>
      <c r="W2215" s="1" t="e">
        <f t="shared" si="497"/>
        <v>#VALUE!</v>
      </c>
      <c r="X2215" s="26" t="e">
        <f t="shared" si="498"/>
        <v>#VALUE!</v>
      </c>
      <c r="Y2215" s="26" t="e">
        <f t="shared" si="499"/>
        <v>#VALUE!</v>
      </c>
      <c r="Z2215" s="1" t="e">
        <f t="shared" si="500"/>
        <v>#VALUE!</v>
      </c>
      <c r="AA2215"/>
      <c r="AB2215"/>
    </row>
    <row r="2216" spans="1:28" x14ac:dyDescent="0.55000000000000004">
      <c r="A2216" s="1">
        <f t="shared" si="487"/>
        <v>2216</v>
      </c>
      <c r="B2216" t="s">
        <v>38</v>
      </c>
      <c r="N2216" s="1" t="e">
        <f t="shared" si="488"/>
        <v>#VALUE!</v>
      </c>
      <c r="O2216" s="1" t="e">
        <f t="shared" si="489"/>
        <v>#VALUE!</v>
      </c>
      <c r="P2216" s="1" t="e">
        <f t="shared" si="490"/>
        <v>#VALUE!</v>
      </c>
      <c r="Q2216" s="1" t="e">
        <f t="shared" si="491"/>
        <v>#VALUE!</v>
      </c>
      <c r="R2216" s="1" t="e">
        <f t="shared" si="492"/>
        <v>#VALUE!</v>
      </c>
      <c r="S2216" s="1" t="e">
        <f t="shared" si="493"/>
        <v>#VALUE!</v>
      </c>
      <c r="T2216" s="1" t="e">
        <f t="shared" si="494"/>
        <v>#VALUE!</v>
      </c>
      <c r="U2216" s="26" t="e">
        <f t="shared" si="495"/>
        <v>#VALUE!</v>
      </c>
      <c r="V2216" s="26" t="e">
        <f t="shared" si="496"/>
        <v>#VALUE!</v>
      </c>
      <c r="W2216" s="1" t="e">
        <f t="shared" si="497"/>
        <v>#VALUE!</v>
      </c>
      <c r="X2216" s="26" t="e">
        <f t="shared" si="498"/>
        <v>#VALUE!</v>
      </c>
      <c r="Y2216" s="26" t="e">
        <f t="shared" si="499"/>
        <v>#VALUE!</v>
      </c>
      <c r="Z2216" s="1" t="e">
        <f t="shared" si="500"/>
        <v>#VALUE!</v>
      </c>
      <c r="AA2216"/>
      <c r="AB2216"/>
    </row>
    <row r="2217" spans="1:28" x14ac:dyDescent="0.55000000000000004">
      <c r="A2217" s="1">
        <f t="shared" si="487"/>
        <v>2217</v>
      </c>
      <c r="B2217" t="s">
        <v>38</v>
      </c>
      <c r="N2217" s="1" t="e">
        <f t="shared" si="488"/>
        <v>#VALUE!</v>
      </c>
      <c r="O2217" s="1" t="e">
        <f t="shared" si="489"/>
        <v>#VALUE!</v>
      </c>
      <c r="P2217" s="1" t="e">
        <f t="shared" si="490"/>
        <v>#VALUE!</v>
      </c>
      <c r="Q2217" s="1" t="e">
        <f t="shared" si="491"/>
        <v>#VALUE!</v>
      </c>
      <c r="R2217" s="1" t="e">
        <f t="shared" si="492"/>
        <v>#VALUE!</v>
      </c>
      <c r="S2217" s="1" t="e">
        <f t="shared" si="493"/>
        <v>#VALUE!</v>
      </c>
      <c r="T2217" s="1" t="e">
        <f t="shared" si="494"/>
        <v>#VALUE!</v>
      </c>
      <c r="U2217" s="26" t="e">
        <f t="shared" si="495"/>
        <v>#VALUE!</v>
      </c>
      <c r="V2217" s="26" t="e">
        <f t="shared" si="496"/>
        <v>#VALUE!</v>
      </c>
      <c r="W2217" s="1" t="e">
        <f t="shared" si="497"/>
        <v>#VALUE!</v>
      </c>
      <c r="X2217" s="26" t="e">
        <f t="shared" si="498"/>
        <v>#VALUE!</v>
      </c>
      <c r="Y2217" s="26" t="e">
        <f t="shared" si="499"/>
        <v>#VALUE!</v>
      </c>
      <c r="Z2217" s="1" t="e">
        <f t="shared" si="500"/>
        <v>#VALUE!</v>
      </c>
      <c r="AA2217"/>
      <c r="AB2217"/>
    </row>
    <row r="2218" spans="1:28" x14ac:dyDescent="0.55000000000000004">
      <c r="A2218" s="1">
        <f t="shared" si="487"/>
        <v>2218</v>
      </c>
      <c r="B2218" t="s">
        <v>38</v>
      </c>
      <c r="N2218" s="1" t="e">
        <f t="shared" si="488"/>
        <v>#VALUE!</v>
      </c>
      <c r="O2218" s="1" t="e">
        <f t="shared" si="489"/>
        <v>#VALUE!</v>
      </c>
      <c r="P2218" s="1" t="e">
        <f t="shared" si="490"/>
        <v>#VALUE!</v>
      </c>
      <c r="Q2218" s="1" t="e">
        <f t="shared" si="491"/>
        <v>#VALUE!</v>
      </c>
      <c r="R2218" s="1" t="e">
        <f t="shared" si="492"/>
        <v>#VALUE!</v>
      </c>
      <c r="S2218" s="1" t="e">
        <f t="shared" si="493"/>
        <v>#VALUE!</v>
      </c>
      <c r="T2218" s="1" t="e">
        <f t="shared" si="494"/>
        <v>#VALUE!</v>
      </c>
      <c r="U2218" s="26" t="e">
        <f t="shared" si="495"/>
        <v>#VALUE!</v>
      </c>
      <c r="V2218" s="26" t="e">
        <f t="shared" si="496"/>
        <v>#VALUE!</v>
      </c>
      <c r="W2218" s="1" t="e">
        <f t="shared" si="497"/>
        <v>#VALUE!</v>
      </c>
      <c r="X2218" s="26" t="e">
        <f t="shared" si="498"/>
        <v>#VALUE!</v>
      </c>
      <c r="Y2218" s="26" t="e">
        <f t="shared" si="499"/>
        <v>#VALUE!</v>
      </c>
      <c r="Z2218" s="1" t="e">
        <f t="shared" si="500"/>
        <v>#VALUE!</v>
      </c>
      <c r="AA2218"/>
      <c r="AB2218"/>
    </row>
    <row r="2219" spans="1:28" x14ac:dyDescent="0.55000000000000004">
      <c r="A2219" s="1">
        <f t="shared" si="487"/>
        <v>2219</v>
      </c>
      <c r="B2219" t="s">
        <v>38</v>
      </c>
      <c r="N2219" s="1" t="e">
        <f t="shared" si="488"/>
        <v>#VALUE!</v>
      </c>
      <c r="O2219" s="1" t="e">
        <f t="shared" si="489"/>
        <v>#VALUE!</v>
      </c>
      <c r="P2219" s="1" t="e">
        <f t="shared" si="490"/>
        <v>#VALUE!</v>
      </c>
      <c r="Q2219" s="1" t="e">
        <f t="shared" si="491"/>
        <v>#VALUE!</v>
      </c>
      <c r="R2219" s="1" t="e">
        <f t="shared" si="492"/>
        <v>#VALUE!</v>
      </c>
      <c r="S2219" s="1" t="e">
        <f t="shared" si="493"/>
        <v>#VALUE!</v>
      </c>
      <c r="T2219" s="1" t="e">
        <f t="shared" si="494"/>
        <v>#VALUE!</v>
      </c>
      <c r="U2219" s="26" t="e">
        <f t="shared" si="495"/>
        <v>#VALUE!</v>
      </c>
      <c r="V2219" s="26" t="e">
        <f t="shared" si="496"/>
        <v>#VALUE!</v>
      </c>
      <c r="W2219" s="1" t="e">
        <f t="shared" si="497"/>
        <v>#VALUE!</v>
      </c>
      <c r="X2219" s="26" t="e">
        <f t="shared" si="498"/>
        <v>#VALUE!</v>
      </c>
      <c r="Y2219" s="26" t="e">
        <f t="shared" si="499"/>
        <v>#VALUE!</v>
      </c>
      <c r="Z2219" s="1" t="e">
        <f t="shared" si="500"/>
        <v>#VALUE!</v>
      </c>
      <c r="AA2219"/>
      <c r="AB2219"/>
    </row>
    <row r="2220" spans="1:28" x14ac:dyDescent="0.55000000000000004">
      <c r="A2220" s="1">
        <f t="shared" si="487"/>
        <v>2220</v>
      </c>
      <c r="B2220" t="s">
        <v>38</v>
      </c>
      <c r="N2220" s="1" t="e">
        <f t="shared" si="488"/>
        <v>#VALUE!</v>
      </c>
      <c r="O2220" s="1" t="e">
        <f t="shared" si="489"/>
        <v>#VALUE!</v>
      </c>
      <c r="P2220" s="1" t="e">
        <f t="shared" si="490"/>
        <v>#VALUE!</v>
      </c>
      <c r="Q2220" s="1" t="e">
        <f t="shared" si="491"/>
        <v>#VALUE!</v>
      </c>
      <c r="R2220" s="1" t="e">
        <f t="shared" si="492"/>
        <v>#VALUE!</v>
      </c>
      <c r="S2220" s="1" t="e">
        <f t="shared" si="493"/>
        <v>#VALUE!</v>
      </c>
      <c r="T2220" s="1" t="e">
        <f t="shared" si="494"/>
        <v>#VALUE!</v>
      </c>
      <c r="U2220" s="26" t="e">
        <f t="shared" si="495"/>
        <v>#VALUE!</v>
      </c>
      <c r="V2220" s="26" t="e">
        <f t="shared" si="496"/>
        <v>#VALUE!</v>
      </c>
      <c r="W2220" s="1" t="e">
        <f t="shared" si="497"/>
        <v>#VALUE!</v>
      </c>
      <c r="X2220" s="26" t="e">
        <f t="shared" si="498"/>
        <v>#VALUE!</v>
      </c>
      <c r="Y2220" s="26" t="e">
        <f t="shared" si="499"/>
        <v>#VALUE!</v>
      </c>
      <c r="Z2220" s="1" t="e">
        <f t="shared" si="500"/>
        <v>#VALUE!</v>
      </c>
      <c r="AA2220"/>
      <c r="AB2220"/>
    </row>
    <row r="2221" spans="1:28" x14ac:dyDescent="0.55000000000000004">
      <c r="A2221" s="1">
        <f t="shared" si="487"/>
        <v>2221</v>
      </c>
      <c r="B2221" t="s">
        <v>38</v>
      </c>
      <c r="N2221" s="1" t="e">
        <f t="shared" si="488"/>
        <v>#VALUE!</v>
      </c>
      <c r="O2221" s="1" t="e">
        <f t="shared" si="489"/>
        <v>#VALUE!</v>
      </c>
      <c r="P2221" s="1" t="e">
        <f t="shared" si="490"/>
        <v>#VALUE!</v>
      </c>
      <c r="Q2221" s="1" t="e">
        <f t="shared" si="491"/>
        <v>#VALUE!</v>
      </c>
      <c r="R2221" s="1" t="e">
        <f t="shared" si="492"/>
        <v>#VALUE!</v>
      </c>
      <c r="S2221" s="1" t="e">
        <f t="shared" si="493"/>
        <v>#VALUE!</v>
      </c>
      <c r="T2221" s="1" t="e">
        <f t="shared" si="494"/>
        <v>#VALUE!</v>
      </c>
      <c r="U2221" s="26" t="e">
        <f t="shared" si="495"/>
        <v>#VALUE!</v>
      </c>
      <c r="V2221" s="26" t="e">
        <f t="shared" si="496"/>
        <v>#VALUE!</v>
      </c>
      <c r="W2221" s="1" t="e">
        <f t="shared" si="497"/>
        <v>#VALUE!</v>
      </c>
      <c r="X2221" s="26" t="e">
        <f t="shared" si="498"/>
        <v>#VALUE!</v>
      </c>
      <c r="Y2221" s="26" t="e">
        <f t="shared" si="499"/>
        <v>#VALUE!</v>
      </c>
      <c r="Z2221" s="1" t="e">
        <f t="shared" si="500"/>
        <v>#VALUE!</v>
      </c>
      <c r="AA2221"/>
      <c r="AB2221"/>
    </row>
    <row r="2222" spans="1:28" x14ac:dyDescent="0.55000000000000004">
      <c r="A2222" s="1">
        <f t="shared" si="487"/>
        <v>2222</v>
      </c>
      <c r="B2222" t="s">
        <v>38</v>
      </c>
      <c r="N2222" s="1" t="e">
        <f t="shared" si="488"/>
        <v>#VALUE!</v>
      </c>
      <c r="O2222" s="1" t="e">
        <f t="shared" si="489"/>
        <v>#VALUE!</v>
      </c>
      <c r="P2222" s="1" t="e">
        <f t="shared" si="490"/>
        <v>#VALUE!</v>
      </c>
      <c r="Q2222" s="1" t="e">
        <f t="shared" si="491"/>
        <v>#VALUE!</v>
      </c>
      <c r="R2222" s="1" t="e">
        <f t="shared" si="492"/>
        <v>#VALUE!</v>
      </c>
      <c r="S2222" s="1" t="e">
        <f t="shared" si="493"/>
        <v>#VALUE!</v>
      </c>
      <c r="T2222" s="1" t="e">
        <f t="shared" si="494"/>
        <v>#VALUE!</v>
      </c>
      <c r="U2222" s="26" t="e">
        <f t="shared" si="495"/>
        <v>#VALUE!</v>
      </c>
      <c r="V2222" s="26" t="e">
        <f t="shared" si="496"/>
        <v>#VALUE!</v>
      </c>
      <c r="W2222" s="1" t="e">
        <f t="shared" si="497"/>
        <v>#VALUE!</v>
      </c>
      <c r="X2222" s="26" t="e">
        <f t="shared" si="498"/>
        <v>#VALUE!</v>
      </c>
      <c r="Y2222" s="26" t="e">
        <f t="shared" si="499"/>
        <v>#VALUE!</v>
      </c>
      <c r="Z2222" s="1" t="e">
        <f t="shared" si="500"/>
        <v>#VALUE!</v>
      </c>
      <c r="AA2222"/>
      <c r="AB2222"/>
    </row>
    <row r="2223" spans="1:28" x14ac:dyDescent="0.55000000000000004">
      <c r="A2223" s="1">
        <f t="shared" si="487"/>
        <v>2223</v>
      </c>
      <c r="B2223" t="s">
        <v>38</v>
      </c>
      <c r="N2223" s="1" t="e">
        <f t="shared" si="488"/>
        <v>#VALUE!</v>
      </c>
      <c r="O2223" s="1" t="e">
        <f t="shared" si="489"/>
        <v>#VALUE!</v>
      </c>
      <c r="P2223" s="1" t="e">
        <f t="shared" si="490"/>
        <v>#VALUE!</v>
      </c>
      <c r="Q2223" s="1" t="e">
        <f t="shared" si="491"/>
        <v>#VALUE!</v>
      </c>
      <c r="R2223" s="1" t="e">
        <f t="shared" si="492"/>
        <v>#VALUE!</v>
      </c>
      <c r="S2223" s="1" t="e">
        <f t="shared" si="493"/>
        <v>#VALUE!</v>
      </c>
      <c r="T2223" s="1" t="e">
        <f t="shared" si="494"/>
        <v>#VALUE!</v>
      </c>
      <c r="U2223" s="26" t="e">
        <f t="shared" si="495"/>
        <v>#VALUE!</v>
      </c>
      <c r="V2223" s="26" t="e">
        <f t="shared" si="496"/>
        <v>#VALUE!</v>
      </c>
      <c r="W2223" s="1" t="e">
        <f t="shared" si="497"/>
        <v>#VALUE!</v>
      </c>
      <c r="X2223" s="26" t="e">
        <f t="shared" si="498"/>
        <v>#VALUE!</v>
      </c>
      <c r="Y2223" s="26" t="e">
        <f t="shared" si="499"/>
        <v>#VALUE!</v>
      </c>
      <c r="Z2223" s="1" t="e">
        <f t="shared" si="500"/>
        <v>#VALUE!</v>
      </c>
      <c r="AA2223"/>
      <c r="AB2223"/>
    </row>
    <row r="2224" spans="1:28" x14ac:dyDescent="0.55000000000000004">
      <c r="A2224" s="1">
        <f t="shared" si="487"/>
        <v>2224</v>
      </c>
      <c r="B2224" t="s">
        <v>38</v>
      </c>
      <c r="N2224" s="1" t="e">
        <f t="shared" si="488"/>
        <v>#VALUE!</v>
      </c>
      <c r="O2224" s="1" t="e">
        <f t="shared" si="489"/>
        <v>#VALUE!</v>
      </c>
      <c r="P2224" s="1" t="e">
        <f t="shared" si="490"/>
        <v>#VALUE!</v>
      </c>
      <c r="Q2224" s="1" t="e">
        <f t="shared" si="491"/>
        <v>#VALUE!</v>
      </c>
      <c r="R2224" s="1" t="e">
        <f t="shared" si="492"/>
        <v>#VALUE!</v>
      </c>
      <c r="S2224" s="1" t="e">
        <f t="shared" si="493"/>
        <v>#VALUE!</v>
      </c>
      <c r="T2224" s="1" t="e">
        <f t="shared" si="494"/>
        <v>#VALUE!</v>
      </c>
      <c r="U2224" s="26" t="e">
        <f t="shared" si="495"/>
        <v>#VALUE!</v>
      </c>
      <c r="V2224" s="26" t="e">
        <f t="shared" si="496"/>
        <v>#VALUE!</v>
      </c>
      <c r="W2224" s="1" t="e">
        <f t="shared" si="497"/>
        <v>#VALUE!</v>
      </c>
      <c r="X2224" s="26" t="e">
        <f t="shared" si="498"/>
        <v>#VALUE!</v>
      </c>
      <c r="Y2224" s="26" t="e">
        <f t="shared" si="499"/>
        <v>#VALUE!</v>
      </c>
      <c r="Z2224" s="1" t="e">
        <f t="shared" si="500"/>
        <v>#VALUE!</v>
      </c>
      <c r="AA2224"/>
      <c r="AB2224"/>
    </row>
    <row r="2225" spans="1:28" x14ac:dyDescent="0.55000000000000004">
      <c r="A2225" s="1">
        <f t="shared" si="487"/>
        <v>2225</v>
      </c>
      <c r="B2225" t="s">
        <v>38</v>
      </c>
      <c r="N2225" s="1" t="e">
        <f t="shared" si="488"/>
        <v>#VALUE!</v>
      </c>
      <c r="O2225" s="1" t="e">
        <f t="shared" si="489"/>
        <v>#VALUE!</v>
      </c>
      <c r="P2225" s="1" t="e">
        <f t="shared" si="490"/>
        <v>#VALUE!</v>
      </c>
      <c r="Q2225" s="1" t="e">
        <f t="shared" si="491"/>
        <v>#VALUE!</v>
      </c>
      <c r="R2225" s="1" t="e">
        <f t="shared" si="492"/>
        <v>#VALUE!</v>
      </c>
      <c r="S2225" s="1" t="e">
        <f t="shared" si="493"/>
        <v>#VALUE!</v>
      </c>
      <c r="T2225" s="1" t="e">
        <f t="shared" si="494"/>
        <v>#VALUE!</v>
      </c>
      <c r="U2225" s="26" t="e">
        <f t="shared" si="495"/>
        <v>#VALUE!</v>
      </c>
      <c r="V2225" s="26" t="e">
        <f t="shared" si="496"/>
        <v>#VALUE!</v>
      </c>
      <c r="W2225" s="1" t="e">
        <f t="shared" si="497"/>
        <v>#VALUE!</v>
      </c>
      <c r="X2225" s="26" t="e">
        <f t="shared" si="498"/>
        <v>#VALUE!</v>
      </c>
      <c r="Y2225" s="26" t="e">
        <f t="shared" si="499"/>
        <v>#VALUE!</v>
      </c>
      <c r="Z2225" s="1" t="e">
        <f t="shared" si="500"/>
        <v>#VALUE!</v>
      </c>
      <c r="AA2225"/>
      <c r="AB2225"/>
    </row>
    <row r="2226" spans="1:28" x14ac:dyDescent="0.55000000000000004">
      <c r="A2226" s="1">
        <f t="shared" si="487"/>
        <v>2226</v>
      </c>
      <c r="B2226" t="s">
        <v>38</v>
      </c>
      <c r="N2226" s="1" t="e">
        <f t="shared" si="488"/>
        <v>#VALUE!</v>
      </c>
      <c r="O2226" s="1" t="e">
        <f t="shared" si="489"/>
        <v>#VALUE!</v>
      </c>
      <c r="P2226" s="1" t="e">
        <f t="shared" si="490"/>
        <v>#VALUE!</v>
      </c>
      <c r="Q2226" s="1" t="e">
        <f t="shared" si="491"/>
        <v>#VALUE!</v>
      </c>
      <c r="R2226" s="1" t="e">
        <f t="shared" si="492"/>
        <v>#VALUE!</v>
      </c>
      <c r="S2226" s="1" t="e">
        <f t="shared" si="493"/>
        <v>#VALUE!</v>
      </c>
      <c r="T2226" s="1" t="e">
        <f t="shared" si="494"/>
        <v>#VALUE!</v>
      </c>
      <c r="U2226" s="26" t="e">
        <f t="shared" si="495"/>
        <v>#VALUE!</v>
      </c>
      <c r="V2226" s="26" t="e">
        <f t="shared" si="496"/>
        <v>#VALUE!</v>
      </c>
      <c r="W2226" s="1" t="e">
        <f t="shared" si="497"/>
        <v>#VALUE!</v>
      </c>
      <c r="X2226" s="26" t="e">
        <f t="shared" si="498"/>
        <v>#VALUE!</v>
      </c>
      <c r="Y2226" s="26" t="e">
        <f t="shared" si="499"/>
        <v>#VALUE!</v>
      </c>
      <c r="Z2226" s="1" t="e">
        <f t="shared" si="500"/>
        <v>#VALUE!</v>
      </c>
      <c r="AA2226"/>
      <c r="AB2226"/>
    </row>
    <row r="2227" spans="1:28" x14ac:dyDescent="0.55000000000000004">
      <c r="A2227" s="1">
        <f t="shared" si="487"/>
        <v>2227</v>
      </c>
      <c r="B2227" t="s">
        <v>38</v>
      </c>
      <c r="N2227" s="1" t="e">
        <f t="shared" si="488"/>
        <v>#VALUE!</v>
      </c>
      <c r="O2227" s="1" t="e">
        <f t="shared" si="489"/>
        <v>#VALUE!</v>
      </c>
      <c r="P2227" s="1" t="e">
        <f t="shared" si="490"/>
        <v>#VALUE!</v>
      </c>
      <c r="Q2227" s="1" t="e">
        <f t="shared" si="491"/>
        <v>#VALUE!</v>
      </c>
      <c r="R2227" s="1" t="e">
        <f t="shared" si="492"/>
        <v>#VALUE!</v>
      </c>
      <c r="S2227" s="1" t="e">
        <f t="shared" si="493"/>
        <v>#VALUE!</v>
      </c>
      <c r="T2227" s="1" t="e">
        <f t="shared" si="494"/>
        <v>#VALUE!</v>
      </c>
      <c r="U2227" s="26" t="e">
        <f t="shared" si="495"/>
        <v>#VALUE!</v>
      </c>
      <c r="V2227" s="26" t="e">
        <f t="shared" si="496"/>
        <v>#VALUE!</v>
      </c>
      <c r="W2227" s="1" t="e">
        <f t="shared" si="497"/>
        <v>#VALUE!</v>
      </c>
      <c r="X2227" s="26" t="e">
        <f t="shared" si="498"/>
        <v>#VALUE!</v>
      </c>
      <c r="Y2227" s="26" t="e">
        <f t="shared" si="499"/>
        <v>#VALUE!</v>
      </c>
      <c r="Z2227" s="1" t="e">
        <f t="shared" si="500"/>
        <v>#VALUE!</v>
      </c>
      <c r="AA2227"/>
      <c r="AB2227"/>
    </row>
    <row r="2228" spans="1:28" x14ac:dyDescent="0.55000000000000004">
      <c r="A2228" s="1">
        <f t="shared" si="487"/>
        <v>2228</v>
      </c>
      <c r="B2228" t="s">
        <v>38</v>
      </c>
      <c r="N2228" s="1" t="e">
        <f t="shared" si="488"/>
        <v>#VALUE!</v>
      </c>
      <c r="O2228" s="1" t="e">
        <f t="shared" si="489"/>
        <v>#VALUE!</v>
      </c>
      <c r="P2228" s="1" t="e">
        <f t="shared" si="490"/>
        <v>#VALUE!</v>
      </c>
      <c r="Q2228" s="1" t="e">
        <f t="shared" si="491"/>
        <v>#VALUE!</v>
      </c>
      <c r="R2228" s="1" t="e">
        <f t="shared" si="492"/>
        <v>#VALUE!</v>
      </c>
      <c r="S2228" s="1" t="e">
        <f t="shared" si="493"/>
        <v>#VALUE!</v>
      </c>
      <c r="T2228" s="1" t="e">
        <f t="shared" si="494"/>
        <v>#VALUE!</v>
      </c>
      <c r="U2228" s="26" t="e">
        <f t="shared" si="495"/>
        <v>#VALUE!</v>
      </c>
      <c r="V2228" s="26" t="e">
        <f t="shared" si="496"/>
        <v>#VALUE!</v>
      </c>
      <c r="W2228" s="1" t="e">
        <f t="shared" si="497"/>
        <v>#VALUE!</v>
      </c>
      <c r="X2228" s="26" t="e">
        <f t="shared" si="498"/>
        <v>#VALUE!</v>
      </c>
      <c r="Y2228" s="26" t="e">
        <f t="shared" si="499"/>
        <v>#VALUE!</v>
      </c>
      <c r="Z2228" s="1" t="e">
        <f t="shared" si="500"/>
        <v>#VALUE!</v>
      </c>
      <c r="AA2228"/>
      <c r="AB2228"/>
    </row>
    <row r="2229" spans="1:28" x14ac:dyDescent="0.55000000000000004">
      <c r="A2229" s="1">
        <f t="shared" si="487"/>
        <v>2229</v>
      </c>
      <c r="B2229" t="s">
        <v>38</v>
      </c>
      <c r="N2229" s="1" t="e">
        <f t="shared" si="488"/>
        <v>#VALUE!</v>
      </c>
      <c r="O2229" s="1" t="e">
        <f t="shared" si="489"/>
        <v>#VALUE!</v>
      </c>
      <c r="P2229" s="1" t="e">
        <f t="shared" si="490"/>
        <v>#VALUE!</v>
      </c>
      <c r="Q2229" s="1" t="e">
        <f t="shared" si="491"/>
        <v>#VALUE!</v>
      </c>
      <c r="R2229" s="1" t="e">
        <f t="shared" si="492"/>
        <v>#VALUE!</v>
      </c>
      <c r="S2229" s="1" t="e">
        <f t="shared" si="493"/>
        <v>#VALUE!</v>
      </c>
      <c r="T2229" s="1" t="e">
        <f t="shared" si="494"/>
        <v>#VALUE!</v>
      </c>
      <c r="U2229" s="26" t="e">
        <f t="shared" si="495"/>
        <v>#VALUE!</v>
      </c>
      <c r="V2229" s="26" t="e">
        <f t="shared" si="496"/>
        <v>#VALUE!</v>
      </c>
      <c r="W2229" s="1" t="e">
        <f t="shared" si="497"/>
        <v>#VALUE!</v>
      </c>
      <c r="X2229" s="26" t="e">
        <f t="shared" si="498"/>
        <v>#VALUE!</v>
      </c>
      <c r="Y2229" s="26" t="e">
        <f t="shared" si="499"/>
        <v>#VALUE!</v>
      </c>
      <c r="Z2229" s="1" t="e">
        <f t="shared" si="500"/>
        <v>#VALUE!</v>
      </c>
      <c r="AA2229"/>
      <c r="AB2229"/>
    </row>
    <row r="2230" spans="1:28" x14ac:dyDescent="0.55000000000000004">
      <c r="A2230" s="1">
        <f t="shared" si="487"/>
        <v>2230</v>
      </c>
      <c r="B2230" t="s">
        <v>38</v>
      </c>
      <c r="N2230" s="1" t="e">
        <f t="shared" si="488"/>
        <v>#VALUE!</v>
      </c>
      <c r="O2230" s="1" t="e">
        <f t="shared" si="489"/>
        <v>#VALUE!</v>
      </c>
      <c r="P2230" s="1" t="e">
        <f t="shared" si="490"/>
        <v>#VALUE!</v>
      </c>
      <c r="Q2230" s="1" t="e">
        <f t="shared" si="491"/>
        <v>#VALUE!</v>
      </c>
      <c r="R2230" s="1" t="e">
        <f t="shared" si="492"/>
        <v>#VALUE!</v>
      </c>
      <c r="S2230" s="1" t="e">
        <f t="shared" si="493"/>
        <v>#VALUE!</v>
      </c>
      <c r="T2230" s="1" t="e">
        <f t="shared" si="494"/>
        <v>#VALUE!</v>
      </c>
      <c r="U2230" s="26" t="e">
        <f t="shared" si="495"/>
        <v>#VALUE!</v>
      </c>
      <c r="V2230" s="26" t="e">
        <f t="shared" si="496"/>
        <v>#VALUE!</v>
      </c>
      <c r="W2230" s="1" t="e">
        <f t="shared" si="497"/>
        <v>#VALUE!</v>
      </c>
      <c r="X2230" s="26" t="e">
        <f t="shared" si="498"/>
        <v>#VALUE!</v>
      </c>
      <c r="Y2230" s="26" t="e">
        <f t="shared" si="499"/>
        <v>#VALUE!</v>
      </c>
      <c r="Z2230" s="1" t="e">
        <f t="shared" si="500"/>
        <v>#VALUE!</v>
      </c>
      <c r="AA2230"/>
      <c r="AB2230"/>
    </row>
    <row r="2231" spans="1:28" x14ac:dyDescent="0.55000000000000004">
      <c r="A2231" s="1">
        <f t="shared" si="487"/>
        <v>2231</v>
      </c>
      <c r="B2231" t="s">
        <v>38</v>
      </c>
      <c r="N2231" s="1" t="e">
        <f t="shared" si="488"/>
        <v>#VALUE!</v>
      </c>
      <c r="O2231" s="1" t="e">
        <f t="shared" si="489"/>
        <v>#VALUE!</v>
      </c>
      <c r="P2231" s="1" t="e">
        <f t="shared" si="490"/>
        <v>#VALUE!</v>
      </c>
      <c r="Q2231" s="1" t="e">
        <f t="shared" si="491"/>
        <v>#VALUE!</v>
      </c>
      <c r="R2231" s="1" t="e">
        <f t="shared" si="492"/>
        <v>#VALUE!</v>
      </c>
      <c r="S2231" s="1" t="e">
        <f t="shared" si="493"/>
        <v>#VALUE!</v>
      </c>
      <c r="T2231" s="1" t="e">
        <f t="shared" si="494"/>
        <v>#VALUE!</v>
      </c>
      <c r="U2231" s="26" t="e">
        <f t="shared" si="495"/>
        <v>#VALUE!</v>
      </c>
      <c r="V2231" s="26" t="e">
        <f t="shared" si="496"/>
        <v>#VALUE!</v>
      </c>
      <c r="W2231" s="1" t="e">
        <f t="shared" si="497"/>
        <v>#VALUE!</v>
      </c>
      <c r="X2231" s="26" t="e">
        <f t="shared" si="498"/>
        <v>#VALUE!</v>
      </c>
      <c r="Y2231" s="26" t="e">
        <f t="shared" si="499"/>
        <v>#VALUE!</v>
      </c>
      <c r="Z2231" s="1" t="e">
        <f t="shared" si="500"/>
        <v>#VALUE!</v>
      </c>
      <c r="AA2231"/>
      <c r="AB2231"/>
    </row>
    <row r="2232" spans="1:28" x14ac:dyDescent="0.55000000000000004">
      <c r="A2232" s="1">
        <f t="shared" si="487"/>
        <v>2232</v>
      </c>
      <c r="B2232" t="s">
        <v>38</v>
      </c>
      <c r="N2232" s="1" t="e">
        <f t="shared" si="488"/>
        <v>#VALUE!</v>
      </c>
      <c r="O2232" s="1" t="e">
        <f t="shared" si="489"/>
        <v>#VALUE!</v>
      </c>
      <c r="P2232" s="1" t="e">
        <f t="shared" si="490"/>
        <v>#VALUE!</v>
      </c>
      <c r="Q2232" s="1" t="e">
        <f t="shared" si="491"/>
        <v>#VALUE!</v>
      </c>
      <c r="R2232" s="1" t="e">
        <f t="shared" si="492"/>
        <v>#VALUE!</v>
      </c>
      <c r="S2232" s="1" t="e">
        <f t="shared" si="493"/>
        <v>#VALUE!</v>
      </c>
      <c r="T2232" s="1" t="e">
        <f t="shared" si="494"/>
        <v>#VALUE!</v>
      </c>
      <c r="U2232" s="26" t="e">
        <f t="shared" si="495"/>
        <v>#VALUE!</v>
      </c>
      <c r="V2232" s="26" t="e">
        <f t="shared" si="496"/>
        <v>#VALUE!</v>
      </c>
      <c r="W2232" s="1" t="e">
        <f t="shared" si="497"/>
        <v>#VALUE!</v>
      </c>
      <c r="X2232" s="26" t="e">
        <f t="shared" si="498"/>
        <v>#VALUE!</v>
      </c>
      <c r="Y2232" s="26" t="e">
        <f t="shared" si="499"/>
        <v>#VALUE!</v>
      </c>
      <c r="Z2232" s="1" t="e">
        <f t="shared" si="500"/>
        <v>#VALUE!</v>
      </c>
      <c r="AA2232"/>
      <c r="AB2232"/>
    </row>
    <row r="2233" spans="1:28" x14ac:dyDescent="0.55000000000000004">
      <c r="A2233" s="1">
        <f t="shared" si="487"/>
        <v>2233</v>
      </c>
      <c r="B2233" t="s">
        <v>38</v>
      </c>
      <c r="N2233" s="1" t="e">
        <f t="shared" si="488"/>
        <v>#VALUE!</v>
      </c>
      <c r="O2233" s="1" t="e">
        <f t="shared" si="489"/>
        <v>#VALUE!</v>
      </c>
      <c r="P2233" s="1" t="e">
        <f t="shared" si="490"/>
        <v>#VALUE!</v>
      </c>
      <c r="Q2233" s="1" t="e">
        <f t="shared" si="491"/>
        <v>#VALUE!</v>
      </c>
      <c r="R2233" s="1" t="e">
        <f t="shared" si="492"/>
        <v>#VALUE!</v>
      </c>
      <c r="S2233" s="1" t="e">
        <f t="shared" si="493"/>
        <v>#VALUE!</v>
      </c>
      <c r="T2233" s="1" t="e">
        <f t="shared" si="494"/>
        <v>#VALUE!</v>
      </c>
      <c r="U2233" s="26" t="e">
        <f t="shared" si="495"/>
        <v>#VALUE!</v>
      </c>
      <c r="V2233" s="26" t="e">
        <f t="shared" si="496"/>
        <v>#VALUE!</v>
      </c>
      <c r="W2233" s="1" t="e">
        <f t="shared" si="497"/>
        <v>#VALUE!</v>
      </c>
      <c r="X2233" s="26" t="e">
        <f t="shared" si="498"/>
        <v>#VALUE!</v>
      </c>
      <c r="Y2233" s="26" t="e">
        <f t="shared" si="499"/>
        <v>#VALUE!</v>
      </c>
      <c r="Z2233" s="1" t="e">
        <f t="shared" si="500"/>
        <v>#VALUE!</v>
      </c>
      <c r="AA2233"/>
      <c r="AB2233"/>
    </row>
    <row r="2234" spans="1:28" x14ac:dyDescent="0.55000000000000004">
      <c r="A2234" s="1">
        <f t="shared" si="487"/>
        <v>2234</v>
      </c>
      <c r="B2234" t="s">
        <v>38</v>
      </c>
      <c r="N2234" s="1" t="e">
        <f t="shared" si="488"/>
        <v>#VALUE!</v>
      </c>
      <c r="O2234" s="1" t="e">
        <f t="shared" si="489"/>
        <v>#VALUE!</v>
      </c>
      <c r="P2234" s="1" t="e">
        <f t="shared" si="490"/>
        <v>#VALUE!</v>
      </c>
      <c r="Q2234" s="1" t="e">
        <f t="shared" si="491"/>
        <v>#VALUE!</v>
      </c>
      <c r="R2234" s="1" t="e">
        <f t="shared" si="492"/>
        <v>#VALUE!</v>
      </c>
      <c r="S2234" s="1" t="e">
        <f t="shared" si="493"/>
        <v>#VALUE!</v>
      </c>
      <c r="T2234" s="1" t="e">
        <f t="shared" si="494"/>
        <v>#VALUE!</v>
      </c>
      <c r="U2234" s="26" t="e">
        <f t="shared" si="495"/>
        <v>#VALUE!</v>
      </c>
      <c r="V2234" s="26" t="e">
        <f t="shared" si="496"/>
        <v>#VALUE!</v>
      </c>
      <c r="W2234" s="1" t="e">
        <f t="shared" si="497"/>
        <v>#VALUE!</v>
      </c>
      <c r="X2234" s="26" t="e">
        <f t="shared" si="498"/>
        <v>#VALUE!</v>
      </c>
      <c r="Y2234" s="26" t="e">
        <f t="shared" si="499"/>
        <v>#VALUE!</v>
      </c>
      <c r="Z2234" s="1" t="e">
        <f t="shared" si="500"/>
        <v>#VALUE!</v>
      </c>
      <c r="AA2234"/>
      <c r="AB2234"/>
    </row>
    <row r="2235" spans="1:28" x14ac:dyDescent="0.55000000000000004">
      <c r="A2235" s="1">
        <f t="shared" si="487"/>
        <v>2235</v>
      </c>
      <c r="B2235" t="s">
        <v>38</v>
      </c>
      <c r="N2235" s="1" t="e">
        <f t="shared" si="488"/>
        <v>#VALUE!</v>
      </c>
      <c r="O2235" s="1" t="e">
        <f t="shared" si="489"/>
        <v>#VALUE!</v>
      </c>
      <c r="P2235" s="1" t="e">
        <f t="shared" si="490"/>
        <v>#VALUE!</v>
      </c>
      <c r="Q2235" s="1" t="e">
        <f t="shared" si="491"/>
        <v>#VALUE!</v>
      </c>
      <c r="R2235" s="1" t="e">
        <f t="shared" si="492"/>
        <v>#VALUE!</v>
      </c>
      <c r="S2235" s="1" t="e">
        <f t="shared" si="493"/>
        <v>#VALUE!</v>
      </c>
      <c r="T2235" s="1" t="e">
        <f t="shared" si="494"/>
        <v>#VALUE!</v>
      </c>
      <c r="U2235" s="26" t="e">
        <f t="shared" si="495"/>
        <v>#VALUE!</v>
      </c>
      <c r="V2235" s="26" t="e">
        <f t="shared" si="496"/>
        <v>#VALUE!</v>
      </c>
      <c r="W2235" s="1" t="e">
        <f t="shared" si="497"/>
        <v>#VALUE!</v>
      </c>
      <c r="X2235" s="26" t="e">
        <f t="shared" si="498"/>
        <v>#VALUE!</v>
      </c>
      <c r="Y2235" s="26" t="e">
        <f t="shared" si="499"/>
        <v>#VALUE!</v>
      </c>
      <c r="Z2235" s="1" t="e">
        <f t="shared" si="500"/>
        <v>#VALUE!</v>
      </c>
      <c r="AA2235"/>
      <c r="AB2235"/>
    </row>
    <row r="2236" spans="1:28" x14ac:dyDescent="0.55000000000000004">
      <c r="A2236" s="1">
        <f t="shared" si="487"/>
        <v>2236</v>
      </c>
      <c r="B2236" t="s">
        <v>38</v>
      </c>
      <c r="N2236" s="1" t="e">
        <f t="shared" si="488"/>
        <v>#VALUE!</v>
      </c>
      <c r="O2236" s="1" t="e">
        <f t="shared" si="489"/>
        <v>#VALUE!</v>
      </c>
      <c r="P2236" s="1" t="e">
        <f t="shared" si="490"/>
        <v>#VALUE!</v>
      </c>
      <c r="Q2236" s="1" t="e">
        <f t="shared" si="491"/>
        <v>#VALUE!</v>
      </c>
      <c r="R2236" s="1" t="e">
        <f t="shared" si="492"/>
        <v>#VALUE!</v>
      </c>
      <c r="S2236" s="1" t="e">
        <f t="shared" si="493"/>
        <v>#VALUE!</v>
      </c>
      <c r="T2236" s="1" t="e">
        <f t="shared" si="494"/>
        <v>#VALUE!</v>
      </c>
      <c r="U2236" s="26" t="e">
        <f t="shared" si="495"/>
        <v>#VALUE!</v>
      </c>
      <c r="V2236" s="26" t="e">
        <f t="shared" si="496"/>
        <v>#VALUE!</v>
      </c>
      <c r="W2236" s="1" t="e">
        <f t="shared" si="497"/>
        <v>#VALUE!</v>
      </c>
      <c r="X2236" s="26" t="e">
        <f t="shared" si="498"/>
        <v>#VALUE!</v>
      </c>
      <c r="Y2236" s="26" t="e">
        <f t="shared" si="499"/>
        <v>#VALUE!</v>
      </c>
      <c r="Z2236" s="1" t="e">
        <f t="shared" si="500"/>
        <v>#VALUE!</v>
      </c>
      <c r="AA2236"/>
      <c r="AB2236"/>
    </row>
    <row r="2237" spans="1:28" x14ac:dyDescent="0.55000000000000004">
      <c r="A2237" s="1">
        <f t="shared" si="487"/>
        <v>2237</v>
      </c>
      <c r="B2237" t="s">
        <v>38</v>
      </c>
      <c r="N2237" s="1" t="e">
        <f t="shared" si="488"/>
        <v>#VALUE!</v>
      </c>
      <c r="O2237" s="1" t="e">
        <f t="shared" si="489"/>
        <v>#VALUE!</v>
      </c>
      <c r="P2237" s="1" t="e">
        <f t="shared" si="490"/>
        <v>#VALUE!</v>
      </c>
      <c r="Q2237" s="1" t="e">
        <f t="shared" si="491"/>
        <v>#VALUE!</v>
      </c>
      <c r="R2237" s="1" t="e">
        <f t="shared" si="492"/>
        <v>#VALUE!</v>
      </c>
      <c r="S2237" s="1" t="e">
        <f t="shared" si="493"/>
        <v>#VALUE!</v>
      </c>
      <c r="T2237" s="1" t="e">
        <f t="shared" si="494"/>
        <v>#VALUE!</v>
      </c>
      <c r="U2237" s="26" t="e">
        <f t="shared" si="495"/>
        <v>#VALUE!</v>
      </c>
      <c r="V2237" s="26" t="e">
        <f t="shared" si="496"/>
        <v>#VALUE!</v>
      </c>
      <c r="W2237" s="1" t="e">
        <f t="shared" si="497"/>
        <v>#VALUE!</v>
      </c>
      <c r="X2237" s="26" t="e">
        <f t="shared" si="498"/>
        <v>#VALUE!</v>
      </c>
      <c r="Y2237" s="26" t="e">
        <f t="shared" si="499"/>
        <v>#VALUE!</v>
      </c>
      <c r="Z2237" s="1" t="e">
        <f t="shared" si="500"/>
        <v>#VALUE!</v>
      </c>
      <c r="AA2237"/>
      <c r="AB2237"/>
    </row>
    <row r="2238" spans="1:28" x14ac:dyDescent="0.55000000000000004">
      <c r="A2238" s="1">
        <f t="shared" si="487"/>
        <v>2238</v>
      </c>
      <c r="B2238" t="s">
        <v>38</v>
      </c>
      <c r="N2238" s="1" t="e">
        <f t="shared" si="488"/>
        <v>#VALUE!</v>
      </c>
      <c r="O2238" s="1" t="e">
        <f t="shared" si="489"/>
        <v>#VALUE!</v>
      </c>
      <c r="P2238" s="1" t="e">
        <f t="shared" si="490"/>
        <v>#VALUE!</v>
      </c>
      <c r="Q2238" s="1" t="e">
        <f t="shared" si="491"/>
        <v>#VALUE!</v>
      </c>
      <c r="R2238" s="1" t="e">
        <f t="shared" si="492"/>
        <v>#VALUE!</v>
      </c>
      <c r="S2238" s="1" t="e">
        <f t="shared" si="493"/>
        <v>#VALUE!</v>
      </c>
      <c r="T2238" s="1" t="e">
        <f t="shared" si="494"/>
        <v>#VALUE!</v>
      </c>
      <c r="U2238" s="26" t="e">
        <f t="shared" si="495"/>
        <v>#VALUE!</v>
      </c>
      <c r="V2238" s="26" t="e">
        <f t="shared" si="496"/>
        <v>#VALUE!</v>
      </c>
      <c r="W2238" s="1" t="e">
        <f t="shared" si="497"/>
        <v>#VALUE!</v>
      </c>
      <c r="X2238" s="26" t="e">
        <f t="shared" si="498"/>
        <v>#VALUE!</v>
      </c>
      <c r="Y2238" s="26" t="e">
        <f t="shared" si="499"/>
        <v>#VALUE!</v>
      </c>
      <c r="Z2238" s="1" t="e">
        <f t="shared" si="500"/>
        <v>#VALUE!</v>
      </c>
      <c r="AA2238"/>
      <c r="AB2238"/>
    </row>
    <row r="2239" spans="1:28" x14ac:dyDescent="0.55000000000000004">
      <c r="A2239" s="1">
        <f t="shared" si="487"/>
        <v>2239</v>
      </c>
      <c r="B2239" t="s">
        <v>38</v>
      </c>
      <c r="N2239" s="1" t="e">
        <f t="shared" si="488"/>
        <v>#VALUE!</v>
      </c>
      <c r="O2239" s="1" t="e">
        <f t="shared" si="489"/>
        <v>#VALUE!</v>
      </c>
      <c r="P2239" s="1" t="e">
        <f t="shared" si="490"/>
        <v>#VALUE!</v>
      </c>
      <c r="Q2239" s="1" t="e">
        <f t="shared" si="491"/>
        <v>#VALUE!</v>
      </c>
      <c r="R2239" s="1" t="e">
        <f t="shared" si="492"/>
        <v>#VALUE!</v>
      </c>
      <c r="S2239" s="1" t="e">
        <f t="shared" si="493"/>
        <v>#VALUE!</v>
      </c>
      <c r="T2239" s="1" t="e">
        <f t="shared" si="494"/>
        <v>#VALUE!</v>
      </c>
      <c r="U2239" s="26" t="e">
        <f t="shared" si="495"/>
        <v>#VALUE!</v>
      </c>
      <c r="V2239" s="26" t="e">
        <f t="shared" si="496"/>
        <v>#VALUE!</v>
      </c>
      <c r="W2239" s="1" t="e">
        <f t="shared" si="497"/>
        <v>#VALUE!</v>
      </c>
      <c r="X2239" s="26" t="e">
        <f t="shared" si="498"/>
        <v>#VALUE!</v>
      </c>
      <c r="Y2239" s="26" t="e">
        <f t="shared" si="499"/>
        <v>#VALUE!</v>
      </c>
      <c r="Z2239" s="1" t="e">
        <f t="shared" si="500"/>
        <v>#VALUE!</v>
      </c>
      <c r="AA2239"/>
      <c r="AB2239"/>
    </row>
    <row r="2240" spans="1:28" x14ac:dyDescent="0.55000000000000004">
      <c r="A2240" s="1">
        <f t="shared" si="487"/>
        <v>2240</v>
      </c>
      <c r="B2240" t="s">
        <v>38</v>
      </c>
      <c r="N2240" s="1" t="e">
        <f t="shared" si="488"/>
        <v>#VALUE!</v>
      </c>
      <c r="O2240" s="1" t="e">
        <f t="shared" si="489"/>
        <v>#VALUE!</v>
      </c>
      <c r="P2240" s="1" t="e">
        <f t="shared" si="490"/>
        <v>#VALUE!</v>
      </c>
      <c r="Q2240" s="1" t="e">
        <f t="shared" si="491"/>
        <v>#VALUE!</v>
      </c>
      <c r="R2240" s="1" t="e">
        <f t="shared" si="492"/>
        <v>#VALUE!</v>
      </c>
      <c r="S2240" s="1" t="e">
        <f t="shared" si="493"/>
        <v>#VALUE!</v>
      </c>
      <c r="T2240" s="1" t="e">
        <f t="shared" si="494"/>
        <v>#VALUE!</v>
      </c>
      <c r="U2240" s="26" t="e">
        <f t="shared" si="495"/>
        <v>#VALUE!</v>
      </c>
      <c r="V2240" s="26" t="e">
        <f t="shared" si="496"/>
        <v>#VALUE!</v>
      </c>
      <c r="W2240" s="1" t="e">
        <f t="shared" si="497"/>
        <v>#VALUE!</v>
      </c>
      <c r="X2240" s="26" t="e">
        <f t="shared" si="498"/>
        <v>#VALUE!</v>
      </c>
      <c r="Y2240" s="26" t="e">
        <f t="shared" si="499"/>
        <v>#VALUE!</v>
      </c>
      <c r="Z2240" s="1" t="e">
        <f t="shared" si="500"/>
        <v>#VALUE!</v>
      </c>
      <c r="AA2240"/>
      <c r="AB2240"/>
    </row>
    <row r="2241" spans="1:28" x14ac:dyDescent="0.55000000000000004">
      <c r="A2241" s="1">
        <f t="shared" si="487"/>
        <v>2241</v>
      </c>
      <c r="B2241" t="s">
        <v>38</v>
      </c>
      <c r="N2241" s="1" t="e">
        <f t="shared" si="488"/>
        <v>#VALUE!</v>
      </c>
      <c r="O2241" s="1" t="e">
        <f t="shared" si="489"/>
        <v>#VALUE!</v>
      </c>
      <c r="P2241" s="1" t="e">
        <f t="shared" si="490"/>
        <v>#VALUE!</v>
      </c>
      <c r="Q2241" s="1" t="e">
        <f t="shared" si="491"/>
        <v>#VALUE!</v>
      </c>
      <c r="R2241" s="1" t="e">
        <f t="shared" si="492"/>
        <v>#VALUE!</v>
      </c>
      <c r="S2241" s="1" t="e">
        <f t="shared" si="493"/>
        <v>#VALUE!</v>
      </c>
      <c r="T2241" s="1" t="e">
        <f t="shared" si="494"/>
        <v>#VALUE!</v>
      </c>
      <c r="U2241" s="26" t="e">
        <f t="shared" si="495"/>
        <v>#VALUE!</v>
      </c>
      <c r="V2241" s="26" t="e">
        <f t="shared" si="496"/>
        <v>#VALUE!</v>
      </c>
      <c r="W2241" s="1" t="e">
        <f t="shared" si="497"/>
        <v>#VALUE!</v>
      </c>
      <c r="X2241" s="26" t="e">
        <f t="shared" si="498"/>
        <v>#VALUE!</v>
      </c>
      <c r="Y2241" s="26" t="e">
        <f t="shared" si="499"/>
        <v>#VALUE!</v>
      </c>
      <c r="Z2241" s="1" t="e">
        <f t="shared" si="500"/>
        <v>#VALUE!</v>
      </c>
      <c r="AA2241"/>
      <c r="AB2241"/>
    </row>
    <row r="2242" spans="1:28" x14ac:dyDescent="0.55000000000000004">
      <c r="A2242" s="1">
        <f t="shared" si="487"/>
        <v>2242</v>
      </c>
      <c r="B2242" t="s">
        <v>38</v>
      </c>
      <c r="N2242" s="1" t="e">
        <f t="shared" si="488"/>
        <v>#VALUE!</v>
      </c>
      <c r="O2242" s="1" t="e">
        <f t="shared" si="489"/>
        <v>#VALUE!</v>
      </c>
      <c r="P2242" s="1" t="e">
        <f t="shared" si="490"/>
        <v>#VALUE!</v>
      </c>
      <c r="Q2242" s="1" t="e">
        <f t="shared" si="491"/>
        <v>#VALUE!</v>
      </c>
      <c r="R2242" s="1" t="e">
        <f t="shared" si="492"/>
        <v>#VALUE!</v>
      </c>
      <c r="S2242" s="1" t="e">
        <f t="shared" si="493"/>
        <v>#VALUE!</v>
      </c>
      <c r="T2242" s="1" t="e">
        <f t="shared" si="494"/>
        <v>#VALUE!</v>
      </c>
      <c r="U2242" s="26" t="e">
        <f t="shared" si="495"/>
        <v>#VALUE!</v>
      </c>
      <c r="V2242" s="26" t="e">
        <f t="shared" si="496"/>
        <v>#VALUE!</v>
      </c>
      <c r="W2242" s="1" t="e">
        <f t="shared" si="497"/>
        <v>#VALUE!</v>
      </c>
      <c r="X2242" s="26" t="e">
        <f t="shared" si="498"/>
        <v>#VALUE!</v>
      </c>
      <c r="Y2242" s="26" t="e">
        <f t="shared" si="499"/>
        <v>#VALUE!</v>
      </c>
      <c r="Z2242" s="1" t="e">
        <f t="shared" si="500"/>
        <v>#VALUE!</v>
      </c>
      <c r="AA2242"/>
      <c r="AB2242"/>
    </row>
    <row r="2243" spans="1:28" x14ac:dyDescent="0.55000000000000004">
      <c r="A2243" s="1">
        <f t="shared" ref="A2243:A2306" si="501">A2242+1</f>
        <v>2243</v>
      </c>
      <c r="B2243" t="s">
        <v>38</v>
      </c>
      <c r="N2243" s="1" t="e">
        <f t="shared" ref="N2243:N2306" si="502">VALUE(LEFT(H2243,1))</f>
        <v>#VALUE!</v>
      </c>
      <c r="O2243" s="1" t="e">
        <f t="shared" ref="O2243:O2306" si="503">VALUE(RIGHT(H2243,1))</f>
        <v>#VALUE!</v>
      </c>
      <c r="P2243" s="1" t="e">
        <f t="shared" ref="P2243:P2306" si="504">SUM(N2243,O2243)</f>
        <v>#VALUE!</v>
      </c>
      <c r="Q2243" s="1" t="e">
        <f t="shared" ref="Q2243:Q2306" si="505">IF(N2243&lt;&gt;O2243, 1, 0)</f>
        <v>#VALUE!</v>
      </c>
      <c r="R2243" s="1" t="e">
        <f t="shared" ref="R2243:R2306" si="506">IF(P2243&lt;=4,1,0)</f>
        <v>#VALUE!</v>
      </c>
      <c r="S2243" s="1" t="e">
        <f t="shared" ref="S2243:S2306" si="507">IF(AND(Q2243=1,R2243=1),1,0)</f>
        <v>#VALUE!</v>
      </c>
      <c r="T2243" s="1" t="e">
        <f t="shared" ref="T2243:T2306" si="508">IF(N2243&lt;=2,1,0)</f>
        <v>#VALUE!</v>
      </c>
      <c r="U2243" s="26" t="e">
        <f t="shared" ref="U2243:U2306" si="509">IF(AND(N2243&gt;=1,N2243&lt;=3),1,0)</f>
        <v>#VALUE!</v>
      </c>
      <c r="V2243" s="26" t="e">
        <f t="shared" ref="V2243:V2306" si="510">IF(AND(N2243&gt;=2,N2243&lt;=5),1,0)</f>
        <v>#VALUE!</v>
      </c>
      <c r="W2243" s="1" t="e">
        <f t="shared" ref="W2243:W2306" si="511">IF(O2243&lt;=2,1,0)</f>
        <v>#VALUE!</v>
      </c>
      <c r="X2243" s="26" t="e">
        <f t="shared" ref="X2243:X2306" si="512">IF(AND(O2243&gt;=1,O2243&lt;=3),1,0)</f>
        <v>#VALUE!</v>
      </c>
      <c r="Y2243" s="26" t="e">
        <f t="shared" ref="Y2243:Y2306" si="513">IF(AND(O2243&gt;=2,O2243&lt;=5),1,0)</f>
        <v>#VALUE!</v>
      </c>
      <c r="Z2243" s="1" t="e">
        <f t="shared" ref="Z2243:Z2306" si="514">IF(P2243&gt;=2,1,0)</f>
        <v>#VALUE!</v>
      </c>
      <c r="AA2243"/>
      <c r="AB2243"/>
    </row>
    <row r="2244" spans="1:28" x14ac:dyDescent="0.55000000000000004">
      <c r="A2244" s="1">
        <f t="shared" si="501"/>
        <v>2244</v>
      </c>
      <c r="B2244" t="s">
        <v>38</v>
      </c>
      <c r="N2244" s="1" t="e">
        <f t="shared" si="502"/>
        <v>#VALUE!</v>
      </c>
      <c r="O2244" s="1" t="e">
        <f t="shared" si="503"/>
        <v>#VALUE!</v>
      </c>
      <c r="P2244" s="1" t="e">
        <f t="shared" si="504"/>
        <v>#VALUE!</v>
      </c>
      <c r="Q2244" s="1" t="e">
        <f t="shared" si="505"/>
        <v>#VALUE!</v>
      </c>
      <c r="R2244" s="1" t="e">
        <f t="shared" si="506"/>
        <v>#VALUE!</v>
      </c>
      <c r="S2244" s="1" t="e">
        <f t="shared" si="507"/>
        <v>#VALUE!</v>
      </c>
      <c r="T2244" s="1" t="e">
        <f t="shared" si="508"/>
        <v>#VALUE!</v>
      </c>
      <c r="U2244" s="26" t="e">
        <f t="shared" si="509"/>
        <v>#VALUE!</v>
      </c>
      <c r="V2244" s="26" t="e">
        <f t="shared" si="510"/>
        <v>#VALUE!</v>
      </c>
      <c r="W2244" s="1" t="e">
        <f t="shared" si="511"/>
        <v>#VALUE!</v>
      </c>
      <c r="X2244" s="26" t="e">
        <f t="shared" si="512"/>
        <v>#VALUE!</v>
      </c>
      <c r="Y2244" s="26" t="e">
        <f t="shared" si="513"/>
        <v>#VALUE!</v>
      </c>
      <c r="Z2244" s="1" t="e">
        <f t="shared" si="514"/>
        <v>#VALUE!</v>
      </c>
      <c r="AA2244"/>
      <c r="AB2244"/>
    </row>
    <row r="2245" spans="1:28" x14ac:dyDescent="0.55000000000000004">
      <c r="A2245" s="1">
        <f t="shared" si="501"/>
        <v>2245</v>
      </c>
      <c r="B2245" t="s">
        <v>38</v>
      </c>
      <c r="N2245" s="1" t="e">
        <f t="shared" si="502"/>
        <v>#VALUE!</v>
      </c>
      <c r="O2245" s="1" t="e">
        <f t="shared" si="503"/>
        <v>#VALUE!</v>
      </c>
      <c r="P2245" s="1" t="e">
        <f t="shared" si="504"/>
        <v>#VALUE!</v>
      </c>
      <c r="Q2245" s="1" t="e">
        <f t="shared" si="505"/>
        <v>#VALUE!</v>
      </c>
      <c r="R2245" s="1" t="e">
        <f t="shared" si="506"/>
        <v>#VALUE!</v>
      </c>
      <c r="S2245" s="1" t="e">
        <f t="shared" si="507"/>
        <v>#VALUE!</v>
      </c>
      <c r="T2245" s="1" t="e">
        <f t="shared" si="508"/>
        <v>#VALUE!</v>
      </c>
      <c r="U2245" s="26" t="e">
        <f t="shared" si="509"/>
        <v>#VALUE!</v>
      </c>
      <c r="V2245" s="26" t="e">
        <f t="shared" si="510"/>
        <v>#VALUE!</v>
      </c>
      <c r="W2245" s="1" t="e">
        <f t="shared" si="511"/>
        <v>#VALUE!</v>
      </c>
      <c r="X2245" s="26" t="e">
        <f t="shared" si="512"/>
        <v>#VALUE!</v>
      </c>
      <c r="Y2245" s="26" t="e">
        <f t="shared" si="513"/>
        <v>#VALUE!</v>
      </c>
      <c r="Z2245" s="1" t="e">
        <f t="shared" si="514"/>
        <v>#VALUE!</v>
      </c>
      <c r="AA2245"/>
      <c r="AB2245"/>
    </row>
    <row r="2246" spans="1:28" x14ac:dyDescent="0.55000000000000004">
      <c r="A2246" s="1">
        <f t="shared" si="501"/>
        <v>2246</v>
      </c>
      <c r="B2246" t="s">
        <v>38</v>
      </c>
      <c r="N2246" s="1" t="e">
        <f t="shared" si="502"/>
        <v>#VALUE!</v>
      </c>
      <c r="O2246" s="1" t="e">
        <f t="shared" si="503"/>
        <v>#VALUE!</v>
      </c>
      <c r="P2246" s="1" t="e">
        <f t="shared" si="504"/>
        <v>#VALUE!</v>
      </c>
      <c r="Q2246" s="1" t="e">
        <f t="shared" si="505"/>
        <v>#VALUE!</v>
      </c>
      <c r="R2246" s="1" t="e">
        <f t="shared" si="506"/>
        <v>#VALUE!</v>
      </c>
      <c r="S2246" s="1" t="e">
        <f t="shared" si="507"/>
        <v>#VALUE!</v>
      </c>
      <c r="T2246" s="1" t="e">
        <f t="shared" si="508"/>
        <v>#VALUE!</v>
      </c>
      <c r="U2246" s="26" t="e">
        <f t="shared" si="509"/>
        <v>#VALUE!</v>
      </c>
      <c r="V2246" s="26" t="e">
        <f t="shared" si="510"/>
        <v>#VALUE!</v>
      </c>
      <c r="W2246" s="1" t="e">
        <f t="shared" si="511"/>
        <v>#VALUE!</v>
      </c>
      <c r="X2246" s="26" t="e">
        <f t="shared" si="512"/>
        <v>#VALUE!</v>
      </c>
      <c r="Y2246" s="26" t="e">
        <f t="shared" si="513"/>
        <v>#VALUE!</v>
      </c>
      <c r="Z2246" s="1" t="e">
        <f t="shared" si="514"/>
        <v>#VALUE!</v>
      </c>
      <c r="AA2246"/>
      <c r="AB2246"/>
    </row>
    <row r="2247" spans="1:28" x14ac:dyDescent="0.55000000000000004">
      <c r="A2247" s="1">
        <f t="shared" si="501"/>
        <v>2247</v>
      </c>
      <c r="B2247" t="s">
        <v>38</v>
      </c>
      <c r="N2247" s="1" t="e">
        <f t="shared" si="502"/>
        <v>#VALUE!</v>
      </c>
      <c r="O2247" s="1" t="e">
        <f t="shared" si="503"/>
        <v>#VALUE!</v>
      </c>
      <c r="P2247" s="1" t="e">
        <f t="shared" si="504"/>
        <v>#VALUE!</v>
      </c>
      <c r="Q2247" s="1" t="e">
        <f t="shared" si="505"/>
        <v>#VALUE!</v>
      </c>
      <c r="R2247" s="1" t="e">
        <f t="shared" si="506"/>
        <v>#VALUE!</v>
      </c>
      <c r="S2247" s="1" t="e">
        <f t="shared" si="507"/>
        <v>#VALUE!</v>
      </c>
      <c r="T2247" s="1" t="e">
        <f t="shared" si="508"/>
        <v>#VALUE!</v>
      </c>
      <c r="U2247" s="26" t="e">
        <f t="shared" si="509"/>
        <v>#VALUE!</v>
      </c>
      <c r="V2247" s="26" t="e">
        <f t="shared" si="510"/>
        <v>#VALUE!</v>
      </c>
      <c r="W2247" s="1" t="e">
        <f t="shared" si="511"/>
        <v>#VALUE!</v>
      </c>
      <c r="X2247" s="26" t="e">
        <f t="shared" si="512"/>
        <v>#VALUE!</v>
      </c>
      <c r="Y2247" s="26" t="e">
        <f t="shared" si="513"/>
        <v>#VALUE!</v>
      </c>
      <c r="Z2247" s="1" t="e">
        <f t="shared" si="514"/>
        <v>#VALUE!</v>
      </c>
      <c r="AA2247"/>
      <c r="AB2247"/>
    </row>
    <row r="2248" spans="1:28" x14ac:dyDescent="0.55000000000000004">
      <c r="A2248" s="1">
        <f t="shared" si="501"/>
        <v>2248</v>
      </c>
      <c r="B2248" t="s">
        <v>38</v>
      </c>
      <c r="N2248" s="1" t="e">
        <f t="shared" si="502"/>
        <v>#VALUE!</v>
      </c>
      <c r="O2248" s="1" t="e">
        <f t="shared" si="503"/>
        <v>#VALUE!</v>
      </c>
      <c r="P2248" s="1" t="e">
        <f t="shared" si="504"/>
        <v>#VALUE!</v>
      </c>
      <c r="Q2248" s="1" t="e">
        <f t="shared" si="505"/>
        <v>#VALUE!</v>
      </c>
      <c r="R2248" s="1" t="e">
        <f t="shared" si="506"/>
        <v>#VALUE!</v>
      </c>
      <c r="S2248" s="1" t="e">
        <f t="shared" si="507"/>
        <v>#VALUE!</v>
      </c>
      <c r="T2248" s="1" t="e">
        <f t="shared" si="508"/>
        <v>#VALUE!</v>
      </c>
      <c r="U2248" s="26" t="e">
        <f t="shared" si="509"/>
        <v>#VALUE!</v>
      </c>
      <c r="V2248" s="26" t="e">
        <f t="shared" si="510"/>
        <v>#VALUE!</v>
      </c>
      <c r="W2248" s="1" t="e">
        <f t="shared" si="511"/>
        <v>#VALUE!</v>
      </c>
      <c r="X2248" s="26" t="e">
        <f t="shared" si="512"/>
        <v>#VALUE!</v>
      </c>
      <c r="Y2248" s="26" t="e">
        <f t="shared" si="513"/>
        <v>#VALUE!</v>
      </c>
      <c r="Z2248" s="1" t="e">
        <f t="shared" si="514"/>
        <v>#VALUE!</v>
      </c>
      <c r="AA2248"/>
      <c r="AB2248"/>
    </row>
    <row r="2249" spans="1:28" x14ac:dyDescent="0.55000000000000004">
      <c r="A2249" s="1">
        <f t="shared" si="501"/>
        <v>2249</v>
      </c>
      <c r="B2249" t="s">
        <v>38</v>
      </c>
      <c r="N2249" s="1" t="e">
        <f t="shared" si="502"/>
        <v>#VALUE!</v>
      </c>
      <c r="O2249" s="1" t="e">
        <f t="shared" si="503"/>
        <v>#VALUE!</v>
      </c>
      <c r="P2249" s="1" t="e">
        <f t="shared" si="504"/>
        <v>#VALUE!</v>
      </c>
      <c r="Q2249" s="1" t="e">
        <f t="shared" si="505"/>
        <v>#VALUE!</v>
      </c>
      <c r="R2249" s="1" t="e">
        <f t="shared" si="506"/>
        <v>#VALUE!</v>
      </c>
      <c r="S2249" s="1" t="e">
        <f t="shared" si="507"/>
        <v>#VALUE!</v>
      </c>
      <c r="T2249" s="1" t="e">
        <f t="shared" si="508"/>
        <v>#VALUE!</v>
      </c>
      <c r="U2249" s="26" t="e">
        <f t="shared" si="509"/>
        <v>#VALUE!</v>
      </c>
      <c r="V2249" s="26" t="e">
        <f t="shared" si="510"/>
        <v>#VALUE!</v>
      </c>
      <c r="W2249" s="1" t="e">
        <f t="shared" si="511"/>
        <v>#VALUE!</v>
      </c>
      <c r="X2249" s="26" t="e">
        <f t="shared" si="512"/>
        <v>#VALUE!</v>
      </c>
      <c r="Y2249" s="26" t="e">
        <f t="shared" si="513"/>
        <v>#VALUE!</v>
      </c>
      <c r="Z2249" s="1" t="e">
        <f t="shared" si="514"/>
        <v>#VALUE!</v>
      </c>
      <c r="AA2249"/>
      <c r="AB2249"/>
    </row>
    <row r="2250" spans="1:28" x14ac:dyDescent="0.55000000000000004">
      <c r="A2250" s="1">
        <f t="shared" si="501"/>
        <v>2250</v>
      </c>
      <c r="B2250" t="s">
        <v>38</v>
      </c>
      <c r="N2250" s="1" t="e">
        <f t="shared" si="502"/>
        <v>#VALUE!</v>
      </c>
      <c r="O2250" s="1" t="e">
        <f t="shared" si="503"/>
        <v>#VALUE!</v>
      </c>
      <c r="P2250" s="1" t="e">
        <f t="shared" si="504"/>
        <v>#VALUE!</v>
      </c>
      <c r="Q2250" s="1" t="e">
        <f t="shared" si="505"/>
        <v>#VALUE!</v>
      </c>
      <c r="R2250" s="1" t="e">
        <f t="shared" si="506"/>
        <v>#VALUE!</v>
      </c>
      <c r="S2250" s="1" t="e">
        <f t="shared" si="507"/>
        <v>#VALUE!</v>
      </c>
      <c r="T2250" s="1" t="e">
        <f t="shared" si="508"/>
        <v>#VALUE!</v>
      </c>
      <c r="U2250" s="26" t="e">
        <f t="shared" si="509"/>
        <v>#VALUE!</v>
      </c>
      <c r="V2250" s="26" t="e">
        <f t="shared" si="510"/>
        <v>#VALUE!</v>
      </c>
      <c r="W2250" s="1" t="e">
        <f t="shared" si="511"/>
        <v>#VALUE!</v>
      </c>
      <c r="X2250" s="26" t="e">
        <f t="shared" si="512"/>
        <v>#VALUE!</v>
      </c>
      <c r="Y2250" s="26" t="e">
        <f t="shared" si="513"/>
        <v>#VALUE!</v>
      </c>
      <c r="Z2250" s="1" t="e">
        <f t="shared" si="514"/>
        <v>#VALUE!</v>
      </c>
      <c r="AA2250"/>
      <c r="AB2250"/>
    </row>
    <row r="2251" spans="1:28" x14ac:dyDescent="0.55000000000000004">
      <c r="A2251" s="1">
        <f t="shared" si="501"/>
        <v>2251</v>
      </c>
      <c r="B2251" t="s">
        <v>38</v>
      </c>
      <c r="N2251" s="1" t="e">
        <f t="shared" si="502"/>
        <v>#VALUE!</v>
      </c>
      <c r="O2251" s="1" t="e">
        <f t="shared" si="503"/>
        <v>#VALUE!</v>
      </c>
      <c r="P2251" s="1" t="e">
        <f t="shared" si="504"/>
        <v>#VALUE!</v>
      </c>
      <c r="Q2251" s="1" t="e">
        <f t="shared" si="505"/>
        <v>#VALUE!</v>
      </c>
      <c r="R2251" s="1" t="e">
        <f t="shared" si="506"/>
        <v>#VALUE!</v>
      </c>
      <c r="S2251" s="1" t="e">
        <f t="shared" si="507"/>
        <v>#VALUE!</v>
      </c>
      <c r="T2251" s="1" t="e">
        <f t="shared" si="508"/>
        <v>#VALUE!</v>
      </c>
      <c r="U2251" s="26" t="e">
        <f t="shared" si="509"/>
        <v>#VALUE!</v>
      </c>
      <c r="V2251" s="26" t="e">
        <f t="shared" si="510"/>
        <v>#VALUE!</v>
      </c>
      <c r="W2251" s="1" t="e">
        <f t="shared" si="511"/>
        <v>#VALUE!</v>
      </c>
      <c r="X2251" s="26" t="e">
        <f t="shared" si="512"/>
        <v>#VALUE!</v>
      </c>
      <c r="Y2251" s="26" t="e">
        <f t="shared" si="513"/>
        <v>#VALUE!</v>
      </c>
      <c r="Z2251" s="1" t="e">
        <f t="shared" si="514"/>
        <v>#VALUE!</v>
      </c>
      <c r="AA2251"/>
      <c r="AB2251"/>
    </row>
    <row r="2252" spans="1:28" x14ac:dyDescent="0.55000000000000004">
      <c r="A2252" s="1">
        <f t="shared" si="501"/>
        <v>2252</v>
      </c>
      <c r="B2252" t="s">
        <v>38</v>
      </c>
      <c r="N2252" s="1" t="e">
        <f t="shared" si="502"/>
        <v>#VALUE!</v>
      </c>
      <c r="O2252" s="1" t="e">
        <f t="shared" si="503"/>
        <v>#VALUE!</v>
      </c>
      <c r="P2252" s="1" t="e">
        <f t="shared" si="504"/>
        <v>#VALUE!</v>
      </c>
      <c r="Q2252" s="1" t="e">
        <f t="shared" si="505"/>
        <v>#VALUE!</v>
      </c>
      <c r="R2252" s="1" t="e">
        <f t="shared" si="506"/>
        <v>#VALUE!</v>
      </c>
      <c r="S2252" s="1" t="e">
        <f t="shared" si="507"/>
        <v>#VALUE!</v>
      </c>
      <c r="T2252" s="1" t="e">
        <f t="shared" si="508"/>
        <v>#VALUE!</v>
      </c>
      <c r="U2252" s="26" t="e">
        <f t="shared" si="509"/>
        <v>#VALUE!</v>
      </c>
      <c r="V2252" s="26" t="e">
        <f t="shared" si="510"/>
        <v>#VALUE!</v>
      </c>
      <c r="W2252" s="1" t="e">
        <f t="shared" si="511"/>
        <v>#VALUE!</v>
      </c>
      <c r="X2252" s="26" t="e">
        <f t="shared" si="512"/>
        <v>#VALUE!</v>
      </c>
      <c r="Y2252" s="26" t="e">
        <f t="shared" si="513"/>
        <v>#VALUE!</v>
      </c>
      <c r="Z2252" s="1" t="e">
        <f t="shared" si="514"/>
        <v>#VALUE!</v>
      </c>
      <c r="AA2252"/>
      <c r="AB2252"/>
    </row>
    <row r="2253" spans="1:28" x14ac:dyDescent="0.55000000000000004">
      <c r="A2253" s="1">
        <f t="shared" si="501"/>
        <v>2253</v>
      </c>
      <c r="B2253" t="s">
        <v>38</v>
      </c>
      <c r="N2253" s="1" t="e">
        <f t="shared" si="502"/>
        <v>#VALUE!</v>
      </c>
      <c r="O2253" s="1" t="e">
        <f t="shared" si="503"/>
        <v>#VALUE!</v>
      </c>
      <c r="P2253" s="1" t="e">
        <f t="shared" si="504"/>
        <v>#VALUE!</v>
      </c>
      <c r="Q2253" s="1" t="e">
        <f t="shared" si="505"/>
        <v>#VALUE!</v>
      </c>
      <c r="R2253" s="1" t="e">
        <f t="shared" si="506"/>
        <v>#VALUE!</v>
      </c>
      <c r="S2253" s="1" t="e">
        <f t="shared" si="507"/>
        <v>#VALUE!</v>
      </c>
      <c r="T2253" s="1" t="e">
        <f t="shared" si="508"/>
        <v>#VALUE!</v>
      </c>
      <c r="U2253" s="26" t="e">
        <f t="shared" si="509"/>
        <v>#VALUE!</v>
      </c>
      <c r="V2253" s="26" t="e">
        <f t="shared" si="510"/>
        <v>#VALUE!</v>
      </c>
      <c r="W2253" s="1" t="e">
        <f t="shared" si="511"/>
        <v>#VALUE!</v>
      </c>
      <c r="X2253" s="26" t="e">
        <f t="shared" si="512"/>
        <v>#VALUE!</v>
      </c>
      <c r="Y2253" s="26" t="e">
        <f t="shared" si="513"/>
        <v>#VALUE!</v>
      </c>
      <c r="Z2253" s="1" t="e">
        <f t="shared" si="514"/>
        <v>#VALUE!</v>
      </c>
      <c r="AA2253"/>
      <c r="AB2253"/>
    </row>
    <row r="2254" spans="1:28" x14ac:dyDescent="0.55000000000000004">
      <c r="A2254" s="1">
        <f t="shared" si="501"/>
        <v>2254</v>
      </c>
      <c r="B2254" t="s">
        <v>38</v>
      </c>
      <c r="N2254" s="1" t="e">
        <f t="shared" si="502"/>
        <v>#VALUE!</v>
      </c>
      <c r="O2254" s="1" t="e">
        <f t="shared" si="503"/>
        <v>#VALUE!</v>
      </c>
      <c r="P2254" s="1" t="e">
        <f t="shared" si="504"/>
        <v>#VALUE!</v>
      </c>
      <c r="Q2254" s="1" t="e">
        <f t="shared" si="505"/>
        <v>#VALUE!</v>
      </c>
      <c r="R2254" s="1" t="e">
        <f t="shared" si="506"/>
        <v>#VALUE!</v>
      </c>
      <c r="S2254" s="1" t="e">
        <f t="shared" si="507"/>
        <v>#VALUE!</v>
      </c>
      <c r="T2254" s="1" t="e">
        <f t="shared" si="508"/>
        <v>#VALUE!</v>
      </c>
      <c r="U2254" s="26" t="e">
        <f t="shared" si="509"/>
        <v>#VALUE!</v>
      </c>
      <c r="V2254" s="26" t="e">
        <f t="shared" si="510"/>
        <v>#VALUE!</v>
      </c>
      <c r="W2254" s="1" t="e">
        <f t="shared" si="511"/>
        <v>#VALUE!</v>
      </c>
      <c r="X2254" s="26" t="e">
        <f t="shared" si="512"/>
        <v>#VALUE!</v>
      </c>
      <c r="Y2254" s="26" t="e">
        <f t="shared" si="513"/>
        <v>#VALUE!</v>
      </c>
      <c r="Z2254" s="1" t="e">
        <f t="shared" si="514"/>
        <v>#VALUE!</v>
      </c>
      <c r="AA2254"/>
      <c r="AB2254"/>
    </row>
    <row r="2255" spans="1:28" x14ac:dyDescent="0.55000000000000004">
      <c r="A2255" s="1">
        <f t="shared" si="501"/>
        <v>2255</v>
      </c>
      <c r="B2255" t="s">
        <v>38</v>
      </c>
      <c r="N2255" s="1" t="e">
        <f t="shared" si="502"/>
        <v>#VALUE!</v>
      </c>
      <c r="O2255" s="1" t="e">
        <f t="shared" si="503"/>
        <v>#VALUE!</v>
      </c>
      <c r="P2255" s="1" t="e">
        <f t="shared" si="504"/>
        <v>#VALUE!</v>
      </c>
      <c r="Q2255" s="1" t="e">
        <f t="shared" si="505"/>
        <v>#VALUE!</v>
      </c>
      <c r="R2255" s="1" t="e">
        <f t="shared" si="506"/>
        <v>#VALUE!</v>
      </c>
      <c r="S2255" s="1" t="e">
        <f t="shared" si="507"/>
        <v>#VALUE!</v>
      </c>
      <c r="T2255" s="1" t="e">
        <f t="shared" si="508"/>
        <v>#VALUE!</v>
      </c>
      <c r="U2255" s="26" t="e">
        <f t="shared" si="509"/>
        <v>#VALUE!</v>
      </c>
      <c r="V2255" s="26" t="e">
        <f t="shared" si="510"/>
        <v>#VALUE!</v>
      </c>
      <c r="W2255" s="1" t="e">
        <f t="shared" si="511"/>
        <v>#VALUE!</v>
      </c>
      <c r="X2255" s="26" t="e">
        <f t="shared" si="512"/>
        <v>#VALUE!</v>
      </c>
      <c r="Y2255" s="26" t="e">
        <f t="shared" si="513"/>
        <v>#VALUE!</v>
      </c>
      <c r="Z2255" s="1" t="e">
        <f t="shared" si="514"/>
        <v>#VALUE!</v>
      </c>
      <c r="AA2255"/>
      <c r="AB2255"/>
    </row>
    <row r="2256" spans="1:28" x14ac:dyDescent="0.55000000000000004">
      <c r="A2256" s="1">
        <f t="shared" si="501"/>
        <v>2256</v>
      </c>
      <c r="B2256" t="s">
        <v>38</v>
      </c>
      <c r="N2256" s="1" t="e">
        <f t="shared" si="502"/>
        <v>#VALUE!</v>
      </c>
      <c r="O2256" s="1" t="e">
        <f t="shared" si="503"/>
        <v>#VALUE!</v>
      </c>
      <c r="P2256" s="1" t="e">
        <f t="shared" si="504"/>
        <v>#VALUE!</v>
      </c>
      <c r="Q2256" s="1" t="e">
        <f t="shared" si="505"/>
        <v>#VALUE!</v>
      </c>
      <c r="R2256" s="1" t="e">
        <f t="shared" si="506"/>
        <v>#VALUE!</v>
      </c>
      <c r="S2256" s="1" t="e">
        <f t="shared" si="507"/>
        <v>#VALUE!</v>
      </c>
      <c r="T2256" s="1" t="e">
        <f t="shared" si="508"/>
        <v>#VALUE!</v>
      </c>
      <c r="U2256" s="26" t="e">
        <f t="shared" si="509"/>
        <v>#VALUE!</v>
      </c>
      <c r="V2256" s="26" t="e">
        <f t="shared" si="510"/>
        <v>#VALUE!</v>
      </c>
      <c r="W2256" s="1" t="e">
        <f t="shared" si="511"/>
        <v>#VALUE!</v>
      </c>
      <c r="X2256" s="26" t="e">
        <f t="shared" si="512"/>
        <v>#VALUE!</v>
      </c>
      <c r="Y2256" s="26" t="e">
        <f t="shared" si="513"/>
        <v>#VALUE!</v>
      </c>
      <c r="Z2256" s="1" t="e">
        <f t="shared" si="514"/>
        <v>#VALUE!</v>
      </c>
      <c r="AA2256"/>
      <c r="AB2256"/>
    </row>
    <row r="2257" spans="1:28" x14ac:dyDescent="0.55000000000000004">
      <c r="A2257" s="1">
        <f t="shared" si="501"/>
        <v>2257</v>
      </c>
      <c r="B2257" t="s">
        <v>38</v>
      </c>
      <c r="N2257" s="1" t="e">
        <f t="shared" si="502"/>
        <v>#VALUE!</v>
      </c>
      <c r="O2257" s="1" t="e">
        <f t="shared" si="503"/>
        <v>#VALUE!</v>
      </c>
      <c r="P2257" s="1" t="e">
        <f t="shared" si="504"/>
        <v>#VALUE!</v>
      </c>
      <c r="Q2257" s="1" t="e">
        <f t="shared" si="505"/>
        <v>#VALUE!</v>
      </c>
      <c r="R2257" s="1" t="e">
        <f t="shared" si="506"/>
        <v>#VALUE!</v>
      </c>
      <c r="S2257" s="1" t="e">
        <f t="shared" si="507"/>
        <v>#VALUE!</v>
      </c>
      <c r="T2257" s="1" t="e">
        <f t="shared" si="508"/>
        <v>#VALUE!</v>
      </c>
      <c r="U2257" s="26" t="e">
        <f t="shared" si="509"/>
        <v>#VALUE!</v>
      </c>
      <c r="V2257" s="26" t="e">
        <f t="shared" si="510"/>
        <v>#VALUE!</v>
      </c>
      <c r="W2257" s="1" t="e">
        <f t="shared" si="511"/>
        <v>#VALUE!</v>
      </c>
      <c r="X2257" s="26" t="e">
        <f t="shared" si="512"/>
        <v>#VALUE!</v>
      </c>
      <c r="Y2257" s="26" t="e">
        <f t="shared" si="513"/>
        <v>#VALUE!</v>
      </c>
      <c r="Z2257" s="1" t="e">
        <f t="shared" si="514"/>
        <v>#VALUE!</v>
      </c>
      <c r="AA2257"/>
      <c r="AB2257"/>
    </row>
    <row r="2258" spans="1:28" x14ac:dyDescent="0.55000000000000004">
      <c r="A2258" s="1">
        <f t="shared" si="501"/>
        <v>2258</v>
      </c>
      <c r="B2258" t="s">
        <v>38</v>
      </c>
      <c r="N2258" s="1" t="e">
        <f t="shared" si="502"/>
        <v>#VALUE!</v>
      </c>
      <c r="O2258" s="1" t="e">
        <f t="shared" si="503"/>
        <v>#VALUE!</v>
      </c>
      <c r="P2258" s="1" t="e">
        <f t="shared" si="504"/>
        <v>#VALUE!</v>
      </c>
      <c r="Q2258" s="1" t="e">
        <f t="shared" si="505"/>
        <v>#VALUE!</v>
      </c>
      <c r="R2258" s="1" t="e">
        <f t="shared" si="506"/>
        <v>#VALUE!</v>
      </c>
      <c r="S2258" s="1" t="e">
        <f t="shared" si="507"/>
        <v>#VALUE!</v>
      </c>
      <c r="T2258" s="1" t="e">
        <f t="shared" si="508"/>
        <v>#VALUE!</v>
      </c>
      <c r="U2258" s="26" t="e">
        <f t="shared" si="509"/>
        <v>#VALUE!</v>
      </c>
      <c r="V2258" s="26" t="e">
        <f t="shared" si="510"/>
        <v>#VALUE!</v>
      </c>
      <c r="W2258" s="1" t="e">
        <f t="shared" si="511"/>
        <v>#VALUE!</v>
      </c>
      <c r="X2258" s="26" t="e">
        <f t="shared" si="512"/>
        <v>#VALUE!</v>
      </c>
      <c r="Y2258" s="26" t="e">
        <f t="shared" si="513"/>
        <v>#VALUE!</v>
      </c>
      <c r="Z2258" s="1" t="e">
        <f t="shared" si="514"/>
        <v>#VALUE!</v>
      </c>
      <c r="AA2258"/>
      <c r="AB2258"/>
    </row>
    <row r="2259" spans="1:28" x14ac:dyDescent="0.55000000000000004">
      <c r="A2259" s="1">
        <f t="shared" si="501"/>
        <v>2259</v>
      </c>
      <c r="B2259" t="s">
        <v>38</v>
      </c>
      <c r="N2259" s="1" t="e">
        <f t="shared" si="502"/>
        <v>#VALUE!</v>
      </c>
      <c r="O2259" s="1" t="e">
        <f t="shared" si="503"/>
        <v>#VALUE!</v>
      </c>
      <c r="P2259" s="1" t="e">
        <f t="shared" si="504"/>
        <v>#VALUE!</v>
      </c>
      <c r="Q2259" s="1" t="e">
        <f t="shared" si="505"/>
        <v>#VALUE!</v>
      </c>
      <c r="R2259" s="1" t="e">
        <f t="shared" si="506"/>
        <v>#VALUE!</v>
      </c>
      <c r="S2259" s="1" t="e">
        <f t="shared" si="507"/>
        <v>#VALUE!</v>
      </c>
      <c r="T2259" s="1" t="e">
        <f t="shared" si="508"/>
        <v>#VALUE!</v>
      </c>
      <c r="U2259" s="26" t="e">
        <f t="shared" si="509"/>
        <v>#VALUE!</v>
      </c>
      <c r="V2259" s="26" t="e">
        <f t="shared" si="510"/>
        <v>#VALUE!</v>
      </c>
      <c r="W2259" s="1" t="e">
        <f t="shared" si="511"/>
        <v>#VALUE!</v>
      </c>
      <c r="X2259" s="26" t="e">
        <f t="shared" si="512"/>
        <v>#VALUE!</v>
      </c>
      <c r="Y2259" s="26" t="e">
        <f t="shared" si="513"/>
        <v>#VALUE!</v>
      </c>
      <c r="Z2259" s="1" t="e">
        <f t="shared" si="514"/>
        <v>#VALUE!</v>
      </c>
      <c r="AA2259"/>
      <c r="AB2259"/>
    </row>
    <row r="2260" spans="1:28" x14ac:dyDescent="0.55000000000000004">
      <c r="A2260" s="1">
        <f t="shared" si="501"/>
        <v>2260</v>
      </c>
      <c r="B2260" t="s">
        <v>38</v>
      </c>
      <c r="N2260" s="1" t="e">
        <f t="shared" si="502"/>
        <v>#VALUE!</v>
      </c>
      <c r="O2260" s="1" t="e">
        <f t="shared" si="503"/>
        <v>#VALUE!</v>
      </c>
      <c r="P2260" s="1" t="e">
        <f t="shared" si="504"/>
        <v>#VALUE!</v>
      </c>
      <c r="Q2260" s="1" t="e">
        <f t="shared" si="505"/>
        <v>#VALUE!</v>
      </c>
      <c r="R2260" s="1" t="e">
        <f t="shared" si="506"/>
        <v>#VALUE!</v>
      </c>
      <c r="S2260" s="1" t="e">
        <f t="shared" si="507"/>
        <v>#VALUE!</v>
      </c>
      <c r="T2260" s="1" t="e">
        <f t="shared" si="508"/>
        <v>#VALUE!</v>
      </c>
      <c r="U2260" s="26" t="e">
        <f t="shared" si="509"/>
        <v>#VALUE!</v>
      </c>
      <c r="V2260" s="26" t="e">
        <f t="shared" si="510"/>
        <v>#VALUE!</v>
      </c>
      <c r="W2260" s="1" t="e">
        <f t="shared" si="511"/>
        <v>#VALUE!</v>
      </c>
      <c r="X2260" s="26" t="e">
        <f t="shared" si="512"/>
        <v>#VALUE!</v>
      </c>
      <c r="Y2260" s="26" t="e">
        <f t="shared" si="513"/>
        <v>#VALUE!</v>
      </c>
      <c r="Z2260" s="1" t="e">
        <f t="shared" si="514"/>
        <v>#VALUE!</v>
      </c>
      <c r="AA2260"/>
      <c r="AB2260"/>
    </row>
    <row r="2261" spans="1:28" x14ac:dyDescent="0.55000000000000004">
      <c r="A2261" s="1">
        <f t="shared" si="501"/>
        <v>2261</v>
      </c>
      <c r="B2261" t="s">
        <v>38</v>
      </c>
      <c r="N2261" s="1" t="e">
        <f t="shared" si="502"/>
        <v>#VALUE!</v>
      </c>
      <c r="O2261" s="1" t="e">
        <f t="shared" si="503"/>
        <v>#VALUE!</v>
      </c>
      <c r="P2261" s="1" t="e">
        <f t="shared" si="504"/>
        <v>#VALUE!</v>
      </c>
      <c r="Q2261" s="1" t="e">
        <f t="shared" si="505"/>
        <v>#VALUE!</v>
      </c>
      <c r="R2261" s="1" t="e">
        <f t="shared" si="506"/>
        <v>#VALUE!</v>
      </c>
      <c r="S2261" s="1" t="e">
        <f t="shared" si="507"/>
        <v>#VALUE!</v>
      </c>
      <c r="T2261" s="1" t="e">
        <f t="shared" si="508"/>
        <v>#VALUE!</v>
      </c>
      <c r="U2261" s="26" t="e">
        <f t="shared" si="509"/>
        <v>#VALUE!</v>
      </c>
      <c r="V2261" s="26" t="e">
        <f t="shared" si="510"/>
        <v>#VALUE!</v>
      </c>
      <c r="W2261" s="1" t="e">
        <f t="shared" si="511"/>
        <v>#VALUE!</v>
      </c>
      <c r="X2261" s="26" t="e">
        <f t="shared" si="512"/>
        <v>#VALUE!</v>
      </c>
      <c r="Y2261" s="26" t="e">
        <f t="shared" si="513"/>
        <v>#VALUE!</v>
      </c>
      <c r="Z2261" s="1" t="e">
        <f t="shared" si="514"/>
        <v>#VALUE!</v>
      </c>
      <c r="AA2261"/>
      <c r="AB2261"/>
    </row>
    <row r="2262" spans="1:28" x14ac:dyDescent="0.55000000000000004">
      <c r="A2262" s="1">
        <f t="shared" si="501"/>
        <v>2262</v>
      </c>
      <c r="B2262" t="s">
        <v>38</v>
      </c>
      <c r="N2262" s="1" t="e">
        <f t="shared" si="502"/>
        <v>#VALUE!</v>
      </c>
      <c r="O2262" s="1" t="e">
        <f t="shared" si="503"/>
        <v>#VALUE!</v>
      </c>
      <c r="P2262" s="1" t="e">
        <f t="shared" si="504"/>
        <v>#VALUE!</v>
      </c>
      <c r="Q2262" s="1" t="e">
        <f t="shared" si="505"/>
        <v>#VALUE!</v>
      </c>
      <c r="R2262" s="1" t="e">
        <f t="shared" si="506"/>
        <v>#VALUE!</v>
      </c>
      <c r="S2262" s="1" t="e">
        <f t="shared" si="507"/>
        <v>#VALUE!</v>
      </c>
      <c r="T2262" s="1" t="e">
        <f t="shared" si="508"/>
        <v>#VALUE!</v>
      </c>
      <c r="U2262" s="26" t="e">
        <f t="shared" si="509"/>
        <v>#VALUE!</v>
      </c>
      <c r="V2262" s="26" t="e">
        <f t="shared" si="510"/>
        <v>#VALUE!</v>
      </c>
      <c r="W2262" s="1" t="e">
        <f t="shared" si="511"/>
        <v>#VALUE!</v>
      </c>
      <c r="X2262" s="26" t="e">
        <f t="shared" si="512"/>
        <v>#VALUE!</v>
      </c>
      <c r="Y2262" s="26" t="e">
        <f t="shared" si="513"/>
        <v>#VALUE!</v>
      </c>
      <c r="Z2262" s="1" t="e">
        <f t="shared" si="514"/>
        <v>#VALUE!</v>
      </c>
      <c r="AA2262"/>
      <c r="AB2262"/>
    </row>
    <row r="2263" spans="1:28" x14ac:dyDescent="0.55000000000000004">
      <c r="A2263" s="1">
        <f t="shared" si="501"/>
        <v>2263</v>
      </c>
      <c r="B2263" t="s">
        <v>39</v>
      </c>
      <c r="N2263" s="1" t="e">
        <f t="shared" si="502"/>
        <v>#VALUE!</v>
      </c>
      <c r="O2263" s="1" t="e">
        <f t="shared" si="503"/>
        <v>#VALUE!</v>
      </c>
      <c r="P2263" s="1" t="e">
        <f t="shared" si="504"/>
        <v>#VALUE!</v>
      </c>
      <c r="Q2263" s="1" t="e">
        <f t="shared" si="505"/>
        <v>#VALUE!</v>
      </c>
      <c r="R2263" s="1" t="e">
        <f t="shared" si="506"/>
        <v>#VALUE!</v>
      </c>
      <c r="S2263" s="1" t="e">
        <f t="shared" si="507"/>
        <v>#VALUE!</v>
      </c>
      <c r="T2263" s="1" t="e">
        <f t="shared" si="508"/>
        <v>#VALUE!</v>
      </c>
      <c r="U2263" s="26" t="e">
        <f t="shared" si="509"/>
        <v>#VALUE!</v>
      </c>
      <c r="V2263" s="26" t="e">
        <f t="shared" si="510"/>
        <v>#VALUE!</v>
      </c>
      <c r="W2263" s="1" t="e">
        <f t="shared" si="511"/>
        <v>#VALUE!</v>
      </c>
      <c r="X2263" s="26" t="e">
        <f t="shared" si="512"/>
        <v>#VALUE!</v>
      </c>
      <c r="Y2263" s="26" t="e">
        <f t="shared" si="513"/>
        <v>#VALUE!</v>
      </c>
      <c r="Z2263" s="1" t="e">
        <f t="shared" si="514"/>
        <v>#VALUE!</v>
      </c>
      <c r="AA2263"/>
      <c r="AB2263"/>
    </row>
    <row r="2264" spans="1:28" x14ac:dyDescent="0.55000000000000004">
      <c r="A2264" s="1">
        <f t="shared" si="501"/>
        <v>2264</v>
      </c>
      <c r="B2264" t="s">
        <v>39</v>
      </c>
      <c r="N2264" s="1" t="e">
        <f t="shared" si="502"/>
        <v>#VALUE!</v>
      </c>
      <c r="O2264" s="1" t="e">
        <f t="shared" si="503"/>
        <v>#VALUE!</v>
      </c>
      <c r="P2264" s="1" t="e">
        <f t="shared" si="504"/>
        <v>#VALUE!</v>
      </c>
      <c r="Q2264" s="1" t="e">
        <f t="shared" si="505"/>
        <v>#VALUE!</v>
      </c>
      <c r="R2264" s="1" t="e">
        <f t="shared" si="506"/>
        <v>#VALUE!</v>
      </c>
      <c r="S2264" s="1" t="e">
        <f t="shared" si="507"/>
        <v>#VALUE!</v>
      </c>
      <c r="T2264" s="1" t="e">
        <f t="shared" si="508"/>
        <v>#VALUE!</v>
      </c>
      <c r="U2264" s="26" t="e">
        <f t="shared" si="509"/>
        <v>#VALUE!</v>
      </c>
      <c r="V2264" s="26" t="e">
        <f t="shared" si="510"/>
        <v>#VALUE!</v>
      </c>
      <c r="W2264" s="1" t="e">
        <f t="shared" si="511"/>
        <v>#VALUE!</v>
      </c>
      <c r="X2264" s="26" t="e">
        <f t="shared" si="512"/>
        <v>#VALUE!</v>
      </c>
      <c r="Y2264" s="26" t="e">
        <f t="shared" si="513"/>
        <v>#VALUE!</v>
      </c>
      <c r="Z2264" s="1" t="e">
        <f t="shared" si="514"/>
        <v>#VALUE!</v>
      </c>
      <c r="AA2264"/>
      <c r="AB2264"/>
    </row>
    <row r="2265" spans="1:28" x14ac:dyDescent="0.55000000000000004">
      <c r="A2265" s="1">
        <f t="shared" si="501"/>
        <v>2265</v>
      </c>
      <c r="B2265" t="s">
        <v>39</v>
      </c>
      <c r="N2265" s="1" t="e">
        <f t="shared" si="502"/>
        <v>#VALUE!</v>
      </c>
      <c r="O2265" s="1" t="e">
        <f t="shared" si="503"/>
        <v>#VALUE!</v>
      </c>
      <c r="P2265" s="1" t="e">
        <f t="shared" si="504"/>
        <v>#VALUE!</v>
      </c>
      <c r="Q2265" s="1" t="e">
        <f t="shared" si="505"/>
        <v>#VALUE!</v>
      </c>
      <c r="R2265" s="1" t="e">
        <f t="shared" si="506"/>
        <v>#VALUE!</v>
      </c>
      <c r="S2265" s="1" t="e">
        <f t="shared" si="507"/>
        <v>#VALUE!</v>
      </c>
      <c r="T2265" s="1" t="e">
        <f t="shared" si="508"/>
        <v>#VALUE!</v>
      </c>
      <c r="U2265" s="26" t="e">
        <f t="shared" si="509"/>
        <v>#VALUE!</v>
      </c>
      <c r="V2265" s="26" t="e">
        <f t="shared" si="510"/>
        <v>#VALUE!</v>
      </c>
      <c r="W2265" s="1" t="e">
        <f t="shared" si="511"/>
        <v>#VALUE!</v>
      </c>
      <c r="X2265" s="26" t="e">
        <f t="shared" si="512"/>
        <v>#VALUE!</v>
      </c>
      <c r="Y2265" s="26" t="e">
        <f t="shared" si="513"/>
        <v>#VALUE!</v>
      </c>
      <c r="Z2265" s="1" t="e">
        <f t="shared" si="514"/>
        <v>#VALUE!</v>
      </c>
      <c r="AA2265"/>
      <c r="AB2265"/>
    </row>
    <row r="2266" spans="1:28" x14ac:dyDescent="0.55000000000000004">
      <c r="A2266" s="1">
        <f t="shared" si="501"/>
        <v>2266</v>
      </c>
      <c r="B2266" t="s">
        <v>39</v>
      </c>
      <c r="N2266" s="1" t="e">
        <f t="shared" si="502"/>
        <v>#VALUE!</v>
      </c>
      <c r="O2266" s="1" t="e">
        <f t="shared" si="503"/>
        <v>#VALUE!</v>
      </c>
      <c r="P2266" s="1" t="e">
        <f t="shared" si="504"/>
        <v>#VALUE!</v>
      </c>
      <c r="Q2266" s="1" t="e">
        <f t="shared" si="505"/>
        <v>#VALUE!</v>
      </c>
      <c r="R2266" s="1" t="e">
        <f t="shared" si="506"/>
        <v>#VALUE!</v>
      </c>
      <c r="S2266" s="1" t="e">
        <f t="shared" si="507"/>
        <v>#VALUE!</v>
      </c>
      <c r="T2266" s="1" t="e">
        <f t="shared" si="508"/>
        <v>#VALUE!</v>
      </c>
      <c r="U2266" s="26" t="e">
        <f t="shared" si="509"/>
        <v>#VALUE!</v>
      </c>
      <c r="V2266" s="26" t="e">
        <f t="shared" si="510"/>
        <v>#VALUE!</v>
      </c>
      <c r="W2266" s="1" t="e">
        <f t="shared" si="511"/>
        <v>#VALUE!</v>
      </c>
      <c r="X2266" s="26" t="e">
        <f t="shared" si="512"/>
        <v>#VALUE!</v>
      </c>
      <c r="Y2266" s="26" t="e">
        <f t="shared" si="513"/>
        <v>#VALUE!</v>
      </c>
      <c r="Z2266" s="1" t="e">
        <f t="shared" si="514"/>
        <v>#VALUE!</v>
      </c>
      <c r="AA2266"/>
      <c r="AB2266"/>
    </row>
    <row r="2267" spans="1:28" x14ac:dyDescent="0.55000000000000004">
      <c r="A2267" s="1">
        <f t="shared" si="501"/>
        <v>2267</v>
      </c>
      <c r="B2267" t="s">
        <v>39</v>
      </c>
      <c r="N2267" s="1" t="e">
        <f t="shared" si="502"/>
        <v>#VALUE!</v>
      </c>
      <c r="O2267" s="1" t="e">
        <f t="shared" si="503"/>
        <v>#VALUE!</v>
      </c>
      <c r="P2267" s="1" t="e">
        <f t="shared" si="504"/>
        <v>#VALUE!</v>
      </c>
      <c r="Q2267" s="1" t="e">
        <f t="shared" si="505"/>
        <v>#VALUE!</v>
      </c>
      <c r="R2267" s="1" t="e">
        <f t="shared" si="506"/>
        <v>#VALUE!</v>
      </c>
      <c r="S2267" s="1" t="e">
        <f t="shared" si="507"/>
        <v>#VALUE!</v>
      </c>
      <c r="T2267" s="1" t="e">
        <f t="shared" si="508"/>
        <v>#VALUE!</v>
      </c>
      <c r="U2267" s="26" t="e">
        <f t="shared" si="509"/>
        <v>#VALUE!</v>
      </c>
      <c r="V2267" s="26" t="e">
        <f t="shared" si="510"/>
        <v>#VALUE!</v>
      </c>
      <c r="W2267" s="1" t="e">
        <f t="shared" si="511"/>
        <v>#VALUE!</v>
      </c>
      <c r="X2267" s="26" t="e">
        <f t="shared" si="512"/>
        <v>#VALUE!</v>
      </c>
      <c r="Y2267" s="26" t="e">
        <f t="shared" si="513"/>
        <v>#VALUE!</v>
      </c>
      <c r="Z2267" s="1" t="e">
        <f t="shared" si="514"/>
        <v>#VALUE!</v>
      </c>
      <c r="AA2267"/>
      <c r="AB2267"/>
    </row>
    <row r="2268" spans="1:28" x14ac:dyDescent="0.55000000000000004">
      <c r="A2268" s="1">
        <f t="shared" si="501"/>
        <v>2268</v>
      </c>
      <c r="B2268" t="s">
        <v>39</v>
      </c>
      <c r="N2268" s="1" t="e">
        <f t="shared" si="502"/>
        <v>#VALUE!</v>
      </c>
      <c r="O2268" s="1" t="e">
        <f t="shared" si="503"/>
        <v>#VALUE!</v>
      </c>
      <c r="P2268" s="1" t="e">
        <f t="shared" si="504"/>
        <v>#VALUE!</v>
      </c>
      <c r="Q2268" s="1" t="e">
        <f t="shared" si="505"/>
        <v>#VALUE!</v>
      </c>
      <c r="R2268" s="1" t="e">
        <f t="shared" si="506"/>
        <v>#VALUE!</v>
      </c>
      <c r="S2268" s="1" t="e">
        <f t="shared" si="507"/>
        <v>#VALUE!</v>
      </c>
      <c r="T2268" s="1" t="e">
        <f t="shared" si="508"/>
        <v>#VALUE!</v>
      </c>
      <c r="U2268" s="26" t="e">
        <f t="shared" si="509"/>
        <v>#VALUE!</v>
      </c>
      <c r="V2268" s="26" t="e">
        <f t="shared" si="510"/>
        <v>#VALUE!</v>
      </c>
      <c r="W2268" s="1" t="e">
        <f t="shared" si="511"/>
        <v>#VALUE!</v>
      </c>
      <c r="X2268" s="26" t="e">
        <f t="shared" si="512"/>
        <v>#VALUE!</v>
      </c>
      <c r="Y2268" s="26" t="e">
        <f t="shared" si="513"/>
        <v>#VALUE!</v>
      </c>
      <c r="Z2268" s="1" t="e">
        <f t="shared" si="514"/>
        <v>#VALUE!</v>
      </c>
      <c r="AA2268"/>
      <c r="AB2268"/>
    </row>
    <row r="2269" spans="1:28" x14ac:dyDescent="0.55000000000000004">
      <c r="A2269" s="1">
        <f t="shared" si="501"/>
        <v>2269</v>
      </c>
      <c r="B2269" t="s">
        <v>39</v>
      </c>
      <c r="N2269" s="1" t="e">
        <f t="shared" si="502"/>
        <v>#VALUE!</v>
      </c>
      <c r="O2269" s="1" t="e">
        <f t="shared" si="503"/>
        <v>#VALUE!</v>
      </c>
      <c r="P2269" s="1" t="e">
        <f t="shared" si="504"/>
        <v>#VALUE!</v>
      </c>
      <c r="Q2269" s="1" t="e">
        <f t="shared" si="505"/>
        <v>#VALUE!</v>
      </c>
      <c r="R2269" s="1" t="e">
        <f t="shared" si="506"/>
        <v>#VALUE!</v>
      </c>
      <c r="S2269" s="1" t="e">
        <f t="shared" si="507"/>
        <v>#VALUE!</v>
      </c>
      <c r="T2269" s="1" t="e">
        <f t="shared" si="508"/>
        <v>#VALUE!</v>
      </c>
      <c r="U2269" s="26" t="e">
        <f t="shared" si="509"/>
        <v>#VALUE!</v>
      </c>
      <c r="V2269" s="26" t="e">
        <f t="shared" si="510"/>
        <v>#VALUE!</v>
      </c>
      <c r="W2269" s="1" t="e">
        <f t="shared" si="511"/>
        <v>#VALUE!</v>
      </c>
      <c r="X2269" s="26" t="e">
        <f t="shared" si="512"/>
        <v>#VALUE!</v>
      </c>
      <c r="Y2269" s="26" t="e">
        <f t="shared" si="513"/>
        <v>#VALUE!</v>
      </c>
      <c r="Z2269" s="1" t="e">
        <f t="shared" si="514"/>
        <v>#VALUE!</v>
      </c>
      <c r="AA2269"/>
      <c r="AB2269"/>
    </row>
    <row r="2270" spans="1:28" x14ac:dyDescent="0.55000000000000004">
      <c r="A2270" s="1">
        <f t="shared" si="501"/>
        <v>2270</v>
      </c>
      <c r="B2270" t="s">
        <v>39</v>
      </c>
      <c r="N2270" s="1" t="e">
        <f t="shared" si="502"/>
        <v>#VALUE!</v>
      </c>
      <c r="O2270" s="1" t="e">
        <f t="shared" si="503"/>
        <v>#VALUE!</v>
      </c>
      <c r="P2270" s="1" t="e">
        <f t="shared" si="504"/>
        <v>#VALUE!</v>
      </c>
      <c r="Q2270" s="1" t="e">
        <f t="shared" si="505"/>
        <v>#VALUE!</v>
      </c>
      <c r="R2270" s="1" t="e">
        <f t="shared" si="506"/>
        <v>#VALUE!</v>
      </c>
      <c r="S2270" s="1" t="e">
        <f t="shared" si="507"/>
        <v>#VALUE!</v>
      </c>
      <c r="T2270" s="1" t="e">
        <f t="shared" si="508"/>
        <v>#VALUE!</v>
      </c>
      <c r="U2270" s="26" t="e">
        <f t="shared" si="509"/>
        <v>#VALUE!</v>
      </c>
      <c r="V2270" s="26" t="e">
        <f t="shared" si="510"/>
        <v>#VALUE!</v>
      </c>
      <c r="W2270" s="1" t="e">
        <f t="shared" si="511"/>
        <v>#VALUE!</v>
      </c>
      <c r="X2270" s="26" t="e">
        <f t="shared" si="512"/>
        <v>#VALUE!</v>
      </c>
      <c r="Y2270" s="26" t="e">
        <f t="shared" si="513"/>
        <v>#VALUE!</v>
      </c>
      <c r="Z2270" s="1" t="e">
        <f t="shared" si="514"/>
        <v>#VALUE!</v>
      </c>
      <c r="AA2270"/>
      <c r="AB2270"/>
    </row>
    <row r="2271" spans="1:28" x14ac:dyDescent="0.55000000000000004">
      <c r="A2271" s="1">
        <f t="shared" si="501"/>
        <v>2271</v>
      </c>
      <c r="B2271" t="s">
        <v>39</v>
      </c>
      <c r="N2271" s="1" t="e">
        <f t="shared" si="502"/>
        <v>#VALUE!</v>
      </c>
      <c r="O2271" s="1" t="e">
        <f t="shared" si="503"/>
        <v>#VALUE!</v>
      </c>
      <c r="P2271" s="1" t="e">
        <f t="shared" si="504"/>
        <v>#VALUE!</v>
      </c>
      <c r="Q2271" s="1" t="e">
        <f t="shared" si="505"/>
        <v>#VALUE!</v>
      </c>
      <c r="R2271" s="1" t="e">
        <f t="shared" si="506"/>
        <v>#VALUE!</v>
      </c>
      <c r="S2271" s="1" t="e">
        <f t="shared" si="507"/>
        <v>#VALUE!</v>
      </c>
      <c r="T2271" s="1" t="e">
        <f t="shared" si="508"/>
        <v>#VALUE!</v>
      </c>
      <c r="U2271" s="26" t="e">
        <f t="shared" si="509"/>
        <v>#VALUE!</v>
      </c>
      <c r="V2271" s="26" t="e">
        <f t="shared" si="510"/>
        <v>#VALUE!</v>
      </c>
      <c r="W2271" s="1" t="e">
        <f t="shared" si="511"/>
        <v>#VALUE!</v>
      </c>
      <c r="X2271" s="26" t="e">
        <f t="shared" si="512"/>
        <v>#VALUE!</v>
      </c>
      <c r="Y2271" s="26" t="e">
        <f t="shared" si="513"/>
        <v>#VALUE!</v>
      </c>
      <c r="Z2271" s="1" t="e">
        <f t="shared" si="514"/>
        <v>#VALUE!</v>
      </c>
      <c r="AA2271"/>
      <c r="AB2271"/>
    </row>
    <row r="2272" spans="1:28" x14ac:dyDescent="0.55000000000000004">
      <c r="A2272" s="1">
        <f t="shared" si="501"/>
        <v>2272</v>
      </c>
      <c r="B2272" t="s">
        <v>39</v>
      </c>
      <c r="N2272" s="1" t="e">
        <f t="shared" si="502"/>
        <v>#VALUE!</v>
      </c>
      <c r="O2272" s="1" t="e">
        <f t="shared" si="503"/>
        <v>#VALUE!</v>
      </c>
      <c r="P2272" s="1" t="e">
        <f t="shared" si="504"/>
        <v>#VALUE!</v>
      </c>
      <c r="Q2272" s="1" t="e">
        <f t="shared" si="505"/>
        <v>#VALUE!</v>
      </c>
      <c r="R2272" s="1" t="e">
        <f t="shared" si="506"/>
        <v>#VALUE!</v>
      </c>
      <c r="S2272" s="1" t="e">
        <f t="shared" si="507"/>
        <v>#VALUE!</v>
      </c>
      <c r="T2272" s="1" t="e">
        <f t="shared" si="508"/>
        <v>#VALUE!</v>
      </c>
      <c r="U2272" s="26" t="e">
        <f t="shared" si="509"/>
        <v>#VALUE!</v>
      </c>
      <c r="V2272" s="26" t="e">
        <f t="shared" si="510"/>
        <v>#VALUE!</v>
      </c>
      <c r="W2272" s="1" t="e">
        <f t="shared" si="511"/>
        <v>#VALUE!</v>
      </c>
      <c r="X2272" s="26" t="e">
        <f t="shared" si="512"/>
        <v>#VALUE!</v>
      </c>
      <c r="Y2272" s="26" t="e">
        <f t="shared" si="513"/>
        <v>#VALUE!</v>
      </c>
      <c r="Z2272" s="1" t="e">
        <f t="shared" si="514"/>
        <v>#VALUE!</v>
      </c>
      <c r="AA2272"/>
      <c r="AB2272"/>
    </row>
    <row r="2273" spans="1:28" x14ac:dyDescent="0.55000000000000004">
      <c r="A2273" s="1">
        <f t="shared" si="501"/>
        <v>2273</v>
      </c>
      <c r="B2273" t="s">
        <v>39</v>
      </c>
      <c r="N2273" s="1" t="e">
        <f t="shared" si="502"/>
        <v>#VALUE!</v>
      </c>
      <c r="O2273" s="1" t="e">
        <f t="shared" si="503"/>
        <v>#VALUE!</v>
      </c>
      <c r="P2273" s="1" t="e">
        <f t="shared" si="504"/>
        <v>#VALUE!</v>
      </c>
      <c r="Q2273" s="1" t="e">
        <f t="shared" si="505"/>
        <v>#VALUE!</v>
      </c>
      <c r="R2273" s="1" t="e">
        <f t="shared" si="506"/>
        <v>#VALUE!</v>
      </c>
      <c r="S2273" s="1" t="e">
        <f t="shared" si="507"/>
        <v>#VALUE!</v>
      </c>
      <c r="T2273" s="1" t="e">
        <f t="shared" si="508"/>
        <v>#VALUE!</v>
      </c>
      <c r="U2273" s="26" t="e">
        <f t="shared" si="509"/>
        <v>#VALUE!</v>
      </c>
      <c r="V2273" s="26" t="e">
        <f t="shared" si="510"/>
        <v>#VALUE!</v>
      </c>
      <c r="W2273" s="1" t="e">
        <f t="shared" si="511"/>
        <v>#VALUE!</v>
      </c>
      <c r="X2273" s="26" t="e">
        <f t="shared" si="512"/>
        <v>#VALUE!</v>
      </c>
      <c r="Y2273" s="26" t="e">
        <f t="shared" si="513"/>
        <v>#VALUE!</v>
      </c>
      <c r="Z2273" s="1" t="e">
        <f t="shared" si="514"/>
        <v>#VALUE!</v>
      </c>
      <c r="AA2273"/>
      <c r="AB2273"/>
    </row>
    <row r="2274" spans="1:28" x14ac:dyDescent="0.55000000000000004">
      <c r="A2274" s="1">
        <f t="shared" si="501"/>
        <v>2274</v>
      </c>
      <c r="B2274" t="s">
        <v>39</v>
      </c>
      <c r="N2274" s="1" t="e">
        <f t="shared" si="502"/>
        <v>#VALUE!</v>
      </c>
      <c r="O2274" s="1" t="e">
        <f t="shared" si="503"/>
        <v>#VALUE!</v>
      </c>
      <c r="P2274" s="1" t="e">
        <f t="shared" si="504"/>
        <v>#VALUE!</v>
      </c>
      <c r="Q2274" s="1" t="e">
        <f t="shared" si="505"/>
        <v>#VALUE!</v>
      </c>
      <c r="R2274" s="1" t="e">
        <f t="shared" si="506"/>
        <v>#VALUE!</v>
      </c>
      <c r="S2274" s="1" t="e">
        <f t="shared" si="507"/>
        <v>#VALUE!</v>
      </c>
      <c r="T2274" s="1" t="e">
        <f t="shared" si="508"/>
        <v>#VALUE!</v>
      </c>
      <c r="U2274" s="26" t="e">
        <f t="shared" si="509"/>
        <v>#VALUE!</v>
      </c>
      <c r="V2274" s="26" t="e">
        <f t="shared" si="510"/>
        <v>#VALUE!</v>
      </c>
      <c r="W2274" s="1" t="e">
        <f t="shared" si="511"/>
        <v>#VALUE!</v>
      </c>
      <c r="X2274" s="26" t="e">
        <f t="shared" si="512"/>
        <v>#VALUE!</v>
      </c>
      <c r="Y2274" s="26" t="e">
        <f t="shared" si="513"/>
        <v>#VALUE!</v>
      </c>
      <c r="Z2274" s="1" t="e">
        <f t="shared" si="514"/>
        <v>#VALUE!</v>
      </c>
      <c r="AA2274"/>
      <c r="AB2274"/>
    </row>
    <row r="2275" spans="1:28" x14ac:dyDescent="0.55000000000000004">
      <c r="A2275" s="1">
        <f t="shared" si="501"/>
        <v>2275</v>
      </c>
      <c r="B2275" t="s">
        <v>39</v>
      </c>
      <c r="N2275" s="1" t="e">
        <f t="shared" si="502"/>
        <v>#VALUE!</v>
      </c>
      <c r="O2275" s="1" t="e">
        <f t="shared" si="503"/>
        <v>#VALUE!</v>
      </c>
      <c r="P2275" s="1" t="e">
        <f t="shared" si="504"/>
        <v>#VALUE!</v>
      </c>
      <c r="Q2275" s="1" t="e">
        <f t="shared" si="505"/>
        <v>#VALUE!</v>
      </c>
      <c r="R2275" s="1" t="e">
        <f t="shared" si="506"/>
        <v>#VALUE!</v>
      </c>
      <c r="S2275" s="1" t="e">
        <f t="shared" si="507"/>
        <v>#VALUE!</v>
      </c>
      <c r="T2275" s="1" t="e">
        <f t="shared" si="508"/>
        <v>#VALUE!</v>
      </c>
      <c r="U2275" s="26" t="e">
        <f t="shared" si="509"/>
        <v>#VALUE!</v>
      </c>
      <c r="V2275" s="26" t="e">
        <f t="shared" si="510"/>
        <v>#VALUE!</v>
      </c>
      <c r="W2275" s="1" t="e">
        <f t="shared" si="511"/>
        <v>#VALUE!</v>
      </c>
      <c r="X2275" s="26" t="e">
        <f t="shared" si="512"/>
        <v>#VALUE!</v>
      </c>
      <c r="Y2275" s="26" t="e">
        <f t="shared" si="513"/>
        <v>#VALUE!</v>
      </c>
      <c r="Z2275" s="1" t="e">
        <f t="shared" si="514"/>
        <v>#VALUE!</v>
      </c>
      <c r="AA2275"/>
      <c r="AB2275"/>
    </row>
    <row r="2276" spans="1:28" x14ac:dyDescent="0.55000000000000004">
      <c r="A2276" s="1">
        <f t="shared" si="501"/>
        <v>2276</v>
      </c>
      <c r="B2276" t="s">
        <v>39</v>
      </c>
      <c r="N2276" s="1" t="e">
        <f t="shared" si="502"/>
        <v>#VALUE!</v>
      </c>
      <c r="O2276" s="1" t="e">
        <f t="shared" si="503"/>
        <v>#VALUE!</v>
      </c>
      <c r="P2276" s="1" t="e">
        <f t="shared" si="504"/>
        <v>#VALUE!</v>
      </c>
      <c r="Q2276" s="1" t="e">
        <f t="shared" si="505"/>
        <v>#VALUE!</v>
      </c>
      <c r="R2276" s="1" t="e">
        <f t="shared" si="506"/>
        <v>#VALUE!</v>
      </c>
      <c r="S2276" s="1" t="e">
        <f t="shared" si="507"/>
        <v>#VALUE!</v>
      </c>
      <c r="T2276" s="1" t="e">
        <f t="shared" si="508"/>
        <v>#VALUE!</v>
      </c>
      <c r="U2276" s="26" t="e">
        <f t="shared" si="509"/>
        <v>#VALUE!</v>
      </c>
      <c r="V2276" s="26" t="e">
        <f t="shared" si="510"/>
        <v>#VALUE!</v>
      </c>
      <c r="W2276" s="1" t="e">
        <f t="shared" si="511"/>
        <v>#VALUE!</v>
      </c>
      <c r="X2276" s="26" t="e">
        <f t="shared" si="512"/>
        <v>#VALUE!</v>
      </c>
      <c r="Y2276" s="26" t="e">
        <f t="shared" si="513"/>
        <v>#VALUE!</v>
      </c>
      <c r="Z2276" s="1" t="e">
        <f t="shared" si="514"/>
        <v>#VALUE!</v>
      </c>
      <c r="AA2276"/>
      <c r="AB2276"/>
    </row>
    <row r="2277" spans="1:28" x14ac:dyDescent="0.55000000000000004">
      <c r="A2277" s="1">
        <f t="shared" si="501"/>
        <v>2277</v>
      </c>
      <c r="B2277" t="s">
        <v>39</v>
      </c>
      <c r="N2277" s="1" t="e">
        <f t="shared" si="502"/>
        <v>#VALUE!</v>
      </c>
      <c r="O2277" s="1" t="e">
        <f t="shared" si="503"/>
        <v>#VALUE!</v>
      </c>
      <c r="P2277" s="1" t="e">
        <f t="shared" si="504"/>
        <v>#VALUE!</v>
      </c>
      <c r="Q2277" s="1" t="e">
        <f t="shared" si="505"/>
        <v>#VALUE!</v>
      </c>
      <c r="R2277" s="1" t="e">
        <f t="shared" si="506"/>
        <v>#VALUE!</v>
      </c>
      <c r="S2277" s="1" t="e">
        <f t="shared" si="507"/>
        <v>#VALUE!</v>
      </c>
      <c r="T2277" s="1" t="e">
        <f t="shared" si="508"/>
        <v>#VALUE!</v>
      </c>
      <c r="U2277" s="26" t="e">
        <f t="shared" si="509"/>
        <v>#VALUE!</v>
      </c>
      <c r="V2277" s="26" t="e">
        <f t="shared" si="510"/>
        <v>#VALUE!</v>
      </c>
      <c r="W2277" s="1" t="e">
        <f t="shared" si="511"/>
        <v>#VALUE!</v>
      </c>
      <c r="X2277" s="26" t="e">
        <f t="shared" si="512"/>
        <v>#VALUE!</v>
      </c>
      <c r="Y2277" s="26" t="e">
        <f t="shared" si="513"/>
        <v>#VALUE!</v>
      </c>
      <c r="Z2277" s="1" t="e">
        <f t="shared" si="514"/>
        <v>#VALUE!</v>
      </c>
      <c r="AA2277"/>
      <c r="AB2277"/>
    </row>
    <row r="2278" spans="1:28" x14ac:dyDescent="0.55000000000000004">
      <c r="A2278" s="1">
        <f t="shared" si="501"/>
        <v>2278</v>
      </c>
      <c r="B2278" t="s">
        <v>39</v>
      </c>
      <c r="N2278" s="1" t="e">
        <f t="shared" si="502"/>
        <v>#VALUE!</v>
      </c>
      <c r="O2278" s="1" t="e">
        <f t="shared" si="503"/>
        <v>#VALUE!</v>
      </c>
      <c r="P2278" s="1" t="e">
        <f t="shared" si="504"/>
        <v>#VALUE!</v>
      </c>
      <c r="Q2278" s="1" t="e">
        <f t="shared" si="505"/>
        <v>#VALUE!</v>
      </c>
      <c r="R2278" s="1" t="e">
        <f t="shared" si="506"/>
        <v>#VALUE!</v>
      </c>
      <c r="S2278" s="1" t="e">
        <f t="shared" si="507"/>
        <v>#VALUE!</v>
      </c>
      <c r="T2278" s="1" t="e">
        <f t="shared" si="508"/>
        <v>#VALUE!</v>
      </c>
      <c r="U2278" s="26" t="e">
        <f t="shared" si="509"/>
        <v>#VALUE!</v>
      </c>
      <c r="V2278" s="26" t="e">
        <f t="shared" si="510"/>
        <v>#VALUE!</v>
      </c>
      <c r="W2278" s="1" t="e">
        <f t="shared" si="511"/>
        <v>#VALUE!</v>
      </c>
      <c r="X2278" s="26" t="e">
        <f t="shared" si="512"/>
        <v>#VALUE!</v>
      </c>
      <c r="Y2278" s="26" t="e">
        <f t="shared" si="513"/>
        <v>#VALUE!</v>
      </c>
      <c r="Z2278" s="1" t="e">
        <f t="shared" si="514"/>
        <v>#VALUE!</v>
      </c>
      <c r="AA2278"/>
      <c r="AB2278"/>
    </row>
    <row r="2279" spans="1:28" x14ac:dyDescent="0.55000000000000004">
      <c r="A2279" s="1">
        <f t="shared" si="501"/>
        <v>2279</v>
      </c>
      <c r="B2279" t="s">
        <v>39</v>
      </c>
      <c r="N2279" s="1" t="e">
        <f t="shared" si="502"/>
        <v>#VALUE!</v>
      </c>
      <c r="O2279" s="1" t="e">
        <f t="shared" si="503"/>
        <v>#VALUE!</v>
      </c>
      <c r="P2279" s="1" t="e">
        <f t="shared" si="504"/>
        <v>#VALUE!</v>
      </c>
      <c r="Q2279" s="1" t="e">
        <f t="shared" si="505"/>
        <v>#VALUE!</v>
      </c>
      <c r="R2279" s="1" t="e">
        <f t="shared" si="506"/>
        <v>#VALUE!</v>
      </c>
      <c r="S2279" s="1" t="e">
        <f t="shared" si="507"/>
        <v>#VALUE!</v>
      </c>
      <c r="T2279" s="1" t="e">
        <f t="shared" si="508"/>
        <v>#VALUE!</v>
      </c>
      <c r="U2279" s="26" t="e">
        <f t="shared" si="509"/>
        <v>#VALUE!</v>
      </c>
      <c r="V2279" s="26" t="e">
        <f t="shared" si="510"/>
        <v>#VALUE!</v>
      </c>
      <c r="W2279" s="1" t="e">
        <f t="shared" si="511"/>
        <v>#VALUE!</v>
      </c>
      <c r="X2279" s="26" t="e">
        <f t="shared" si="512"/>
        <v>#VALUE!</v>
      </c>
      <c r="Y2279" s="26" t="e">
        <f t="shared" si="513"/>
        <v>#VALUE!</v>
      </c>
      <c r="Z2279" s="1" t="e">
        <f t="shared" si="514"/>
        <v>#VALUE!</v>
      </c>
      <c r="AA2279"/>
      <c r="AB2279"/>
    </row>
    <row r="2280" spans="1:28" x14ac:dyDescent="0.55000000000000004">
      <c r="A2280" s="1">
        <f t="shared" si="501"/>
        <v>2280</v>
      </c>
      <c r="B2280" t="s">
        <v>39</v>
      </c>
      <c r="N2280" s="1" t="e">
        <f t="shared" si="502"/>
        <v>#VALUE!</v>
      </c>
      <c r="O2280" s="1" t="e">
        <f t="shared" si="503"/>
        <v>#VALUE!</v>
      </c>
      <c r="P2280" s="1" t="e">
        <f t="shared" si="504"/>
        <v>#VALUE!</v>
      </c>
      <c r="Q2280" s="1" t="e">
        <f t="shared" si="505"/>
        <v>#VALUE!</v>
      </c>
      <c r="R2280" s="1" t="e">
        <f t="shared" si="506"/>
        <v>#VALUE!</v>
      </c>
      <c r="S2280" s="1" t="e">
        <f t="shared" si="507"/>
        <v>#VALUE!</v>
      </c>
      <c r="T2280" s="1" t="e">
        <f t="shared" si="508"/>
        <v>#VALUE!</v>
      </c>
      <c r="U2280" s="26" t="e">
        <f t="shared" si="509"/>
        <v>#VALUE!</v>
      </c>
      <c r="V2280" s="26" t="e">
        <f t="shared" si="510"/>
        <v>#VALUE!</v>
      </c>
      <c r="W2280" s="1" t="e">
        <f t="shared" si="511"/>
        <v>#VALUE!</v>
      </c>
      <c r="X2280" s="26" t="e">
        <f t="shared" si="512"/>
        <v>#VALUE!</v>
      </c>
      <c r="Y2280" s="26" t="e">
        <f t="shared" si="513"/>
        <v>#VALUE!</v>
      </c>
      <c r="Z2280" s="1" t="e">
        <f t="shared" si="514"/>
        <v>#VALUE!</v>
      </c>
      <c r="AA2280"/>
      <c r="AB2280"/>
    </row>
    <row r="2281" spans="1:28" x14ac:dyDescent="0.55000000000000004">
      <c r="A2281" s="1">
        <f t="shared" si="501"/>
        <v>2281</v>
      </c>
      <c r="B2281" t="s">
        <v>39</v>
      </c>
      <c r="N2281" s="1" t="e">
        <f t="shared" si="502"/>
        <v>#VALUE!</v>
      </c>
      <c r="O2281" s="1" t="e">
        <f t="shared" si="503"/>
        <v>#VALUE!</v>
      </c>
      <c r="P2281" s="1" t="e">
        <f t="shared" si="504"/>
        <v>#VALUE!</v>
      </c>
      <c r="Q2281" s="1" t="e">
        <f t="shared" si="505"/>
        <v>#VALUE!</v>
      </c>
      <c r="R2281" s="1" t="e">
        <f t="shared" si="506"/>
        <v>#VALUE!</v>
      </c>
      <c r="S2281" s="1" t="e">
        <f t="shared" si="507"/>
        <v>#VALUE!</v>
      </c>
      <c r="T2281" s="1" t="e">
        <f t="shared" si="508"/>
        <v>#VALUE!</v>
      </c>
      <c r="U2281" s="26" t="e">
        <f t="shared" si="509"/>
        <v>#VALUE!</v>
      </c>
      <c r="V2281" s="26" t="e">
        <f t="shared" si="510"/>
        <v>#VALUE!</v>
      </c>
      <c r="W2281" s="1" t="e">
        <f t="shared" si="511"/>
        <v>#VALUE!</v>
      </c>
      <c r="X2281" s="26" t="e">
        <f t="shared" si="512"/>
        <v>#VALUE!</v>
      </c>
      <c r="Y2281" s="26" t="e">
        <f t="shared" si="513"/>
        <v>#VALUE!</v>
      </c>
      <c r="Z2281" s="1" t="e">
        <f t="shared" si="514"/>
        <v>#VALUE!</v>
      </c>
      <c r="AA2281"/>
      <c r="AB2281"/>
    </row>
    <row r="2282" spans="1:28" x14ac:dyDescent="0.55000000000000004">
      <c r="A2282" s="1">
        <f t="shared" si="501"/>
        <v>2282</v>
      </c>
      <c r="B2282" t="s">
        <v>39</v>
      </c>
      <c r="N2282" s="1" t="e">
        <f t="shared" si="502"/>
        <v>#VALUE!</v>
      </c>
      <c r="O2282" s="1" t="e">
        <f t="shared" si="503"/>
        <v>#VALUE!</v>
      </c>
      <c r="P2282" s="1" t="e">
        <f t="shared" si="504"/>
        <v>#VALUE!</v>
      </c>
      <c r="Q2282" s="1" t="e">
        <f t="shared" si="505"/>
        <v>#VALUE!</v>
      </c>
      <c r="R2282" s="1" t="e">
        <f t="shared" si="506"/>
        <v>#VALUE!</v>
      </c>
      <c r="S2282" s="1" t="e">
        <f t="shared" si="507"/>
        <v>#VALUE!</v>
      </c>
      <c r="T2282" s="1" t="e">
        <f t="shared" si="508"/>
        <v>#VALUE!</v>
      </c>
      <c r="U2282" s="26" t="e">
        <f t="shared" si="509"/>
        <v>#VALUE!</v>
      </c>
      <c r="V2282" s="26" t="e">
        <f t="shared" si="510"/>
        <v>#VALUE!</v>
      </c>
      <c r="W2282" s="1" t="e">
        <f t="shared" si="511"/>
        <v>#VALUE!</v>
      </c>
      <c r="X2282" s="26" t="e">
        <f t="shared" si="512"/>
        <v>#VALUE!</v>
      </c>
      <c r="Y2282" s="26" t="e">
        <f t="shared" si="513"/>
        <v>#VALUE!</v>
      </c>
      <c r="Z2282" s="1" t="e">
        <f t="shared" si="514"/>
        <v>#VALUE!</v>
      </c>
      <c r="AA2282"/>
      <c r="AB2282"/>
    </row>
    <row r="2283" spans="1:28" x14ac:dyDescent="0.55000000000000004">
      <c r="A2283" s="1">
        <f t="shared" si="501"/>
        <v>2283</v>
      </c>
      <c r="B2283" t="s">
        <v>39</v>
      </c>
      <c r="N2283" s="1" t="e">
        <f t="shared" si="502"/>
        <v>#VALUE!</v>
      </c>
      <c r="O2283" s="1" t="e">
        <f t="shared" si="503"/>
        <v>#VALUE!</v>
      </c>
      <c r="P2283" s="1" t="e">
        <f t="shared" si="504"/>
        <v>#VALUE!</v>
      </c>
      <c r="Q2283" s="1" t="e">
        <f t="shared" si="505"/>
        <v>#VALUE!</v>
      </c>
      <c r="R2283" s="1" t="e">
        <f t="shared" si="506"/>
        <v>#VALUE!</v>
      </c>
      <c r="S2283" s="1" t="e">
        <f t="shared" si="507"/>
        <v>#VALUE!</v>
      </c>
      <c r="T2283" s="1" t="e">
        <f t="shared" si="508"/>
        <v>#VALUE!</v>
      </c>
      <c r="U2283" s="26" t="e">
        <f t="shared" si="509"/>
        <v>#VALUE!</v>
      </c>
      <c r="V2283" s="26" t="e">
        <f t="shared" si="510"/>
        <v>#VALUE!</v>
      </c>
      <c r="W2283" s="1" t="e">
        <f t="shared" si="511"/>
        <v>#VALUE!</v>
      </c>
      <c r="X2283" s="26" t="e">
        <f t="shared" si="512"/>
        <v>#VALUE!</v>
      </c>
      <c r="Y2283" s="26" t="e">
        <f t="shared" si="513"/>
        <v>#VALUE!</v>
      </c>
      <c r="Z2283" s="1" t="e">
        <f t="shared" si="514"/>
        <v>#VALUE!</v>
      </c>
      <c r="AA2283"/>
      <c r="AB2283"/>
    </row>
    <row r="2284" spans="1:28" x14ac:dyDescent="0.55000000000000004">
      <c r="A2284" s="1">
        <f t="shared" si="501"/>
        <v>2284</v>
      </c>
      <c r="B2284" t="s">
        <v>39</v>
      </c>
      <c r="N2284" s="1" t="e">
        <f t="shared" si="502"/>
        <v>#VALUE!</v>
      </c>
      <c r="O2284" s="1" t="e">
        <f t="shared" si="503"/>
        <v>#VALUE!</v>
      </c>
      <c r="P2284" s="1" t="e">
        <f t="shared" si="504"/>
        <v>#VALUE!</v>
      </c>
      <c r="Q2284" s="1" t="e">
        <f t="shared" si="505"/>
        <v>#VALUE!</v>
      </c>
      <c r="R2284" s="1" t="e">
        <f t="shared" si="506"/>
        <v>#VALUE!</v>
      </c>
      <c r="S2284" s="1" t="e">
        <f t="shared" si="507"/>
        <v>#VALUE!</v>
      </c>
      <c r="T2284" s="1" t="e">
        <f t="shared" si="508"/>
        <v>#VALUE!</v>
      </c>
      <c r="U2284" s="26" t="e">
        <f t="shared" si="509"/>
        <v>#VALUE!</v>
      </c>
      <c r="V2284" s="26" t="e">
        <f t="shared" si="510"/>
        <v>#VALUE!</v>
      </c>
      <c r="W2284" s="1" t="e">
        <f t="shared" si="511"/>
        <v>#VALUE!</v>
      </c>
      <c r="X2284" s="26" t="e">
        <f t="shared" si="512"/>
        <v>#VALUE!</v>
      </c>
      <c r="Y2284" s="26" t="e">
        <f t="shared" si="513"/>
        <v>#VALUE!</v>
      </c>
      <c r="Z2284" s="1" t="e">
        <f t="shared" si="514"/>
        <v>#VALUE!</v>
      </c>
      <c r="AA2284"/>
      <c r="AB2284"/>
    </row>
    <row r="2285" spans="1:28" x14ac:dyDescent="0.55000000000000004">
      <c r="A2285" s="1">
        <f t="shared" si="501"/>
        <v>2285</v>
      </c>
      <c r="B2285" t="s">
        <v>39</v>
      </c>
      <c r="N2285" s="1" t="e">
        <f t="shared" si="502"/>
        <v>#VALUE!</v>
      </c>
      <c r="O2285" s="1" t="e">
        <f t="shared" si="503"/>
        <v>#VALUE!</v>
      </c>
      <c r="P2285" s="1" t="e">
        <f t="shared" si="504"/>
        <v>#VALUE!</v>
      </c>
      <c r="Q2285" s="1" t="e">
        <f t="shared" si="505"/>
        <v>#VALUE!</v>
      </c>
      <c r="R2285" s="1" t="e">
        <f t="shared" si="506"/>
        <v>#VALUE!</v>
      </c>
      <c r="S2285" s="1" t="e">
        <f t="shared" si="507"/>
        <v>#VALUE!</v>
      </c>
      <c r="T2285" s="1" t="e">
        <f t="shared" si="508"/>
        <v>#VALUE!</v>
      </c>
      <c r="U2285" s="26" t="e">
        <f t="shared" si="509"/>
        <v>#VALUE!</v>
      </c>
      <c r="V2285" s="26" t="e">
        <f t="shared" si="510"/>
        <v>#VALUE!</v>
      </c>
      <c r="W2285" s="1" t="e">
        <f t="shared" si="511"/>
        <v>#VALUE!</v>
      </c>
      <c r="X2285" s="26" t="e">
        <f t="shared" si="512"/>
        <v>#VALUE!</v>
      </c>
      <c r="Y2285" s="26" t="e">
        <f t="shared" si="513"/>
        <v>#VALUE!</v>
      </c>
      <c r="Z2285" s="1" t="e">
        <f t="shared" si="514"/>
        <v>#VALUE!</v>
      </c>
      <c r="AA2285"/>
      <c r="AB2285"/>
    </row>
    <row r="2286" spans="1:28" x14ac:dyDescent="0.55000000000000004">
      <c r="A2286" s="1">
        <f t="shared" si="501"/>
        <v>2286</v>
      </c>
      <c r="B2286" t="s">
        <v>39</v>
      </c>
      <c r="N2286" s="1" t="e">
        <f t="shared" si="502"/>
        <v>#VALUE!</v>
      </c>
      <c r="O2286" s="1" t="e">
        <f t="shared" si="503"/>
        <v>#VALUE!</v>
      </c>
      <c r="P2286" s="1" t="e">
        <f t="shared" si="504"/>
        <v>#VALUE!</v>
      </c>
      <c r="Q2286" s="1" t="e">
        <f t="shared" si="505"/>
        <v>#VALUE!</v>
      </c>
      <c r="R2286" s="1" t="e">
        <f t="shared" si="506"/>
        <v>#VALUE!</v>
      </c>
      <c r="S2286" s="1" t="e">
        <f t="shared" si="507"/>
        <v>#VALUE!</v>
      </c>
      <c r="T2286" s="1" t="e">
        <f t="shared" si="508"/>
        <v>#VALUE!</v>
      </c>
      <c r="U2286" s="26" t="e">
        <f t="shared" si="509"/>
        <v>#VALUE!</v>
      </c>
      <c r="V2286" s="26" t="e">
        <f t="shared" si="510"/>
        <v>#VALUE!</v>
      </c>
      <c r="W2286" s="1" t="e">
        <f t="shared" si="511"/>
        <v>#VALUE!</v>
      </c>
      <c r="X2286" s="26" t="e">
        <f t="shared" si="512"/>
        <v>#VALUE!</v>
      </c>
      <c r="Y2286" s="26" t="e">
        <f t="shared" si="513"/>
        <v>#VALUE!</v>
      </c>
      <c r="Z2286" s="1" t="e">
        <f t="shared" si="514"/>
        <v>#VALUE!</v>
      </c>
      <c r="AA2286"/>
      <c r="AB2286"/>
    </row>
    <row r="2287" spans="1:28" x14ac:dyDescent="0.55000000000000004">
      <c r="A2287" s="1">
        <f t="shared" si="501"/>
        <v>2287</v>
      </c>
      <c r="B2287" t="s">
        <v>39</v>
      </c>
      <c r="N2287" s="1" t="e">
        <f t="shared" si="502"/>
        <v>#VALUE!</v>
      </c>
      <c r="O2287" s="1" t="e">
        <f t="shared" si="503"/>
        <v>#VALUE!</v>
      </c>
      <c r="P2287" s="1" t="e">
        <f t="shared" si="504"/>
        <v>#VALUE!</v>
      </c>
      <c r="Q2287" s="1" t="e">
        <f t="shared" si="505"/>
        <v>#VALUE!</v>
      </c>
      <c r="R2287" s="1" t="e">
        <f t="shared" si="506"/>
        <v>#VALUE!</v>
      </c>
      <c r="S2287" s="1" t="e">
        <f t="shared" si="507"/>
        <v>#VALUE!</v>
      </c>
      <c r="T2287" s="1" t="e">
        <f t="shared" si="508"/>
        <v>#VALUE!</v>
      </c>
      <c r="U2287" s="26" t="e">
        <f t="shared" si="509"/>
        <v>#VALUE!</v>
      </c>
      <c r="V2287" s="26" t="e">
        <f t="shared" si="510"/>
        <v>#VALUE!</v>
      </c>
      <c r="W2287" s="1" t="e">
        <f t="shared" si="511"/>
        <v>#VALUE!</v>
      </c>
      <c r="X2287" s="26" t="e">
        <f t="shared" si="512"/>
        <v>#VALUE!</v>
      </c>
      <c r="Y2287" s="26" t="e">
        <f t="shared" si="513"/>
        <v>#VALUE!</v>
      </c>
      <c r="Z2287" s="1" t="e">
        <f t="shared" si="514"/>
        <v>#VALUE!</v>
      </c>
      <c r="AA2287"/>
      <c r="AB2287"/>
    </row>
    <row r="2288" spans="1:28" x14ac:dyDescent="0.55000000000000004">
      <c r="A2288" s="1">
        <f t="shared" si="501"/>
        <v>2288</v>
      </c>
      <c r="B2288" t="s">
        <v>39</v>
      </c>
      <c r="N2288" s="1" t="e">
        <f t="shared" si="502"/>
        <v>#VALUE!</v>
      </c>
      <c r="O2288" s="1" t="e">
        <f t="shared" si="503"/>
        <v>#VALUE!</v>
      </c>
      <c r="P2288" s="1" t="e">
        <f t="shared" si="504"/>
        <v>#VALUE!</v>
      </c>
      <c r="Q2288" s="1" t="e">
        <f t="shared" si="505"/>
        <v>#VALUE!</v>
      </c>
      <c r="R2288" s="1" t="e">
        <f t="shared" si="506"/>
        <v>#VALUE!</v>
      </c>
      <c r="S2288" s="1" t="e">
        <f t="shared" si="507"/>
        <v>#VALUE!</v>
      </c>
      <c r="T2288" s="1" t="e">
        <f t="shared" si="508"/>
        <v>#VALUE!</v>
      </c>
      <c r="U2288" s="26" t="e">
        <f t="shared" si="509"/>
        <v>#VALUE!</v>
      </c>
      <c r="V2288" s="26" t="e">
        <f t="shared" si="510"/>
        <v>#VALUE!</v>
      </c>
      <c r="W2288" s="1" t="e">
        <f t="shared" si="511"/>
        <v>#VALUE!</v>
      </c>
      <c r="X2288" s="26" t="e">
        <f t="shared" si="512"/>
        <v>#VALUE!</v>
      </c>
      <c r="Y2288" s="26" t="e">
        <f t="shared" si="513"/>
        <v>#VALUE!</v>
      </c>
      <c r="Z2288" s="1" t="e">
        <f t="shared" si="514"/>
        <v>#VALUE!</v>
      </c>
      <c r="AA2288"/>
      <c r="AB2288"/>
    </row>
    <row r="2289" spans="1:28" x14ac:dyDescent="0.55000000000000004">
      <c r="A2289" s="1">
        <f t="shared" si="501"/>
        <v>2289</v>
      </c>
      <c r="B2289" t="s">
        <v>39</v>
      </c>
      <c r="N2289" s="1" t="e">
        <f t="shared" si="502"/>
        <v>#VALUE!</v>
      </c>
      <c r="O2289" s="1" t="e">
        <f t="shared" si="503"/>
        <v>#VALUE!</v>
      </c>
      <c r="P2289" s="1" t="e">
        <f t="shared" si="504"/>
        <v>#VALUE!</v>
      </c>
      <c r="Q2289" s="1" t="e">
        <f t="shared" si="505"/>
        <v>#VALUE!</v>
      </c>
      <c r="R2289" s="1" t="e">
        <f t="shared" si="506"/>
        <v>#VALUE!</v>
      </c>
      <c r="S2289" s="1" t="e">
        <f t="shared" si="507"/>
        <v>#VALUE!</v>
      </c>
      <c r="T2289" s="1" t="e">
        <f t="shared" si="508"/>
        <v>#VALUE!</v>
      </c>
      <c r="U2289" s="26" t="e">
        <f t="shared" si="509"/>
        <v>#VALUE!</v>
      </c>
      <c r="V2289" s="26" t="e">
        <f t="shared" si="510"/>
        <v>#VALUE!</v>
      </c>
      <c r="W2289" s="1" t="e">
        <f t="shared" si="511"/>
        <v>#VALUE!</v>
      </c>
      <c r="X2289" s="26" t="e">
        <f t="shared" si="512"/>
        <v>#VALUE!</v>
      </c>
      <c r="Y2289" s="26" t="e">
        <f t="shared" si="513"/>
        <v>#VALUE!</v>
      </c>
      <c r="Z2289" s="1" t="e">
        <f t="shared" si="514"/>
        <v>#VALUE!</v>
      </c>
      <c r="AA2289"/>
      <c r="AB2289"/>
    </row>
    <row r="2290" spans="1:28" x14ac:dyDescent="0.55000000000000004">
      <c r="A2290" s="1">
        <f t="shared" si="501"/>
        <v>2290</v>
      </c>
      <c r="B2290" t="s">
        <v>39</v>
      </c>
      <c r="N2290" s="1" t="e">
        <f t="shared" si="502"/>
        <v>#VALUE!</v>
      </c>
      <c r="O2290" s="1" t="e">
        <f t="shared" si="503"/>
        <v>#VALUE!</v>
      </c>
      <c r="P2290" s="1" t="e">
        <f t="shared" si="504"/>
        <v>#VALUE!</v>
      </c>
      <c r="Q2290" s="1" t="e">
        <f t="shared" si="505"/>
        <v>#VALUE!</v>
      </c>
      <c r="R2290" s="1" t="e">
        <f t="shared" si="506"/>
        <v>#VALUE!</v>
      </c>
      <c r="S2290" s="1" t="e">
        <f t="shared" si="507"/>
        <v>#VALUE!</v>
      </c>
      <c r="T2290" s="1" t="e">
        <f t="shared" si="508"/>
        <v>#VALUE!</v>
      </c>
      <c r="U2290" s="26" t="e">
        <f t="shared" si="509"/>
        <v>#VALUE!</v>
      </c>
      <c r="V2290" s="26" t="e">
        <f t="shared" si="510"/>
        <v>#VALUE!</v>
      </c>
      <c r="W2290" s="1" t="e">
        <f t="shared" si="511"/>
        <v>#VALUE!</v>
      </c>
      <c r="X2290" s="26" t="e">
        <f t="shared" si="512"/>
        <v>#VALUE!</v>
      </c>
      <c r="Y2290" s="26" t="e">
        <f t="shared" si="513"/>
        <v>#VALUE!</v>
      </c>
      <c r="Z2290" s="1" t="e">
        <f t="shared" si="514"/>
        <v>#VALUE!</v>
      </c>
      <c r="AA2290"/>
      <c r="AB2290"/>
    </row>
    <row r="2291" spans="1:28" x14ac:dyDescent="0.55000000000000004">
      <c r="A2291" s="1">
        <f t="shared" si="501"/>
        <v>2291</v>
      </c>
      <c r="B2291" t="s">
        <v>39</v>
      </c>
      <c r="N2291" s="1" t="e">
        <f t="shared" si="502"/>
        <v>#VALUE!</v>
      </c>
      <c r="O2291" s="1" t="e">
        <f t="shared" si="503"/>
        <v>#VALUE!</v>
      </c>
      <c r="P2291" s="1" t="e">
        <f t="shared" si="504"/>
        <v>#VALUE!</v>
      </c>
      <c r="Q2291" s="1" t="e">
        <f t="shared" si="505"/>
        <v>#VALUE!</v>
      </c>
      <c r="R2291" s="1" t="e">
        <f t="shared" si="506"/>
        <v>#VALUE!</v>
      </c>
      <c r="S2291" s="1" t="e">
        <f t="shared" si="507"/>
        <v>#VALUE!</v>
      </c>
      <c r="T2291" s="1" t="e">
        <f t="shared" si="508"/>
        <v>#VALUE!</v>
      </c>
      <c r="U2291" s="26" t="e">
        <f t="shared" si="509"/>
        <v>#VALUE!</v>
      </c>
      <c r="V2291" s="26" t="e">
        <f t="shared" si="510"/>
        <v>#VALUE!</v>
      </c>
      <c r="W2291" s="1" t="e">
        <f t="shared" si="511"/>
        <v>#VALUE!</v>
      </c>
      <c r="X2291" s="26" t="e">
        <f t="shared" si="512"/>
        <v>#VALUE!</v>
      </c>
      <c r="Y2291" s="26" t="e">
        <f t="shared" si="513"/>
        <v>#VALUE!</v>
      </c>
      <c r="Z2291" s="1" t="e">
        <f t="shared" si="514"/>
        <v>#VALUE!</v>
      </c>
      <c r="AA2291"/>
      <c r="AB2291"/>
    </row>
    <row r="2292" spans="1:28" x14ac:dyDescent="0.55000000000000004">
      <c r="A2292" s="1">
        <f t="shared" si="501"/>
        <v>2292</v>
      </c>
      <c r="B2292" t="s">
        <v>39</v>
      </c>
      <c r="N2292" s="1" t="e">
        <f t="shared" si="502"/>
        <v>#VALUE!</v>
      </c>
      <c r="O2292" s="1" t="e">
        <f t="shared" si="503"/>
        <v>#VALUE!</v>
      </c>
      <c r="P2292" s="1" t="e">
        <f t="shared" si="504"/>
        <v>#VALUE!</v>
      </c>
      <c r="Q2292" s="1" t="e">
        <f t="shared" si="505"/>
        <v>#VALUE!</v>
      </c>
      <c r="R2292" s="1" t="e">
        <f t="shared" si="506"/>
        <v>#VALUE!</v>
      </c>
      <c r="S2292" s="1" t="e">
        <f t="shared" si="507"/>
        <v>#VALUE!</v>
      </c>
      <c r="T2292" s="1" t="e">
        <f t="shared" si="508"/>
        <v>#VALUE!</v>
      </c>
      <c r="U2292" s="26" t="e">
        <f t="shared" si="509"/>
        <v>#VALUE!</v>
      </c>
      <c r="V2292" s="26" t="e">
        <f t="shared" si="510"/>
        <v>#VALUE!</v>
      </c>
      <c r="W2292" s="1" t="e">
        <f t="shared" si="511"/>
        <v>#VALUE!</v>
      </c>
      <c r="X2292" s="26" t="e">
        <f t="shared" si="512"/>
        <v>#VALUE!</v>
      </c>
      <c r="Y2292" s="26" t="e">
        <f t="shared" si="513"/>
        <v>#VALUE!</v>
      </c>
      <c r="Z2292" s="1" t="e">
        <f t="shared" si="514"/>
        <v>#VALUE!</v>
      </c>
      <c r="AA2292"/>
      <c r="AB2292"/>
    </row>
    <row r="2293" spans="1:28" x14ac:dyDescent="0.55000000000000004">
      <c r="A2293" s="1">
        <f t="shared" si="501"/>
        <v>2293</v>
      </c>
      <c r="B2293" t="s">
        <v>39</v>
      </c>
      <c r="N2293" s="1" t="e">
        <f t="shared" si="502"/>
        <v>#VALUE!</v>
      </c>
      <c r="O2293" s="1" t="e">
        <f t="shared" si="503"/>
        <v>#VALUE!</v>
      </c>
      <c r="P2293" s="1" t="e">
        <f t="shared" si="504"/>
        <v>#VALUE!</v>
      </c>
      <c r="Q2293" s="1" t="e">
        <f t="shared" si="505"/>
        <v>#VALUE!</v>
      </c>
      <c r="R2293" s="1" t="e">
        <f t="shared" si="506"/>
        <v>#VALUE!</v>
      </c>
      <c r="S2293" s="1" t="e">
        <f t="shared" si="507"/>
        <v>#VALUE!</v>
      </c>
      <c r="T2293" s="1" t="e">
        <f t="shared" si="508"/>
        <v>#VALUE!</v>
      </c>
      <c r="U2293" s="26" t="e">
        <f t="shared" si="509"/>
        <v>#VALUE!</v>
      </c>
      <c r="V2293" s="26" t="e">
        <f t="shared" si="510"/>
        <v>#VALUE!</v>
      </c>
      <c r="W2293" s="1" t="e">
        <f t="shared" si="511"/>
        <v>#VALUE!</v>
      </c>
      <c r="X2293" s="26" t="e">
        <f t="shared" si="512"/>
        <v>#VALUE!</v>
      </c>
      <c r="Y2293" s="26" t="e">
        <f t="shared" si="513"/>
        <v>#VALUE!</v>
      </c>
      <c r="Z2293" s="1" t="e">
        <f t="shared" si="514"/>
        <v>#VALUE!</v>
      </c>
      <c r="AA2293"/>
      <c r="AB2293"/>
    </row>
    <row r="2294" spans="1:28" x14ac:dyDescent="0.55000000000000004">
      <c r="A2294" s="1">
        <f t="shared" si="501"/>
        <v>2294</v>
      </c>
      <c r="B2294" t="s">
        <v>39</v>
      </c>
      <c r="N2294" s="1" t="e">
        <f t="shared" si="502"/>
        <v>#VALUE!</v>
      </c>
      <c r="O2294" s="1" t="e">
        <f t="shared" si="503"/>
        <v>#VALUE!</v>
      </c>
      <c r="P2294" s="1" t="e">
        <f t="shared" si="504"/>
        <v>#VALUE!</v>
      </c>
      <c r="Q2294" s="1" t="e">
        <f t="shared" si="505"/>
        <v>#VALUE!</v>
      </c>
      <c r="R2294" s="1" t="e">
        <f t="shared" si="506"/>
        <v>#VALUE!</v>
      </c>
      <c r="S2294" s="1" t="e">
        <f t="shared" si="507"/>
        <v>#VALUE!</v>
      </c>
      <c r="T2294" s="1" t="e">
        <f t="shared" si="508"/>
        <v>#VALUE!</v>
      </c>
      <c r="U2294" s="26" t="e">
        <f t="shared" si="509"/>
        <v>#VALUE!</v>
      </c>
      <c r="V2294" s="26" t="e">
        <f t="shared" si="510"/>
        <v>#VALUE!</v>
      </c>
      <c r="W2294" s="1" t="e">
        <f t="shared" si="511"/>
        <v>#VALUE!</v>
      </c>
      <c r="X2294" s="26" t="e">
        <f t="shared" si="512"/>
        <v>#VALUE!</v>
      </c>
      <c r="Y2294" s="26" t="e">
        <f t="shared" si="513"/>
        <v>#VALUE!</v>
      </c>
      <c r="Z2294" s="1" t="e">
        <f t="shared" si="514"/>
        <v>#VALUE!</v>
      </c>
      <c r="AA2294"/>
      <c r="AB2294"/>
    </row>
    <row r="2295" spans="1:28" x14ac:dyDescent="0.55000000000000004">
      <c r="A2295" s="1">
        <f t="shared" si="501"/>
        <v>2295</v>
      </c>
      <c r="B2295" t="s">
        <v>39</v>
      </c>
      <c r="N2295" s="1" t="e">
        <f t="shared" si="502"/>
        <v>#VALUE!</v>
      </c>
      <c r="O2295" s="1" t="e">
        <f t="shared" si="503"/>
        <v>#VALUE!</v>
      </c>
      <c r="P2295" s="1" t="e">
        <f t="shared" si="504"/>
        <v>#VALUE!</v>
      </c>
      <c r="Q2295" s="1" t="e">
        <f t="shared" si="505"/>
        <v>#VALUE!</v>
      </c>
      <c r="R2295" s="1" t="e">
        <f t="shared" si="506"/>
        <v>#VALUE!</v>
      </c>
      <c r="S2295" s="1" t="e">
        <f t="shared" si="507"/>
        <v>#VALUE!</v>
      </c>
      <c r="T2295" s="1" t="e">
        <f t="shared" si="508"/>
        <v>#VALUE!</v>
      </c>
      <c r="U2295" s="26" t="e">
        <f t="shared" si="509"/>
        <v>#VALUE!</v>
      </c>
      <c r="V2295" s="26" t="e">
        <f t="shared" si="510"/>
        <v>#VALUE!</v>
      </c>
      <c r="W2295" s="1" t="e">
        <f t="shared" si="511"/>
        <v>#VALUE!</v>
      </c>
      <c r="X2295" s="26" t="e">
        <f t="shared" si="512"/>
        <v>#VALUE!</v>
      </c>
      <c r="Y2295" s="26" t="e">
        <f t="shared" si="513"/>
        <v>#VALUE!</v>
      </c>
      <c r="Z2295" s="1" t="e">
        <f t="shared" si="514"/>
        <v>#VALUE!</v>
      </c>
      <c r="AA2295"/>
      <c r="AB2295"/>
    </row>
    <row r="2296" spans="1:28" x14ac:dyDescent="0.55000000000000004">
      <c r="A2296" s="1">
        <f t="shared" si="501"/>
        <v>2296</v>
      </c>
      <c r="B2296" t="s">
        <v>39</v>
      </c>
      <c r="N2296" s="1" t="e">
        <f t="shared" si="502"/>
        <v>#VALUE!</v>
      </c>
      <c r="O2296" s="1" t="e">
        <f t="shared" si="503"/>
        <v>#VALUE!</v>
      </c>
      <c r="P2296" s="1" t="e">
        <f t="shared" si="504"/>
        <v>#VALUE!</v>
      </c>
      <c r="Q2296" s="1" t="e">
        <f t="shared" si="505"/>
        <v>#VALUE!</v>
      </c>
      <c r="R2296" s="1" t="e">
        <f t="shared" si="506"/>
        <v>#VALUE!</v>
      </c>
      <c r="S2296" s="1" t="e">
        <f t="shared" si="507"/>
        <v>#VALUE!</v>
      </c>
      <c r="T2296" s="1" t="e">
        <f t="shared" si="508"/>
        <v>#VALUE!</v>
      </c>
      <c r="U2296" s="26" t="e">
        <f t="shared" si="509"/>
        <v>#VALUE!</v>
      </c>
      <c r="V2296" s="26" t="e">
        <f t="shared" si="510"/>
        <v>#VALUE!</v>
      </c>
      <c r="W2296" s="1" t="e">
        <f t="shared" si="511"/>
        <v>#VALUE!</v>
      </c>
      <c r="X2296" s="26" t="e">
        <f t="shared" si="512"/>
        <v>#VALUE!</v>
      </c>
      <c r="Y2296" s="26" t="e">
        <f t="shared" si="513"/>
        <v>#VALUE!</v>
      </c>
      <c r="Z2296" s="1" t="e">
        <f t="shared" si="514"/>
        <v>#VALUE!</v>
      </c>
      <c r="AA2296"/>
      <c r="AB2296"/>
    </row>
    <row r="2297" spans="1:28" x14ac:dyDescent="0.55000000000000004">
      <c r="A2297" s="1">
        <f t="shared" si="501"/>
        <v>2297</v>
      </c>
      <c r="B2297" t="s">
        <v>39</v>
      </c>
      <c r="N2297" s="1" t="e">
        <f t="shared" si="502"/>
        <v>#VALUE!</v>
      </c>
      <c r="O2297" s="1" t="e">
        <f t="shared" si="503"/>
        <v>#VALUE!</v>
      </c>
      <c r="P2297" s="1" t="e">
        <f t="shared" si="504"/>
        <v>#VALUE!</v>
      </c>
      <c r="Q2297" s="1" t="e">
        <f t="shared" si="505"/>
        <v>#VALUE!</v>
      </c>
      <c r="R2297" s="1" t="e">
        <f t="shared" si="506"/>
        <v>#VALUE!</v>
      </c>
      <c r="S2297" s="1" t="e">
        <f t="shared" si="507"/>
        <v>#VALUE!</v>
      </c>
      <c r="T2297" s="1" t="e">
        <f t="shared" si="508"/>
        <v>#VALUE!</v>
      </c>
      <c r="U2297" s="26" t="e">
        <f t="shared" si="509"/>
        <v>#VALUE!</v>
      </c>
      <c r="V2297" s="26" t="e">
        <f t="shared" si="510"/>
        <v>#VALUE!</v>
      </c>
      <c r="W2297" s="1" t="e">
        <f t="shared" si="511"/>
        <v>#VALUE!</v>
      </c>
      <c r="X2297" s="26" t="e">
        <f t="shared" si="512"/>
        <v>#VALUE!</v>
      </c>
      <c r="Y2297" s="26" t="e">
        <f t="shared" si="513"/>
        <v>#VALUE!</v>
      </c>
      <c r="Z2297" s="1" t="e">
        <f t="shared" si="514"/>
        <v>#VALUE!</v>
      </c>
      <c r="AA2297"/>
      <c r="AB2297"/>
    </row>
    <row r="2298" spans="1:28" x14ac:dyDescent="0.55000000000000004">
      <c r="A2298" s="1">
        <f t="shared" si="501"/>
        <v>2298</v>
      </c>
      <c r="B2298" t="s">
        <v>40</v>
      </c>
      <c r="N2298" s="1" t="e">
        <f t="shared" si="502"/>
        <v>#VALUE!</v>
      </c>
      <c r="O2298" s="1" t="e">
        <f t="shared" si="503"/>
        <v>#VALUE!</v>
      </c>
      <c r="P2298" s="1" t="e">
        <f t="shared" si="504"/>
        <v>#VALUE!</v>
      </c>
      <c r="Q2298" s="1" t="e">
        <f t="shared" si="505"/>
        <v>#VALUE!</v>
      </c>
      <c r="R2298" s="1" t="e">
        <f t="shared" si="506"/>
        <v>#VALUE!</v>
      </c>
      <c r="S2298" s="1" t="e">
        <f t="shared" si="507"/>
        <v>#VALUE!</v>
      </c>
      <c r="T2298" s="1" t="e">
        <f t="shared" si="508"/>
        <v>#VALUE!</v>
      </c>
      <c r="U2298" s="26" t="e">
        <f t="shared" si="509"/>
        <v>#VALUE!</v>
      </c>
      <c r="V2298" s="26" t="e">
        <f t="shared" si="510"/>
        <v>#VALUE!</v>
      </c>
      <c r="W2298" s="1" t="e">
        <f t="shared" si="511"/>
        <v>#VALUE!</v>
      </c>
      <c r="X2298" s="26" t="e">
        <f t="shared" si="512"/>
        <v>#VALUE!</v>
      </c>
      <c r="Y2298" s="26" t="e">
        <f t="shared" si="513"/>
        <v>#VALUE!</v>
      </c>
      <c r="Z2298" s="1" t="e">
        <f t="shared" si="514"/>
        <v>#VALUE!</v>
      </c>
      <c r="AA2298"/>
      <c r="AB2298"/>
    </row>
    <row r="2299" spans="1:28" x14ac:dyDescent="0.55000000000000004">
      <c r="A2299" s="1">
        <f t="shared" si="501"/>
        <v>2299</v>
      </c>
      <c r="B2299" t="s">
        <v>40</v>
      </c>
      <c r="N2299" s="1" t="e">
        <f t="shared" si="502"/>
        <v>#VALUE!</v>
      </c>
      <c r="O2299" s="1" t="e">
        <f t="shared" si="503"/>
        <v>#VALUE!</v>
      </c>
      <c r="P2299" s="1" t="e">
        <f t="shared" si="504"/>
        <v>#VALUE!</v>
      </c>
      <c r="Q2299" s="1" t="e">
        <f t="shared" si="505"/>
        <v>#VALUE!</v>
      </c>
      <c r="R2299" s="1" t="e">
        <f t="shared" si="506"/>
        <v>#VALUE!</v>
      </c>
      <c r="S2299" s="1" t="e">
        <f t="shared" si="507"/>
        <v>#VALUE!</v>
      </c>
      <c r="T2299" s="1" t="e">
        <f t="shared" si="508"/>
        <v>#VALUE!</v>
      </c>
      <c r="U2299" s="26" t="e">
        <f t="shared" si="509"/>
        <v>#VALUE!</v>
      </c>
      <c r="V2299" s="26" t="e">
        <f t="shared" si="510"/>
        <v>#VALUE!</v>
      </c>
      <c r="W2299" s="1" t="e">
        <f t="shared" si="511"/>
        <v>#VALUE!</v>
      </c>
      <c r="X2299" s="26" t="e">
        <f t="shared" si="512"/>
        <v>#VALUE!</v>
      </c>
      <c r="Y2299" s="26" t="e">
        <f t="shared" si="513"/>
        <v>#VALUE!</v>
      </c>
      <c r="Z2299" s="1" t="e">
        <f t="shared" si="514"/>
        <v>#VALUE!</v>
      </c>
      <c r="AA2299"/>
      <c r="AB2299"/>
    </row>
    <row r="2300" spans="1:28" x14ac:dyDescent="0.55000000000000004">
      <c r="A2300" s="1">
        <f t="shared" si="501"/>
        <v>2300</v>
      </c>
      <c r="B2300" t="s">
        <v>40</v>
      </c>
      <c r="N2300" s="1" t="e">
        <f t="shared" si="502"/>
        <v>#VALUE!</v>
      </c>
      <c r="O2300" s="1" t="e">
        <f t="shared" si="503"/>
        <v>#VALUE!</v>
      </c>
      <c r="P2300" s="1" t="e">
        <f t="shared" si="504"/>
        <v>#VALUE!</v>
      </c>
      <c r="Q2300" s="1" t="e">
        <f t="shared" si="505"/>
        <v>#VALUE!</v>
      </c>
      <c r="R2300" s="1" t="e">
        <f t="shared" si="506"/>
        <v>#VALUE!</v>
      </c>
      <c r="S2300" s="1" t="e">
        <f t="shared" si="507"/>
        <v>#VALUE!</v>
      </c>
      <c r="T2300" s="1" t="e">
        <f t="shared" si="508"/>
        <v>#VALUE!</v>
      </c>
      <c r="U2300" s="26" t="e">
        <f t="shared" si="509"/>
        <v>#VALUE!</v>
      </c>
      <c r="V2300" s="26" t="e">
        <f t="shared" si="510"/>
        <v>#VALUE!</v>
      </c>
      <c r="W2300" s="1" t="e">
        <f t="shared" si="511"/>
        <v>#VALUE!</v>
      </c>
      <c r="X2300" s="26" t="e">
        <f t="shared" si="512"/>
        <v>#VALUE!</v>
      </c>
      <c r="Y2300" s="26" t="e">
        <f t="shared" si="513"/>
        <v>#VALUE!</v>
      </c>
      <c r="Z2300" s="1" t="e">
        <f t="shared" si="514"/>
        <v>#VALUE!</v>
      </c>
      <c r="AA2300"/>
      <c r="AB2300"/>
    </row>
    <row r="2301" spans="1:28" x14ac:dyDescent="0.55000000000000004">
      <c r="A2301" s="1">
        <f t="shared" si="501"/>
        <v>2301</v>
      </c>
      <c r="B2301" t="s">
        <v>40</v>
      </c>
      <c r="N2301" s="1" t="e">
        <f t="shared" si="502"/>
        <v>#VALUE!</v>
      </c>
      <c r="O2301" s="1" t="e">
        <f t="shared" si="503"/>
        <v>#VALUE!</v>
      </c>
      <c r="P2301" s="1" t="e">
        <f t="shared" si="504"/>
        <v>#VALUE!</v>
      </c>
      <c r="Q2301" s="1" t="e">
        <f t="shared" si="505"/>
        <v>#VALUE!</v>
      </c>
      <c r="R2301" s="1" t="e">
        <f t="shared" si="506"/>
        <v>#VALUE!</v>
      </c>
      <c r="S2301" s="1" t="e">
        <f t="shared" si="507"/>
        <v>#VALUE!</v>
      </c>
      <c r="T2301" s="1" t="e">
        <f t="shared" si="508"/>
        <v>#VALUE!</v>
      </c>
      <c r="U2301" s="26" t="e">
        <f t="shared" si="509"/>
        <v>#VALUE!</v>
      </c>
      <c r="V2301" s="26" t="e">
        <f t="shared" si="510"/>
        <v>#VALUE!</v>
      </c>
      <c r="W2301" s="1" t="e">
        <f t="shared" si="511"/>
        <v>#VALUE!</v>
      </c>
      <c r="X2301" s="26" t="e">
        <f t="shared" si="512"/>
        <v>#VALUE!</v>
      </c>
      <c r="Y2301" s="26" t="e">
        <f t="shared" si="513"/>
        <v>#VALUE!</v>
      </c>
      <c r="Z2301" s="1" t="e">
        <f t="shared" si="514"/>
        <v>#VALUE!</v>
      </c>
      <c r="AA2301"/>
      <c r="AB2301"/>
    </row>
    <row r="2302" spans="1:28" x14ac:dyDescent="0.55000000000000004">
      <c r="A2302" s="1">
        <f t="shared" si="501"/>
        <v>2302</v>
      </c>
      <c r="B2302" t="s">
        <v>40</v>
      </c>
      <c r="N2302" s="1" t="e">
        <f t="shared" si="502"/>
        <v>#VALUE!</v>
      </c>
      <c r="O2302" s="1" t="e">
        <f t="shared" si="503"/>
        <v>#VALUE!</v>
      </c>
      <c r="P2302" s="1" t="e">
        <f t="shared" si="504"/>
        <v>#VALUE!</v>
      </c>
      <c r="Q2302" s="1" t="e">
        <f t="shared" si="505"/>
        <v>#VALUE!</v>
      </c>
      <c r="R2302" s="1" t="e">
        <f t="shared" si="506"/>
        <v>#VALUE!</v>
      </c>
      <c r="S2302" s="1" t="e">
        <f t="shared" si="507"/>
        <v>#VALUE!</v>
      </c>
      <c r="T2302" s="1" t="e">
        <f t="shared" si="508"/>
        <v>#VALUE!</v>
      </c>
      <c r="U2302" s="26" t="e">
        <f t="shared" si="509"/>
        <v>#VALUE!</v>
      </c>
      <c r="V2302" s="26" t="e">
        <f t="shared" si="510"/>
        <v>#VALUE!</v>
      </c>
      <c r="W2302" s="1" t="e">
        <f t="shared" si="511"/>
        <v>#VALUE!</v>
      </c>
      <c r="X2302" s="26" t="e">
        <f t="shared" si="512"/>
        <v>#VALUE!</v>
      </c>
      <c r="Y2302" s="26" t="e">
        <f t="shared" si="513"/>
        <v>#VALUE!</v>
      </c>
      <c r="Z2302" s="1" t="e">
        <f t="shared" si="514"/>
        <v>#VALUE!</v>
      </c>
      <c r="AA2302"/>
      <c r="AB2302"/>
    </row>
    <row r="2303" spans="1:28" x14ac:dyDescent="0.55000000000000004">
      <c r="A2303" s="1">
        <f t="shared" si="501"/>
        <v>2303</v>
      </c>
      <c r="B2303" t="s">
        <v>40</v>
      </c>
      <c r="N2303" s="1" t="e">
        <f t="shared" si="502"/>
        <v>#VALUE!</v>
      </c>
      <c r="O2303" s="1" t="e">
        <f t="shared" si="503"/>
        <v>#VALUE!</v>
      </c>
      <c r="P2303" s="1" t="e">
        <f t="shared" si="504"/>
        <v>#VALUE!</v>
      </c>
      <c r="Q2303" s="1" t="e">
        <f t="shared" si="505"/>
        <v>#VALUE!</v>
      </c>
      <c r="R2303" s="1" t="e">
        <f t="shared" si="506"/>
        <v>#VALUE!</v>
      </c>
      <c r="S2303" s="1" t="e">
        <f t="shared" si="507"/>
        <v>#VALUE!</v>
      </c>
      <c r="T2303" s="1" t="e">
        <f t="shared" si="508"/>
        <v>#VALUE!</v>
      </c>
      <c r="U2303" s="26" t="e">
        <f t="shared" si="509"/>
        <v>#VALUE!</v>
      </c>
      <c r="V2303" s="26" t="e">
        <f t="shared" si="510"/>
        <v>#VALUE!</v>
      </c>
      <c r="W2303" s="1" t="e">
        <f t="shared" si="511"/>
        <v>#VALUE!</v>
      </c>
      <c r="X2303" s="26" t="e">
        <f t="shared" si="512"/>
        <v>#VALUE!</v>
      </c>
      <c r="Y2303" s="26" t="e">
        <f t="shared" si="513"/>
        <v>#VALUE!</v>
      </c>
      <c r="Z2303" s="1" t="e">
        <f t="shared" si="514"/>
        <v>#VALUE!</v>
      </c>
      <c r="AA2303"/>
      <c r="AB2303"/>
    </row>
    <row r="2304" spans="1:28" x14ac:dyDescent="0.55000000000000004">
      <c r="A2304" s="1">
        <f t="shared" si="501"/>
        <v>2304</v>
      </c>
      <c r="B2304" t="s">
        <v>40</v>
      </c>
      <c r="N2304" s="1" t="e">
        <f t="shared" si="502"/>
        <v>#VALUE!</v>
      </c>
      <c r="O2304" s="1" t="e">
        <f t="shared" si="503"/>
        <v>#VALUE!</v>
      </c>
      <c r="P2304" s="1" t="e">
        <f t="shared" si="504"/>
        <v>#VALUE!</v>
      </c>
      <c r="Q2304" s="1" t="e">
        <f t="shared" si="505"/>
        <v>#VALUE!</v>
      </c>
      <c r="R2304" s="1" t="e">
        <f t="shared" si="506"/>
        <v>#VALUE!</v>
      </c>
      <c r="S2304" s="1" t="e">
        <f t="shared" si="507"/>
        <v>#VALUE!</v>
      </c>
      <c r="T2304" s="1" t="e">
        <f t="shared" si="508"/>
        <v>#VALUE!</v>
      </c>
      <c r="U2304" s="26" t="e">
        <f t="shared" si="509"/>
        <v>#VALUE!</v>
      </c>
      <c r="V2304" s="26" t="e">
        <f t="shared" si="510"/>
        <v>#VALUE!</v>
      </c>
      <c r="W2304" s="1" t="e">
        <f t="shared" si="511"/>
        <v>#VALUE!</v>
      </c>
      <c r="X2304" s="26" t="e">
        <f t="shared" si="512"/>
        <v>#VALUE!</v>
      </c>
      <c r="Y2304" s="26" t="e">
        <f t="shared" si="513"/>
        <v>#VALUE!</v>
      </c>
      <c r="Z2304" s="1" t="e">
        <f t="shared" si="514"/>
        <v>#VALUE!</v>
      </c>
      <c r="AA2304"/>
      <c r="AB2304"/>
    </row>
    <row r="2305" spans="1:28" x14ac:dyDescent="0.55000000000000004">
      <c r="A2305" s="1">
        <f t="shared" si="501"/>
        <v>2305</v>
      </c>
      <c r="B2305" t="s">
        <v>40</v>
      </c>
      <c r="N2305" s="1" t="e">
        <f t="shared" si="502"/>
        <v>#VALUE!</v>
      </c>
      <c r="O2305" s="1" t="e">
        <f t="shared" si="503"/>
        <v>#VALUE!</v>
      </c>
      <c r="P2305" s="1" t="e">
        <f t="shared" si="504"/>
        <v>#VALUE!</v>
      </c>
      <c r="Q2305" s="1" t="e">
        <f t="shared" si="505"/>
        <v>#VALUE!</v>
      </c>
      <c r="R2305" s="1" t="e">
        <f t="shared" si="506"/>
        <v>#VALUE!</v>
      </c>
      <c r="S2305" s="1" t="e">
        <f t="shared" si="507"/>
        <v>#VALUE!</v>
      </c>
      <c r="T2305" s="1" t="e">
        <f t="shared" si="508"/>
        <v>#VALUE!</v>
      </c>
      <c r="U2305" s="26" t="e">
        <f t="shared" si="509"/>
        <v>#VALUE!</v>
      </c>
      <c r="V2305" s="26" t="e">
        <f t="shared" si="510"/>
        <v>#VALUE!</v>
      </c>
      <c r="W2305" s="1" t="e">
        <f t="shared" si="511"/>
        <v>#VALUE!</v>
      </c>
      <c r="X2305" s="26" t="e">
        <f t="shared" si="512"/>
        <v>#VALUE!</v>
      </c>
      <c r="Y2305" s="26" t="e">
        <f t="shared" si="513"/>
        <v>#VALUE!</v>
      </c>
      <c r="Z2305" s="1" t="e">
        <f t="shared" si="514"/>
        <v>#VALUE!</v>
      </c>
      <c r="AA2305"/>
      <c r="AB2305"/>
    </row>
    <row r="2306" spans="1:28" x14ac:dyDescent="0.55000000000000004">
      <c r="A2306" s="1">
        <f t="shared" si="501"/>
        <v>2306</v>
      </c>
      <c r="B2306" t="s">
        <v>40</v>
      </c>
      <c r="N2306" s="1" t="e">
        <f t="shared" si="502"/>
        <v>#VALUE!</v>
      </c>
      <c r="O2306" s="1" t="e">
        <f t="shared" si="503"/>
        <v>#VALUE!</v>
      </c>
      <c r="P2306" s="1" t="e">
        <f t="shared" si="504"/>
        <v>#VALUE!</v>
      </c>
      <c r="Q2306" s="1" t="e">
        <f t="shared" si="505"/>
        <v>#VALUE!</v>
      </c>
      <c r="R2306" s="1" t="e">
        <f t="shared" si="506"/>
        <v>#VALUE!</v>
      </c>
      <c r="S2306" s="1" t="e">
        <f t="shared" si="507"/>
        <v>#VALUE!</v>
      </c>
      <c r="T2306" s="1" t="e">
        <f t="shared" si="508"/>
        <v>#VALUE!</v>
      </c>
      <c r="U2306" s="26" t="e">
        <f t="shared" si="509"/>
        <v>#VALUE!</v>
      </c>
      <c r="V2306" s="26" t="e">
        <f t="shared" si="510"/>
        <v>#VALUE!</v>
      </c>
      <c r="W2306" s="1" t="e">
        <f t="shared" si="511"/>
        <v>#VALUE!</v>
      </c>
      <c r="X2306" s="26" t="e">
        <f t="shared" si="512"/>
        <v>#VALUE!</v>
      </c>
      <c r="Y2306" s="26" t="e">
        <f t="shared" si="513"/>
        <v>#VALUE!</v>
      </c>
      <c r="Z2306" s="1" t="e">
        <f t="shared" si="514"/>
        <v>#VALUE!</v>
      </c>
      <c r="AA2306"/>
      <c r="AB2306"/>
    </row>
    <row r="2307" spans="1:28" x14ac:dyDescent="0.55000000000000004">
      <c r="A2307" s="1">
        <f t="shared" ref="A2307:A2322" si="515">A2306+1</f>
        <v>2307</v>
      </c>
      <c r="B2307" t="s">
        <v>40</v>
      </c>
      <c r="N2307" s="1" t="e">
        <f t="shared" ref="N2307:N2321" si="516">VALUE(LEFT(H2307,1))</f>
        <v>#VALUE!</v>
      </c>
      <c r="O2307" s="1" t="e">
        <f t="shared" ref="O2307:O2321" si="517">VALUE(RIGHT(H2307,1))</f>
        <v>#VALUE!</v>
      </c>
      <c r="P2307" s="1" t="e">
        <f t="shared" ref="P2307:P2321" si="518">SUM(N2307,O2307)</f>
        <v>#VALUE!</v>
      </c>
      <c r="Q2307" s="1" t="e">
        <f t="shared" ref="Q2307:Q2321" si="519">IF(N2307&lt;&gt;O2307, 1, 0)</f>
        <v>#VALUE!</v>
      </c>
      <c r="R2307" s="1" t="e">
        <f t="shared" ref="R2307:R2321" si="520">IF(P2307&lt;=4,1,0)</f>
        <v>#VALUE!</v>
      </c>
      <c r="S2307" s="1" t="e">
        <f t="shared" ref="S2307:S2321" si="521">IF(AND(Q2307=1,R2307=1),1,0)</f>
        <v>#VALUE!</v>
      </c>
      <c r="T2307" s="1" t="e">
        <f t="shared" ref="T2307:T2321" si="522">IF(N2307&lt;=2,1,0)</f>
        <v>#VALUE!</v>
      </c>
      <c r="U2307" s="26" t="e">
        <f t="shared" ref="U2307:U2321" si="523">IF(AND(N2307&gt;=1,N2307&lt;=3),1,0)</f>
        <v>#VALUE!</v>
      </c>
      <c r="V2307" s="26" t="e">
        <f t="shared" ref="V2307:V2321" si="524">IF(AND(N2307&gt;=2,N2307&lt;=5),1,0)</f>
        <v>#VALUE!</v>
      </c>
      <c r="W2307" s="1" t="e">
        <f t="shared" ref="W2307:W2321" si="525">IF(O2307&lt;=2,1,0)</f>
        <v>#VALUE!</v>
      </c>
      <c r="X2307" s="26" t="e">
        <f t="shared" ref="X2307:X2321" si="526">IF(AND(O2307&gt;=1,O2307&lt;=3),1,0)</f>
        <v>#VALUE!</v>
      </c>
      <c r="Y2307" s="26" t="e">
        <f t="shared" ref="Y2307:Y2321" si="527">IF(AND(O2307&gt;=2,O2307&lt;=5),1,0)</f>
        <v>#VALUE!</v>
      </c>
      <c r="Z2307" s="1" t="e">
        <f t="shared" ref="Z2307:Z2321" si="528">IF(P2307&gt;=2,1,0)</f>
        <v>#VALUE!</v>
      </c>
      <c r="AA2307"/>
      <c r="AB2307"/>
    </row>
    <row r="2308" spans="1:28" x14ac:dyDescent="0.55000000000000004">
      <c r="A2308" s="1">
        <f t="shared" si="515"/>
        <v>2308</v>
      </c>
      <c r="B2308" t="s">
        <v>40</v>
      </c>
      <c r="N2308" s="1" t="e">
        <f t="shared" si="516"/>
        <v>#VALUE!</v>
      </c>
      <c r="O2308" s="1" t="e">
        <f t="shared" si="517"/>
        <v>#VALUE!</v>
      </c>
      <c r="P2308" s="1" t="e">
        <f t="shared" si="518"/>
        <v>#VALUE!</v>
      </c>
      <c r="Q2308" s="1" t="e">
        <f t="shared" si="519"/>
        <v>#VALUE!</v>
      </c>
      <c r="R2308" s="1" t="e">
        <f t="shared" si="520"/>
        <v>#VALUE!</v>
      </c>
      <c r="S2308" s="1" t="e">
        <f t="shared" si="521"/>
        <v>#VALUE!</v>
      </c>
      <c r="T2308" s="1" t="e">
        <f t="shared" si="522"/>
        <v>#VALUE!</v>
      </c>
      <c r="U2308" s="26" t="e">
        <f t="shared" si="523"/>
        <v>#VALUE!</v>
      </c>
      <c r="V2308" s="26" t="e">
        <f t="shared" si="524"/>
        <v>#VALUE!</v>
      </c>
      <c r="W2308" s="1" t="e">
        <f t="shared" si="525"/>
        <v>#VALUE!</v>
      </c>
      <c r="X2308" s="26" t="e">
        <f t="shared" si="526"/>
        <v>#VALUE!</v>
      </c>
      <c r="Y2308" s="26" t="e">
        <f t="shared" si="527"/>
        <v>#VALUE!</v>
      </c>
      <c r="Z2308" s="1" t="e">
        <f t="shared" si="528"/>
        <v>#VALUE!</v>
      </c>
      <c r="AA2308"/>
      <c r="AB2308"/>
    </row>
    <row r="2309" spans="1:28" x14ac:dyDescent="0.55000000000000004">
      <c r="A2309" s="1">
        <f t="shared" si="515"/>
        <v>2309</v>
      </c>
      <c r="B2309" t="s">
        <v>40</v>
      </c>
      <c r="N2309" s="1" t="e">
        <f t="shared" si="516"/>
        <v>#VALUE!</v>
      </c>
      <c r="O2309" s="1" t="e">
        <f t="shared" si="517"/>
        <v>#VALUE!</v>
      </c>
      <c r="P2309" s="1" t="e">
        <f t="shared" si="518"/>
        <v>#VALUE!</v>
      </c>
      <c r="Q2309" s="1" t="e">
        <f t="shared" si="519"/>
        <v>#VALUE!</v>
      </c>
      <c r="R2309" s="1" t="e">
        <f t="shared" si="520"/>
        <v>#VALUE!</v>
      </c>
      <c r="S2309" s="1" t="e">
        <f t="shared" si="521"/>
        <v>#VALUE!</v>
      </c>
      <c r="T2309" s="1" t="e">
        <f t="shared" si="522"/>
        <v>#VALUE!</v>
      </c>
      <c r="U2309" s="26" t="e">
        <f t="shared" si="523"/>
        <v>#VALUE!</v>
      </c>
      <c r="V2309" s="26" t="e">
        <f t="shared" si="524"/>
        <v>#VALUE!</v>
      </c>
      <c r="W2309" s="1" t="e">
        <f t="shared" si="525"/>
        <v>#VALUE!</v>
      </c>
      <c r="X2309" s="26" t="e">
        <f t="shared" si="526"/>
        <v>#VALUE!</v>
      </c>
      <c r="Y2309" s="26" t="e">
        <f t="shared" si="527"/>
        <v>#VALUE!</v>
      </c>
      <c r="Z2309" s="1" t="e">
        <f t="shared" si="528"/>
        <v>#VALUE!</v>
      </c>
      <c r="AA2309"/>
      <c r="AB2309"/>
    </row>
    <row r="2310" spans="1:28" x14ac:dyDescent="0.55000000000000004">
      <c r="A2310" s="1">
        <f t="shared" si="515"/>
        <v>2310</v>
      </c>
      <c r="B2310" t="s">
        <v>40</v>
      </c>
      <c r="N2310" s="1" t="e">
        <f t="shared" si="516"/>
        <v>#VALUE!</v>
      </c>
      <c r="O2310" s="1" t="e">
        <f t="shared" si="517"/>
        <v>#VALUE!</v>
      </c>
      <c r="P2310" s="1" t="e">
        <f t="shared" si="518"/>
        <v>#VALUE!</v>
      </c>
      <c r="Q2310" s="1" t="e">
        <f t="shared" si="519"/>
        <v>#VALUE!</v>
      </c>
      <c r="R2310" s="1" t="e">
        <f t="shared" si="520"/>
        <v>#VALUE!</v>
      </c>
      <c r="S2310" s="1" t="e">
        <f t="shared" si="521"/>
        <v>#VALUE!</v>
      </c>
      <c r="T2310" s="1" t="e">
        <f t="shared" si="522"/>
        <v>#VALUE!</v>
      </c>
      <c r="U2310" s="26" t="e">
        <f t="shared" si="523"/>
        <v>#VALUE!</v>
      </c>
      <c r="V2310" s="26" t="e">
        <f t="shared" si="524"/>
        <v>#VALUE!</v>
      </c>
      <c r="W2310" s="1" t="e">
        <f t="shared" si="525"/>
        <v>#VALUE!</v>
      </c>
      <c r="X2310" s="26" t="e">
        <f t="shared" si="526"/>
        <v>#VALUE!</v>
      </c>
      <c r="Y2310" s="26" t="e">
        <f t="shared" si="527"/>
        <v>#VALUE!</v>
      </c>
      <c r="Z2310" s="1" t="e">
        <f t="shared" si="528"/>
        <v>#VALUE!</v>
      </c>
      <c r="AA2310"/>
      <c r="AB2310"/>
    </row>
    <row r="2311" spans="1:28" x14ac:dyDescent="0.55000000000000004">
      <c r="A2311" s="1">
        <f t="shared" si="515"/>
        <v>2311</v>
      </c>
      <c r="B2311" t="s">
        <v>40</v>
      </c>
      <c r="N2311" s="1" t="e">
        <f t="shared" si="516"/>
        <v>#VALUE!</v>
      </c>
      <c r="O2311" s="1" t="e">
        <f t="shared" si="517"/>
        <v>#VALUE!</v>
      </c>
      <c r="P2311" s="1" t="e">
        <f t="shared" si="518"/>
        <v>#VALUE!</v>
      </c>
      <c r="Q2311" s="1" t="e">
        <f t="shared" si="519"/>
        <v>#VALUE!</v>
      </c>
      <c r="R2311" s="1" t="e">
        <f t="shared" si="520"/>
        <v>#VALUE!</v>
      </c>
      <c r="S2311" s="1" t="e">
        <f t="shared" si="521"/>
        <v>#VALUE!</v>
      </c>
      <c r="T2311" s="1" t="e">
        <f t="shared" si="522"/>
        <v>#VALUE!</v>
      </c>
      <c r="U2311" s="26" t="e">
        <f t="shared" si="523"/>
        <v>#VALUE!</v>
      </c>
      <c r="V2311" s="26" t="e">
        <f t="shared" si="524"/>
        <v>#VALUE!</v>
      </c>
      <c r="W2311" s="1" t="e">
        <f t="shared" si="525"/>
        <v>#VALUE!</v>
      </c>
      <c r="X2311" s="26" t="e">
        <f t="shared" si="526"/>
        <v>#VALUE!</v>
      </c>
      <c r="Y2311" s="26" t="e">
        <f t="shared" si="527"/>
        <v>#VALUE!</v>
      </c>
      <c r="Z2311" s="1" t="e">
        <f t="shared" si="528"/>
        <v>#VALUE!</v>
      </c>
      <c r="AA2311"/>
      <c r="AB2311"/>
    </row>
    <row r="2312" spans="1:28" x14ac:dyDescent="0.55000000000000004">
      <c r="A2312" s="1">
        <f t="shared" si="515"/>
        <v>2312</v>
      </c>
      <c r="B2312" t="s">
        <v>40</v>
      </c>
      <c r="N2312" s="1" t="e">
        <f t="shared" si="516"/>
        <v>#VALUE!</v>
      </c>
      <c r="O2312" s="1" t="e">
        <f t="shared" si="517"/>
        <v>#VALUE!</v>
      </c>
      <c r="P2312" s="1" t="e">
        <f t="shared" si="518"/>
        <v>#VALUE!</v>
      </c>
      <c r="Q2312" s="1" t="e">
        <f t="shared" si="519"/>
        <v>#VALUE!</v>
      </c>
      <c r="R2312" s="1" t="e">
        <f t="shared" si="520"/>
        <v>#VALUE!</v>
      </c>
      <c r="S2312" s="1" t="e">
        <f t="shared" si="521"/>
        <v>#VALUE!</v>
      </c>
      <c r="T2312" s="1" t="e">
        <f t="shared" si="522"/>
        <v>#VALUE!</v>
      </c>
      <c r="U2312" s="26" t="e">
        <f t="shared" si="523"/>
        <v>#VALUE!</v>
      </c>
      <c r="V2312" s="26" t="e">
        <f t="shared" si="524"/>
        <v>#VALUE!</v>
      </c>
      <c r="W2312" s="1" t="e">
        <f t="shared" si="525"/>
        <v>#VALUE!</v>
      </c>
      <c r="X2312" s="26" t="e">
        <f t="shared" si="526"/>
        <v>#VALUE!</v>
      </c>
      <c r="Y2312" s="26" t="e">
        <f t="shared" si="527"/>
        <v>#VALUE!</v>
      </c>
      <c r="Z2312" s="1" t="e">
        <f t="shared" si="528"/>
        <v>#VALUE!</v>
      </c>
      <c r="AA2312"/>
      <c r="AB2312"/>
    </row>
    <row r="2313" spans="1:28" x14ac:dyDescent="0.55000000000000004">
      <c r="A2313" s="1">
        <f t="shared" si="515"/>
        <v>2313</v>
      </c>
      <c r="B2313" t="s">
        <v>40</v>
      </c>
      <c r="N2313" s="1" t="e">
        <f t="shared" si="516"/>
        <v>#VALUE!</v>
      </c>
      <c r="O2313" s="1" t="e">
        <f t="shared" si="517"/>
        <v>#VALUE!</v>
      </c>
      <c r="P2313" s="1" t="e">
        <f t="shared" si="518"/>
        <v>#VALUE!</v>
      </c>
      <c r="Q2313" s="1" t="e">
        <f t="shared" si="519"/>
        <v>#VALUE!</v>
      </c>
      <c r="R2313" s="1" t="e">
        <f t="shared" si="520"/>
        <v>#VALUE!</v>
      </c>
      <c r="S2313" s="1" t="e">
        <f t="shared" si="521"/>
        <v>#VALUE!</v>
      </c>
      <c r="T2313" s="1" t="e">
        <f t="shared" si="522"/>
        <v>#VALUE!</v>
      </c>
      <c r="U2313" s="26" t="e">
        <f t="shared" si="523"/>
        <v>#VALUE!</v>
      </c>
      <c r="V2313" s="26" t="e">
        <f t="shared" si="524"/>
        <v>#VALUE!</v>
      </c>
      <c r="W2313" s="1" t="e">
        <f t="shared" si="525"/>
        <v>#VALUE!</v>
      </c>
      <c r="X2313" s="26" t="e">
        <f t="shared" si="526"/>
        <v>#VALUE!</v>
      </c>
      <c r="Y2313" s="26" t="e">
        <f t="shared" si="527"/>
        <v>#VALUE!</v>
      </c>
      <c r="Z2313" s="1" t="e">
        <f t="shared" si="528"/>
        <v>#VALUE!</v>
      </c>
      <c r="AA2313"/>
      <c r="AB2313"/>
    </row>
    <row r="2314" spans="1:28" x14ac:dyDescent="0.55000000000000004">
      <c r="A2314" s="1">
        <f t="shared" si="515"/>
        <v>2314</v>
      </c>
      <c r="B2314" t="s">
        <v>40</v>
      </c>
      <c r="N2314" s="1" t="e">
        <f t="shared" si="516"/>
        <v>#VALUE!</v>
      </c>
      <c r="O2314" s="1" t="e">
        <f t="shared" si="517"/>
        <v>#VALUE!</v>
      </c>
      <c r="P2314" s="1" t="e">
        <f t="shared" si="518"/>
        <v>#VALUE!</v>
      </c>
      <c r="Q2314" s="1" t="e">
        <f t="shared" si="519"/>
        <v>#VALUE!</v>
      </c>
      <c r="R2314" s="1" t="e">
        <f t="shared" si="520"/>
        <v>#VALUE!</v>
      </c>
      <c r="S2314" s="1" t="e">
        <f t="shared" si="521"/>
        <v>#VALUE!</v>
      </c>
      <c r="T2314" s="1" t="e">
        <f t="shared" si="522"/>
        <v>#VALUE!</v>
      </c>
      <c r="U2314" s="26" t="e">
        <f t="shared" si="523"/>
        <v>#VALUE!</v>
      </c>
      <c r="V2314" s="26" t="e">
        <f t="shared" si="524"/>
        <v>#VALUE!</v>
      </c>
      <c r="W2314" s="1" t="e">
        <f t="shared" si="525"/>
        <v>#VALUE!</v>
      </c>
      <c r="X2314" s="26" t="e">
        <f t="shared" si="526"/>
        <v>#VALUE!</v>
      </c>
      <c r="Y2314" s="26" t="e">
        <f t="shared" si="527"/>
        <v>#VALUE!</v>
      </c>
      <c r="Z2314" s="1" t="e">
        <f t="shared" si="528"/>
        <v>#VALUE!</v>
      </c>
      <c r="AA2314"/>
      <c r="AB2314"/>
    </row>
    <row r="2315" spans="1:28" x14ac:dyDescent="0.55000000000000004">
      <c r="A2315" s="1">
        <f t="shared" si="515"/>
        <v>2315</v>
      </c>
      <c r="B2315" t="s">
        <v>40</v>
      </c>
      <c r="N2315" s="1" t="e">
        <f t="shared" si="516"/>
        <v>#VALUE!</v>
      </c>
      <c r="O2315" s="1" t="e">
        <f t="shared" si="517"/>
        <v>#VALUE!</v>
      </c>
      <c r="P2315" s="1" t="e">
        <f t="shared" si="518"/>
        <v>#VALUE!</v>
      </c>
      <c r="Q2315" s="1" t="e">
        <f t="shared" si="519"/>
        <v>#VALUE!</v>
      </c>
      <c r="R2315" s="1" t="e">
        <f t="shared" si="520"/>
        <v>#VALUE!</v>
      </c>
      <c r="S2315" s="1" t="e">
        <f t="shared" si="521"/>
        <v>#VALUE!</v>
      </c>
      <c r="T2315" s="1" t="e">
        <f t="shared" si="522"/>
        <v>#VALUE!</v>
      </c>
      <c r="U2315" s="26" t="e">
        <f t="shared" si="523"/>
        <v>#VALUE!</v>
      </c>
      <c r="V2315" s="26" t="e">
        <f t="shared" si="524"/>
        <v>#VALUE!</v>
      </c>
      <c r="W2315" s="1" t="e">
        <f t="shared" si="525"/>
        <v>#VALUE!</v>
      </c>
      <c r="X2315" s="26" t="e">
        <f t="shared" si="526"/>
        <v>#VALUE!</v>
      </c>
      <c r="Y2315" s="26" t="e">
        <f t="shared" si="527"/>
        <v>#VALUE!</v>
      </c>
      <c r="Z2315" s="1" t="e">
        <f t="shared" si="528"/>
        <v>#VALUE!</v>
      </c>
      <c r="AA2315"/>
      <c r="AB2315"/>
    </row>
    <row r="2316" spans="1:28" x14ac:dyDescent="0.55000000000000004">
      <c r="A2316" s="1">
        <f t="shared" si="515"/>
        <v>2316</v>
      </c>
      <c r="B2316" t="s">
        <v>40</v>
      </c>
      <c r="N2316" s="1" t="e">
        <f t="shared" si="516"/>
        <v>#VALUE!</v>
      </c>
      <c r="O2316" s="1" t="e">
        <f t="shared" si="517"/>
        <v>#VALUE!</v>
      </c>
      <c r="P2316" s="1" t="e">
        <f t="shared" si="518"/>
        <v>#VALUE!</v>
      </c>
      <c r="Q2316" s="1" t="e">
        <f t="shared" si="519"/>
        <v>#VALUE!</v>
      </c>
      <c r="R2316" s="1" t="e">
        <f t="shared" si="520"/>
        <v>#VALUE!</v>
      </c>
      <c r="S2316" s="1" t="e">
        <f t="shared" si="521"/>
        <v>#VALUE!</v>
      </c>
      <c r="T2316" s="1" t="e">
        <f t="shared" si="522"/>
        <v>#VALUE!</v>
      </c>
      <c r="U2316" s="26" t="e">
        <f t="shared" si="523"/>
        <v>#VALUE!</v>
      </c>
      <c r="V2316" s="26" t="e">
        <f t="shared" si="524"/>
        <v>#VALUE!</v>
      </c>
      <c r="W2316" s="1" t="e">
        <f t="shared" si="525"/>
        <v>#VALUE!</v>
      </c>
      <c r="X2316" s="26" t="e">
        <f t="shared" si="526"/>
        <v>#VALUE!</v>
      </c>
      <c r="Y2316" s="26" t="e">
        <f t="shared" si="527"/>
        <v>#VALUE!</v>
      </c>
      <c r="Z2316" s="1" t="e">
        <f t="shared" si="528"/>
        <v>#VALUE!</v>
      </c>
      <c r="AA2316"/>
      <c r="AB2316"/>
    </row>
    <row r="2317" spans="1:28" x14ac:dyDescent="0.55000000000000004">
      <c r="A2317" s="1">
        <f t="shared" si="515"/>
        <v>2317</v>
      </c>
      <c r="B2317" t="s">
        <v>40</v>
      </c>
      <c r="N2317" s="1" t="e">
        <f t="shared" si="516"/>
        <v>#VALUE!</v>
      </c>
      <c r="O2317" s="1" t="e">
        <f t="shared" si="517"/>
        <v>#VALUE!</v>
      </c>
      <c r="P2317" s="1" t="e">
        <f t="shared" si="518"/>
        <v>#VALUE!</v>
      </c>
      <c r="Q2317" s="1" t="e">
        <f t="shared" si="519"/>
        <v>#VALUE!</v>
      </c>
      <c r="R2317" s="1" t="e">
        <f t="shared" si="520"/>
        <v>#VALUE!</v>
      </c>
      <c r="S2317" s="1" t="e">
        <f t="shared" si="521"/>
        <v>#VALUE!</v>
      </c>
      <c r="T2317" s="1" t="e">
        <f t="shared" si="522"/>
        <v>#VALUE!</v>
      </c>
      <c r="U2317" s="26" t="e">
        <f t="shared" si="523"/>
        <v>#VALUE!</v>
      </c>
      <c r="V2317" s="26" t="e">
        <f t="shared" si="524"/>
        <v>#VALUE!</v>
      </c>
      <c r="W2317" s="1" t="e">
        <f t="shared" si="525"/>
        <v>#VALUE!</v>
      </c>
      <c r="X2317" s="26" t="e">
        <f t="shared" si="526"/>
        <v>#VALUE!</v>
      </c>
      <c r="Y2317" s="26" t="e">
        <f t="shared" si="527"/>
        <v>#VALUE!</v>
      </c>
      <c r="Z2317" s="1" t="e">
        <f t="shared" si="528"/>
        <v>#VALUE!</v>
      </c>
      <c r="AA2317"/>
      <c r="AB2317"/>
    </row>
    <row r="2318" spans="1:28" x14ac:dyDescent="0.55000000000000004">
      <c r="A2318" s="1">
        <f t="shared" si="515"/>
        <v>2318</v>
      </c>
      <c r="B2318" t="s">
        <v>40</v>
      </c>
      <c r="N2318" s="1" t="e">
        <f t="shared" si="516"/>
        <v>#VALUE!</v>
      </c>
      <c r="O2318" s="1" t="e">
        <f t="shared" si="517"/>
        <v>#VALUE!</v>
      </c>
      <c r="P2318" s="1" t="e">
        <f t="shared" si="518"/>
        <v>#VALUE!</v>
      </c>
      <c r="Q2318" s="1" t="e">
        <f t="shared" si="519"/>
        <v>#VALUE!</v>
      </c>
      <c r="R2318" s="1" t="e">
        <f t="shared" si="520"/>
        <v>#VALUE!</v>
      </c>
      <c r="S2318" s="1" t="e">
        <f t="shared" si="521"/>
        <v>#VALUE!</v>
      </c>
      <c r="T2318" s="1" t="e">
        <f t="shared" si="522"/>
        <v>#VALUE!</v>
      </c>
      <c r="U2318" s="26" t="e">
        <f t="shared" si="523"/>
        <v>#VALUE!</v>
      </c>
      <c r="V2318" s="26" t="e">
        <f t="shared" si="524"/>
        <v>#VALUE!</v>
      </c>
      <c r="W2318" s="1" t="e">
        <f t="shared" si="525"/>
        <v>#VALUE!</v>
      </c>
      <c r="X2318" s="26" t="e">
        <f t="shared" si="526"/>
        <v>#VALUE!</v>
      </c>
      <c r="Y2318" s="26" t="e">
        <f t="shared" si="527"/>
        <v>#VALUE!</v>
      </c>
      <c r="Z2318" s="1" t="e">
        <f t="shared" si="528"/>
        <v>#VALUE!</v>
      </c>
      <c r="AA2318"/>
      <c r="AB2318"/>
    </row>
    <row r="2319" spans="1:28" x14ac:dyDescent="0.55000000000000004">
      <c r="A2319" s="1">
        <f t="shared" si="515"/>
        <v>2319</v>
      </c>
      <c r="B2319" t="s">
        <v>40</v>
      </c>
      <c r="N2319" s="1" t="e">
        <f t="shared" si="516"/>
        <v>#VALUE!</v>
      </c>
      <c r="O2319" s="1" t="e">
        <f t="shared" si="517"/>
        <v>#VALUE!</v>
      </c>
      <c r="P2319" s="1" t="e">
        <f t="shared" si="518"/>
        <v>#VALUE!</v>
      </c>
      <c r="Q2319" s="1" t="e">
        <f t="shared" si="519"/>
        <v>#VALUE!</v>
      </c>
      <c r="R2319" s="1" t="e">
        <f t="shared" si="520"/>
        <v>#VALUE!</v>
      </c>
      <c r="S2319" s="1" t="e">
        <f t="shared" si="521"/>
        <v>#VALUE!</v>
      </c>
      <c r="T2319" s="1" t="e">
        <f t="shared" si="522"/>
        <v>#VALUE!</v>
      </c>
      <c r="U2319" s="26" t="e">
        <f t="shared" si="523"/>
        <v>#VALUE!</v>
      </c>
      <c r="V2319" s="26" t="e">
        <f t="shared" si="524"/>
        <v>#VALUE!</v>
      </c>
      <c r="W2319" s="1" t="e">
        <f t="shared" si="525"/>
        <v>#VALUE!</v>
      </c>
      <c r="X2319" s="26" t="e">
        <f t="shared" si="526"/>
        <v>#VALUE!</v>
      </c>
      <c r="Y2319" s="26" t="e">
        <f t="shared" si="527"/>
        <v>#VALUE!</v>
      </c>
      <c r="Z2319" s="1" t="e">
        <f t="shared" si="528"/>
        <v>#VALUE!</v>
      </c>
      <c r="AA2319"/>
      <c r="AB2319"/>
    </row>
    <row r="2320" spans="1:28" x14ac:dyDescent="0.55000000000000004">
      <c r="A2320" s="1">
        <f t="shared" si="515"/>
        <v>2320</v>
      </c>
      <c r="B2320" t="s">
        <v>40</v>
      </c>
      <c r="N2320" s="1" t="e">
        <f t="shared" si="516"/>
        <v>#VALUE!</v>
      </c>
      <c r="O2320" s="1" t="e">
        <f t="shared" si="517"/>
        <v>#VALUE!</v>
      </c>
      <c r="P2320" s="1" t="e">
        <f t="shared" si="518"/>
        <v>#VALUE!</v>
      </c>
      <c r="Q2320" s="1" t="e">
        <f t="shared" si="519"/>
        <v>#VALUE!</v>
      </c>
      <c r="R2320" s="1" t="e">
        <f t="shared" si="520"/>
        <v>#VALUE!</v>
      </c>
      <c r="S2320" s="1" t="e">
        <f t="shared" si="521"/>
        <v>#VALUE!</v>
      </c>
      <c r="T2320" s="1" t="e">
        <f t="shared" si="522"/>
        <v>#VALUE!</v>
      </c>
      <c r="U2320" s="26" t="e">
        <f t="shared" si="523"/>
        <v>#VALUE!</v>
      </c>
      <c r="V2320" s="26" t="e">
        <f t="shared" si="524"/>
        <v>#VALUE!</v>
      </c>
      <c r="W2320" s="1" t="e">
        <f t="shared" si="525"/>
        <v>#VALUE!</v>
      </c>
      <c r="X2320" s="26" t="e">
        <f t="shared" si="526"/>
        <v>#VALUE!</v>
      </c>
      <c r="Y2320" s="26" t="e">
        <f t="shared" si="527"/>
        <v>#VALUE!</v>
      </c>
      <c r="Z2320" s="1" t="e">
        <f t="shared" si="528"/>
        <v>#VALUE!</v>
      </c>
      <c r="AA2320"/>
      <c r="AB2320"/>
    </row>
    <row r="2321" spans="1:28" x14ac:dyDescent="0.55000000000000004">
      <c r="A2321" s="1">
        <f t="shared" si="515"/>
        <v>2321</v>
      </c>
      <c r="B2321" t="s">
        <v>40</v>
      </c>
      <c r="N2321" s="1" t="e">
        <f t="shared" si="516"/>
        <v>#VALUE!</v>
      </c>
      <c r="O2321" s="1" t="e">
        <f t="shared" si="517"/>
        <v>#VALUE!</v>
      </c>
      <c r="P2321" s="1" t="e">
        <f t="shared" si="518"/>
        <v>#VALUE!</v>
      </c>
      <c r="Q2321" s="1" t="e">
        <f t="shared" si="519"/>
        <v>#VALUE!</v>
      </c>
      <c r="R2321" s="1" t="e">
        <f t="shared" si="520"/>
        <v>#VALUE!</v>
      </c>
      <c r="S2321" s="1" t="e">
        <f t="shared" si="521"/>
        <v>#VALUE!</v>
      </c>
      <c r="T2321" s="1" t="e">
        <f t="shared" si="522"/>
        <v>#VALUE!</v>
      </c>
      <c r="U2321" s="26" t="e">
        <f t="shared" si="523"/>
        <v>#VALUE!</v>
      </c>
      <c r="V2321" s="26" t="e">
        <f t="shared" si="524"/>
        <v>#VALUE!</v>
      </c>
      <c r="W2321" s="1" t="e">
        <f t="shared" si="525"/>
        <v>#VALUE!</v>
      </c>
      <c r="X2321" s="26" t="e">
        <f t="shared" si="526"/>
        <v>#VALUE!</v>
      </c>
      <c r="Y2321" s="26" t="e">
        <f t="shared" si="527"/>
        <v>#VALUE!</v>
      </c>
      <c r="Z2321" s="1" t="e">
        <f t="shared" si="528"/>
        <v>#VALUE!</v>
      </c>
      <c r="AA2321"/>
      <c r="AB2321"/>
    </row>
    <row r="2322" spans="1:28" x14ac:dyDescent="0.55000000000000004">
      <c r="A2322" s="1">
        <f t="shared" si="515"/>
        <v>2322</v>
      </c>
      <c r="AA2322"/>
      <c r="AB232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8FCD-5B50-4D1E-BB45-DFF3FD94123D}">
  <dimension ref="A1:R131"/>
  <sheetViews>
    <sheetView workbookViewId="0">
      <selection sqref="A1:Q131"/>
    </sheetView>
  </sheetViews>
  <sheetFormatPr defaultRowHeight="14.4" x14ac:dyDescent="0.55000000000000004"/>
  <cols>
    <col min="1" max="1" width="19.15625" bestFit="1" customWidth="1"/>
    <col min="2" max="2" width="4.9453125" bestFit="1" customWidth="1"/>
    <col min="3" max="3" width="14.20703125" bestFit="1" customWidth="1"/>
    <col min="4" max="4" width="5.3671875" bestFit="1" customWidth="1"/>
    <col min="5" max="5" width="4.5234375" bestFit="1" customWidth="1"/>
    <col min="6" max="6" width="4.1015625" bestFit="1" customWidth="1"/>
    <col min="7" max="7" width="3.7890625" bestFit="1" customWidth="1"/>
    <col min="8" max="8" width="5.1015625" bestFit="1" customWidth="1"/>
    <col min="9" max="9" width="5.20703125" bestFit="1" customWidth="1"/>
    <col min="10" max="10" width="5.3671875" bestFit="1" customWidth="1"/>
    <col min="11" max="11" width="5.47265625" bestFit="1" customWidth="1"/>
    <col min="12" max="12" width="8.62890625" bestFit="1" customWidth="1"/>
    <col min="13" max="13" width="9.734375" bestFit="1" customWidth="1"/>
    <col min="14" max="14" width="12.15625" bestFit="1" customWidth="1"/>
    <col min="15" max="15" width="35.734375" bestFit="1" customWidth="1"/>
    <col min="16" max="16" width="26.83984375" bestFit="1" customWidth="1"/>
    <col min="17" max="17" width="9.9453125" bestFit="1" customWidth="1"/>
    <col min="18" max="18" width="4.9453125" bestFit="1" customWidth="1"/>
  </cols>
  <sheetData>
    <row r="1" spans="1:18" x14ac:dyDescent="0.55000000000000004">
      <c r="A1" t="s">
        <v>17</v>
      </c>
      <c r="B1" t="s">
        <v>2172</v>
      </c>
      <c r="C1" t="s">
        <v>2173</v>
      </c>
      <c r="D1" t="s">
        <v>2174</v>
      </c>
      <c r="E1" t="s">
        <v>2175</v>
      </c>
      <c r="F1" t="s">
        <v>1</v>
      </c>
      <c r="G1" t="s">
        <v>2</v>
      </c>
      <c r="H1" t="s">
        <v>8</v>
      </c>
      <c r="I1" t="s">
        <v>2176</v>
      </c>
      <c r="J1" t="s">
        <v>2177</v>
      </c>
      <c r="K1" t="s">
        <v>2178</v>
      </c>
      <c r="L1" t="s">
        <v>2179</v>
      </c>
      <c r="M1" t="s">
        <v>2180</v>
      </c>
      <c r="N1" t="s">
        <v>25</v>
      </c>
      <c r="O1" t="s">
        <v>2181</v>
      </c>
      <c r="P1" t="s">
        <v>2182</v>
      </c>
      <c r="Q1" t="s">
        <v>29</v>
      </c>
      <c r="R1" t="s">
        <v>2172</v>
      </c>
    </row>
    <row r="2" spans="1:18" x14ac:dyDescent="0.55000000000000004">
      <c r="A2" t="s">
        <v>30</v>
      </c>
      <c r="B2">
        <v>1</v>
      </c>
      <c r="C2" t="s">
        <v>48</v>
      </c>
      <c r="D2">
        <v>12</v>
      </c>
      <c r="E2">
        <v>10</v>
      </c>
      <c r="F2">
        <v>2</v>
      </c>
      <c r="G2">
        <v>0</v>
      </c>
      <c r="H2">
        <v>33</v>
      </c>
      <c r="I2">
        <v>15</v>
      </c>
      <c r="J2">
        <v>18</v>
      </c>
      <c r="K2">
        <v>32</v>
      </c>
      <c r="L2">
        <v>2.67</v>
      </c>
      <c r="M2" t="s">
        <v>2183</v>
      </c>
      <c r="N2">
        <v>9213</v>
      </c>
      <c r="O2" t="s">
        <v>2184</v>
      </c>
      <c r="P2" t="s">
        <v>2185</v>
      </c>
      <c r="R2">
        <v>1</v>
      </c>
    </row>
    <row r="3" spans="1:18" x14ac:dyDescent="0.55000000000000004">
      <c r="A3" t="s">
        <v>30</v>
      </c>
      <c r="B3">
        <v>2</v>
      </c>
      <c r="C3" t="s">
        <v>58</v>
      </c>
      <c r="D3">
        <v>13</v>
      </c>
      <c r="E3">
        <v>7</v>
      </c>
      <c r="F3">
        <v>2</v>
      </c>
      <c r="G3">
        <v>4</v>
      </c>
      <c r="H3">
        <v>28</v>
      </c>
      <c r="I3">
        <v>14</v>
      </c>
      <c r="J3">
        <v>14</v>
      </c>
      <c r="K3">
        <v>23</v>
      </c>
      <c r="L3">
        <v>1.77</v>
      </c>
      <c r="M3" t="s">
        <v>2186</v>
      </c>
      <c r="N3">
        <v>26096</v>
      </c>
      <c r="O3" t="s">
        <v>2187</v>
      </c>
      <c r="P3" t="s">
        <v>2188</v>
      </c>
      <c r="R3">
        <v>2</v>
      </c>
    </row>
    <row r="4" spans="1:18" x14ac:dyDescent="0.55000000000000004">
      <c r="A4" t="s">
        <v>30</v>
      </c>
      <c r="B4">
        <v>3</v>
      </c>
      <c r="C4" t="s">
        <v>63</v>
      </c>
      <c r="D4">
        <v>13</v>
      </c>
      <c r="E4">
        <v>6</v>
      </c>
      <c r="F4">
        <v>3</v>
      </c>
      <c r="G4">
        <v>4</v>
      </c>
      <c r="H4">
        <v>18</v>
      </c>
      <c r="I4">
        <v>18</v>
      </c>
      <c r="J4">
        <v>0</v>
      </c>
      <c r="K4">
        <v>21</v>
      </c>
      <c r="L4">
        <v>1.62</v>
      </c>
      <c r="M4" t="s">
        <v>2189</v>
      </c>
      <c r="N4">
        <v>33123</v>
      </c>
      <c r="O4" t="s">
        <v>2190</v>
      </c>
      <c r="P4" t="s">
        <v>2191</v>
      </c>
      <c r="R4">
        <v>3</v>
      </c>
    </row>
    <row r="5" spans="1:18" x14ac:dyDescent="0.55000000000000004">
      <c r="A5" t="s">
        <v>30</v>
      </c>
      <c r="B5">
        <v>4</v>
      </c>
      <c r="C5" t="s">
        <v>67</v>
      </c>
      <c r="D5">
        <v>12</v>
      </c>
      <c r="E5">
        <v>5</v>
      </c>
      <c r="F5">
        <v>5</v>
      </c>
      <c r="G5">
        <v>2</v>
      </c>
      <c r="H5">
        <v>25</v>
      </c>
      <c r="I5">
        <v>22</v>
      </c>
      <c r="J5">
        <v>3</v>
      </c>
      <c r="K5">
        <v>20</v>
      </c>
      <c r="L5">
        <v>1.67</v>
      </c>
      <c r="M5" t="s">
        <v>2192</v>
      </c>
      <c r="N5">
        <v>5398</v>
      </c>
      <c r="O5" t="s">
        <v>2193</v>
      </c>
      <c r="P5" t="s">
        <v>2194</v>
      </c>
      <c r="R5">
        <v>4</v>
      </c>
    </row>
    <row r="6" spans="1:18" x14ac:dyDescent="0.55000000000000004">
      <c r="A6" t="s">
        <v>30</v>
      </c>
      <c r="B6">
        <v>5</v>
      </c>
      <c r="C6" t="s">
        <v>52</v>
      </c>
      <c r="D6">
        <v>11</v>
      </c>
      <c r="E6">
        <v>6</v>
      </c>
      <c r="F6">
        <v>1</v>
      </c>
      <c r="G6">
        <v>4</v>
      </c>
      <c r="H6">
        <v>26</v>
      </c>
      <c r="I6">
        <v>15</v>
      </c>
      <c r="J6">
        <v>11</v>
      </c>
      <c r="K6">
        <v>19</v>
      </c>
      <c r="L6">
        <v>1.73</v>
      </c>
      <c r="M6" t="s">
        <v>2195</v>
      </c>
      <c r="N6">
        <v>23861</v>
      </c>
      <c r="O6" t="s">
        <v>2196</v>
      </c>
      <c r="P6" t="s">
        <v>2197</v>
      </c>
      <c r="R6">
        <v>5</v>
      </c>
    </row>
    <row r="7" spans="1:18" x14ac:dyDescent="0.55000000000000004">
      <c r="A7" t="s">
        <v>30</v>
      </c>
      <c r="B7">
        <v>6</v>
      </c>
      <c r="C7" t="s">
        <v>66</v>
      </c>
      <c r="D7">
        <v>12</v>
      </c>
      <c r="E7">
        <v>6</v>
      </c>
      <c r="F7">
        <v>1</v>
      </c>
      <c r="G7">
        <v>5</v>
      </c>
      <c r="H7">
        <v>25</v>
      </c>
      <c r="I7">
        <v>20</v>
      </c>
      <c r="J7">
        <v>5</v>
      </c>
      <c r="K7">
        <v>19</v>
      </c>
      <c r="L7">
        <v>1.58</v>
      </c>
      <c r="M7" t="s">
        <v>2198</v>
      </c>
      <c r="N7">
        <v>18728</v>
      </c>
      <c r="O7" t="s">
        <v>2199</v>
      </c>
      <c r="P7" t="s">
        <v>2200</v>
      </c>
      <c r="R7">
        <v>6</v>
      </c>
    </row>
    <row r="8" spans="1:18" x14ac:dyDescent="0.55000000000000004">
      <c r="A8" t="s">
        <v>30</v>
      </c>
      <c r="B8">
        <v>7</v>
      </c>
      <c r="C8" t="s">
        <v>61</v>
      </c>
      <c r="D8">
        <v>14</v>
      </c>
      <c r="E8">
        <v>5</v>
      </c>
      <c r="F8">
        <v>4</v>
      </c>
      <c r="G8">
        <v>5</v>
      </c>
      <c r="H8">
        <v>18</v>
      </c>
      <c r="I8">
        <v>14</v>
      </c>
      <c r="J8">
        <v>4</v>
      </c>
      <c r="K8">
        <v>19</v>
      </c>
      <c r="L8">
        <v>1.36</v>
      </c>
      <c r="M8" t="s">
        <v>2201</v>
      </c>
      <c r="N8">
        <v>11339</v>
      </c>
      <c r="O8" t="s">
        <v>2202</v>
      </c>
      <c r="P8" t="s">
        <v>2203</v>
      </c>
      <c r="R8">
        <v>7</v>
      </c>
    </row>
    <row r="9" spans="1:18" x14ac:dyDescent="0.55000000000000004">
      <c r="A9" t="s">
        <v>30</v>
      </c>
      <c r="B9">
        <v>8</v>
      </c>
      <c r="C9" t="s">
        <v>54</v>
      </c>
      <c r="D9">
        <v>13</v>
      </c>
      <c r="E9">
        <v>5</v>
      </c>
      <c r="F9">
        <v>4</v>
      </c>
      <c r="G9">
        <v>4</v>
      </c>
      <c r="H9">
        <v>22</v>
      </c>
      <c r="I9">
        <v>23</v>
      </c>
      <c r="J9">
        <v>-1</v>
      </c>
      <c r="K9">
        <v>19</v>
      </c>
      <c r="L9">
        <v>1.46</v>
      </c>
      <c r="M9" t="s">
        <v>2204</v>
      </c>
      <c r="N9">
        <v>7046</v>
      </c>
      <c r="O9" t="s">
        <v>2205</v>
      </c>
      <c r="P9" t="s">
        <v>2206</v>
      </c>
      <c r="R9">
        <v>8</v>
      </c>
    </row>
    <row r="10" spans="1:18" x14ac:dyDescent="0.55000000000000004">
      <c r="A10" t="s">
        <v>30</v>
      </c>
      <c r="B10">
        <v>9</v>
      </c>
      <c r="C10" t="s">
        <v>49</v>
      </c>
      <c r="D10">
        <v>13</v>
      </c>
      <c r="E10">
        <v>4</v>
      </c>
      <c r="F10">
        <v>6</v>
      </c>
      <c r="G10">
        <v>3</v>
      </c>
      <c r="H10">
        <v>17</v>
      </c>
      <c r="I10">
        <v>14</v>
      </c>
      <c r="J10">
        <v>3</v>
      </c>
      <c r="K10">
        <v>18</v>
      </c>
      <c r="L10">
        <v>1.38</v>
      </c>
      <c r="M10" t="s">
        <v>2207</v>
      </c>
      <c r="N10">
        <v>9364</v>
      </c>
      <c r="O10" t="s">
        <v>2208</v>
      </c>
      <c r="P10" t="s">
        <v>2209</v>
      </c>
      <c r="R10">
        <v>9</v>
      </c>
    </row>
    <row r="11" spans="1:18" x14ac:dyDescent="0.55000000000000004">
      <c r="A11" t="s">
        <v>30</v>
      </c>
      <c r="B11">
        <v>10</v>
      </c>
      <c r="C11" t="s">
        <v>55</v>
      </c>
      <c r="D11">
        <v>13</v>
      </c>
      <c r="E11">
        <v>4</v>
      </c>
      <c r="F11">
        <v>5</v>
      </c>
      <c r="G11">
        <v>4</v>
      </c>
      <c r="H11">
        <v>19</v>
      </c>
      <c r="I11">
        <v>17</v>
      </c>
      <c r="J11">
        <v>2</v>
      </c>
      <c r="K11">
        <v>17</v>
      </c>
      <c r="L11">
        <v>1.31</v>
      </c>
      <c r="M11" t="s">
        <v>2210</v>
      </c>
      <c r="N11">
        <v>4509</v>
      </c>
      <c r="O11" t="s">
        <v>2211</v>
      </c>
      <c r="P11" t="s">
        <v>2212</v>
      </c>
      <c r="R11">
        <v>10</v>
      </c>
    </row>
    <row r="12" spans="1:18" x14ac:dyDescent="0.55000000000000004">
      <c r="A12" t="s">
        <v>30</v>
      </c>
      <c r="B12">
        <v>11</v>
      </c>
      <c r="C12" t="s">
        <v>51</v>
      </c>
      <c r="D12">
        <v>13</v>
      </c>
      <c r="E12">
        <v>4</v>
      </c>
      <c r="F12">
        <v>4</v>
      </c>
      <c r="G12">
        <v>5</v>
      </c>
      <c r="H12">
        <v>18</v>
      </c>
      <c r="I12">
        <v>21</v>
      </c>
      <c r="J12">
        <v>-3</v>
      </c>
      <c r="K12">
        <v>16</v>
      </c>
      <c r="L12">
        <v>1.23</v>
      </c>
      <c r="M12" t="s">
        <v>2213</v>
      </c>
      <c r="N12">
        <v>2055</v>
      </c>
      <c r="O12" t="s">
        <v>2214</v>
      </c>
      <c r="P12" t="s">
        <v>2215</v>
      </c>
      <c r="R12">
        <v>11</v>
      </c>
    </row>
    <row r="13" spans="1:18" x14ac:dyDescent="0.55000000000000004">
      <c r="A13" t="s">
        <v>30</v>
      </c>
      <c r="B13">
        <v>12</v>
      </c>
      <c r="C13" t="s">
        <v>45</v>
      </c>
      <c r="D13">
        <v>12</v>
      </c>
      <c r="E13">
        <v>4</v>
      </c>
      <c r="F13">
        <v>1</v>
      </c>
      <c r="G13">
        <v>7</v>
      </c>
      <c r="H13">
        <v>14</v>
      </c>
      <c r="I13">
        <v>17</v>
      </c>
      <c r="J13">
        <v>-3</v>
      </c>
      <c r="K13">
        <v>13</v>
      </c>
      <c r="L13">
        <v>1.08</v>
      </c>
      <c r="M13" t="s">
        <v>2216</v>
      </c>
      <c r="N13">
        <v>4835</v>
      </c>
      <c r="O13" t="s">
        <v>2217</v>
      </c>
      <c r="P13" t="s">
        <v>2218</v>
      </c>
      <c r="R13">
        <v>12</v>
      </c>
    </row>
    <row r="14" spans="1:18" x14ac:dyDescent="0.55000000000000004">
      <c r="A14" t="s">
        <v>30</v>
      </c>
      <c r="B14">
        <v>13</v>
      </c>
      <c r="C14" t="s">
        <v>64</v>
      </c>
      <c r="D14">
        <v>13</v>
      </c>
      <c r="E14">
        <v>3</v>
      </c>
      <c r="F14">
        <v>4</v>
      </c>
      <c r="G14">
        <v>6</v>
      </c>
      <c r="H14">
        <v>16</v>
      </c>
      <c r="I14">
        <v>29</v>
      </c>
      <c r="J14">
        <v>-13</v>
      </c>
      <c r="K14">
        <v>13</v>
      </c>
      <c r="L14">
        <v>1</v>
      </c>
      <c r="M14" t="s">
        <v>2219</v>
      </c>
      <c r="N14">
        <v>16760</v>
      </c>
      <c r="O14" t="s">
        <v>2220</v>
      </c>
      <c r="P14" t="s">
        <v>2221</v>
      </c>
      <c r="R14">
        <v>13</v>
      </c>
    </row>
    <row r="15" spans="1:18" x14ac:dyDescent="0.55000000000000004">
      <c r="A15" t="s">
        <v>30</v>
      </c>
      <c r="B15">
        <v>14</v>
      </c>
      <c r="C15" t="s">
        <v>44</v>
      </c>
      <c r="D15">
        <v>12</v>
      </c>
      <c r="E15">
        <v>2</v>
      </c>
      <c r="F15">
        <v>4</v>
      </c>
      <c r="G15">
        <v>6</v>
      </c>
      <c r="H15">
        <v>12</v>
      </c>
      <c r="I15">
        <v>19</v>
      </c>
      <c r="J15">
        <v>-7</v>
      </c>
      <c r="K15">
        <v>10</v>
      </c>
      <c r="L15">
        <v>0.83</v>
      </c>
      <c r="M15" t="s">
        <v>2222</v>
      </c>
      <c r="N15">
        <v>4026</v>
      </c>
      <c r="O15" t="s">
        <v>2223</v>
      </c>
      <c r="P15" t="s">
        <v>2224</v>
      </c>
      <c r="R15">
        <v>14</v>
      </c>
    </row>
    <row r="16" spans="1:18" x14ac:dyDescent="0.55000000000000004">
      <c r="A16" t="s">
        <v>30</v>
      </c>
      <c r="B16">
        <v>15</v>
      </c>
      <c r="C16" t="s">
        <v>60</v>
      </c>
      <c r="D16">
        <v>12</v>
      </c>
      <c r="E16">
        <v>2</v>
      </c>
      <c r="F16">
        <v>3</v>
      </c>
      <c r="G16">
        <v>7</v>
      </c>
      <c r="H16">
        <v>14</v>
      </c>
      <c r="I16">
        <v>31</v>
      </c>
      <c r="J16">
        <v>-17</v>
      </c>
      <c r="K16">
        <v>9</v>
      </c>
      <c r="L16">
        <v>0.75</v>
      </c>
      <c r="M16" t="s">
        <v>2225</v>
      </c>
      <c r="N16">
        <v>6109</v>
      </c>
      <c r="O16" t="s">
        <v>2226</v>
      </c>
      <c r="P16" t="s">
        <v>2227</v>
      </c>
      <c r="R16">
        <v>15</v>
      </c>
    </row>
    <row r="17" spans="1:18" x14ac:dyDescent="0.55000000000000004">
      <c r="A17" t="s">
        <v>30</v>
      </c>
      <c r="B17">
        <v>16</v>
      </c>
      <c r="C17" t="s">
        <v>57</v>
      </c>
      <c r="D17">
        <v>12</v>
      </c>
      <c r="E17">
        <v>1</v>
      </c>
      <c r="F17">
        <v>3</v>
      </c>
      <c r="G17">
        <v>8</v>
      </c>
      <c r="H17">
        <v>10</v>
      </c>
      <c r="I17">
        <v>26</v>
      </c>
      <c r="J17">
        <v>-16</v>
      </c>
      <c r="K17">
        <v>6</v>
      </c>
      <c r="L17">
        <v>0.5</v>
      </c>
      <c r="M17" t="s">
        <v>2228</v>
      </c>
      <c r="N17">
        <v>5517</v>
      </c>
      <c r="O17" t="s">
        <v>2229</v>
      </c>
      <c r="P17" t="s">
        <v>2230</v>
      </c>
      <c r="R17">
        <v>16</v>
      </c>
    </row>
    <row r="18" spans="1:18" x14ac:dyDescent="0.55000000000000004">
      <c r="A18" t="s">
        <v>31</v>
      </c>
      <c r="B18">
        <v>1</v>
      </c>
      <c r="C18" t="s">
        <v>142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R18">
        <v>1</v>
      </c>
    </row>
    <row r="19" spans="1:18" x14ac:dyDescent="0.55000000000000004">
      <c r="A19" t="s">
        <v>31</v>
      </c>
      <c r="B19">
        <v>2</v>
      </c>
      <c r="C19" t="s">
        <v>141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R19">
        <v>2</v>
      </c>
    </row>
    <row r="20" spans="1:18" x14ac:dyDescent="0.55000000000000004">
      <c r="A20" t="s">
        <v>31</v>
      </c>
      <c r="B20">
        <v>3</v>
      </c>
      <c r="C20" t="s">
        <v>148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R20">
        <v>3</v>
      </c>
    </row>
    <row r="21" spans="1:18" x14ac:dyDescent="0.55000000000000004">
      <c r="A21" t="s">
        <v>31</v>
      </c>
      <c r="B21">
        <v>4</v>
      </c>
      <c r="C21" t="s">
        <v>150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R21">
        <v>4</v>
      </c>
    </row>
    <row r="22" spans="1:18" x14ac:dyDescent="0.55000000000000004">
      <c r="A22" t="s">
        <v>31</v>
      </c>
      <c r="B22">
        <v>5</v>
      </c>
      <c r="C22" t="s">
        <v>145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R22">
        <v>5</v>
      </c>
    </row>
    <row r="23" spans="1:18" x14ac:dyDescent="0.55000000000000004">
      <c r="A23" t="s">
        <v>31</v>
      </c>
      <c r="B23">
        <v>6</v>
      </c>
      <c r="C23" t="s">
        <v>139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R23">
        <v>6</v>
      </c>
    </row>
    <row r="24" spans="1:18" x14ac:dyDescent="0.55000000000000004">
      <c r="A24" t="s">
        <v>31</v>
      </c>
    </row>
    <row r="25" spans="1:18" x14ac:dyDescent="0.55000000000000004">
      <c r="A25" t="s">
        <v>31</v>
      </c>
      <c r="B25">
        <v>7</v>
      </c>
      <c r="C25" t="s">
        <v>144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R25">
        <v>7</v>
      </c>
    </row>
    <row r="26" spans="1:18" x14ac:dyDescent="0.55000000000000004">
      <c r="A26" t="s">
        <v>31</v>
      </c>
      <c r="B26">
        <v>8</v>
      </c>
      <c r="C26" t="s">
        <v>135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R26">
        <v>8</v>
      </c>
    </row>
    <row r="27" spans="1:18" x14ac:dyDescent="0.55000000000000004">
      <c r="A27" t="s">
        <v>31</v>
      </c>
      <c r="B27">
        <v>9</v>
      </c>
      <c r="C27" t="s">
        <v>151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R27">
        <v>9</v>
      </c>
    </row>
    <row r="28" spans="1:18" x14ac:dyDescent="0.55000000000000004">
      <c r="A28" t="s">
        <v>31</v>
      </c>
      <c r="B28">
        <v>10</v>
      </c>
      <c r="C28" t="s">
        <v>138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R28">
        <v>10</v>
      </c>
    </row>
    <row r="29" spans="1:18" x14ac:dyDescent="0.55000000000000004">
      <c r="A29" t="s">
        <v>31</v>
      </c>
      <c r="B29">
        <v>11</v>
      </c>
      <c r="C29" t="s">
        <v>147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R29">
        <v>11</v>
      </c>
    </row>
    <row r="30" spans="1:18" x14ac:dyDescent="0.55000000000000004">
      <c r="A30" t="s">
        <v>31</v>
      </c>
      <c r="B30">
        <v>12</v>
      </c>
      <c r="C30" t="s">
        <v>136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R30">
        <v>12</v>
      </c>
    </row>
    <row r="31" spans="1:18" x14ac:dyDescent="0.55000000000000004">
      <c r="A31" t="s">
        <v>33</v>
      </c>
      <c r="B31">
        <v>1</v>
      </c>
      <c r="C31" t="s">
        <v>367</v>
      </c>
      <c r="D31">
        <v>19</v>
      </c>
      <c r="E31">
        <v>13</v>
      </c>
      <c r="F31">
        <v>4</v>
      </c>
      <c r="G31">
        <v>2</v>
      </c>
      <c r="H31">
        <v>39</v>
      </c>
      <c r="I31">
        <v>18</v>
      </c>
      <c r="J31">
        <v>21</v>
      </c>
      <c r="K31">
        <v>43</v>
      </c>
      <c r="L31">
        <v>2.2599999999999998</v>
      </c>
      <c r="M31" t="s">
        <v>2231</v>
      </c>
      <c r="N31">
        <v>41363</v>
      </c>
      <c r="O31" t="s">
        <v>2232</v>
      </c>
      <c r="P31" t="s">
        <v>2233</v>
      </c>
      <c r="R31">
        <v>1</v>
      </c>
    </row>
    <row r="32" spans="1:18" x14ac:dyDescent="0.55000000000000004">
      <c r="A32" t="s">
        <v>33</v>
      </c>
      <c r="B32">
        <v>2</v>
      </c>
      <c r="C32" t="s">
        <v>292</v>
      </c>
      <c r="D32">
        <v>19</v>
      </c>
      <c r="E32">
        <v>7</v>
      </c>
      <c r="F32">
        <v>8</v>
      </c>
      <c r="G32">
        <v>4</v>
      </c>
      <c r="H32">
        <v>23</v>
      </c>
      <c r="I32">
        <v>21</v>
      </c>
      <c r="J32">
        <v>2</v>
      </c>
      <c r="K32">
        <v>29</v>
      </c>
      <c r="L32">
        <v>1.53</v>
      </c>
      <c r="M32" t="s">
        <v>2234</v>
      </c>
      <c r="N32">
        <v>37364</v>
      </c>
      <c r="O32" t="s">
        <v>2235</v>
      </c>
      <c r="P32" t="s">
        <v>2236</v>
      </c>
      <c r="R32">
        <v>2</v>
      </c>
    </row>
    <row r="33" spans="1:18" x14ac:dyDescent="0.55000000000000004">
      <c r="A33" t="s">
        <v>33</v>
      </c>
      <c r="B33">
        <v>3</v>
      </c>
      <c r="C33" t="s">
        <v>279</v>
      </c>
      <c r="D33">
        <v>18</v>
      </c>
      <c r="E33">
        <v>9</v>
      </c>
      <c r="F33">
        <v>1</v>
      </c>
      <c r="G33">
        <v>8</v>
      </c>
      <c r="H33">
        <v>28</v>
      </c>
      <c r="I33">
        <v>32</v>
      </c>
      <c r="J33">
        <v>-4</v>
      </c>
      <c r="K33">
        <v>28</v>
      </c>
      <c r="L33">
        <v>1.56</v>
      </c>
      <c r="M33" t="s">
        <v>2195</v>
      </c>
      <c r="N33">
        <v>61036</v>
      </c>
      <c r="O33" t="s">
        <v>2237</v>
      </c>
      <c r="P33" t="s">
        <v>2238</v>
      </c>
      <c r="R33">
        <v>3</v>
      </c>
    </row>
    <row r="34" spans="1:18" x14ac:dyDescent="0.55000000000000004">
      <c r="A34" t="s">
        <v>33</v>
      </c>
      <c r="B34">
        <v>4</v>
      </c>
      <c r="C34" t="s">
        <v>291</v>
      </c>
      <c r="D34">
        <v>19</v>
      </c>
      <c r="E34">
        <v>5</v>
      </c>
      <c r="F34">
        <v>10</v>
      </c>
      <c r="G34">
        <v>4</v>
      </c>
      <c r="H34">
        <v>23</v>
      </c>
      <c r="I34">
        <v>29</v>
      </c>
      <c r="J34">
        <v>-6</v>
      </c>
      <c r="K34">
        <v>25</v>
      </c>
      <c r="L34">
        <v>1.32</v>
      </c>
      <c r="M34" t="s">
        <v>2239</v>
      </c>
      <c r="N34">
        <v>15742</v>
      </c>
      <c r="O34" t="s">
        <v>2240</v>
      </c>
      <c r="P34" t="s">
        <v>2241</v>
      </c>
      <c r="R34">
        <v>4</v>
      </c>
    </row>
    <row r="35" spans="1:18" x14ac:dyDescent="0.55000000000000004">
      <c r="A35" t="s">
        <v>33</v>
      </c>
      <c r="B35">
        <v>5</v>
      </c>
      <c r="C35" t="s">
        <v>365</v>
      </c>
      <c r="D35">
        <v>19</v>
      </c>
      <c r="E35">
        <v>7</v>
      </c>
      <c r="F35">
        <v>4</v>
      </c>
      <c r="G35">
        <v>8</v>
      </c>
      <c r="H35">
        <v>36</v>
      </c>
      <c r="I35">
        <v>35</v>
      </c>
      <c r="J35">
        <v>1</v>
      </c>
      <c r="K35">
        <v>25</v>
      </c>
      <c r="L35">
        <v>1.32</v>
      </c>
      <c r="M35" t="s">
        <v>2242</v>
      </c>
      <c r="N35">
        <v>20848</v>
      </c>
      <c r="O35" t="s">
        <v>2243</v>
      </c>
      <c r="P35" t="s">
        <v>2244</v>
      </c>
      <c r="R35">
        <v>5</v>
      </c>
    </row>
    <row r="36" spans="1:18" x14ac:dyDescent="0.55000000000000004">
      <c r="A36" t="s">
        <v>33</v>
      </c>
      <c r="B36">
        <v>6</v>
      </c>
      <c r="C36" t="s">
        <v>284</v>
      </c>
      <c r="D36">
        <v>19</v>
      </c>
      <c r="E36">
        <v>9</v>
      </c>
      <c r="F36">
        <v>3</v>
      </c>
      <c r="G36">
        <v>7</v>
      </c>
      <c r="H36">
        <v>35</v>
      </c>
      <c r="I36">
        <v>34</v>
      </c>
      <c r="J36">
        <v>1</v>
      </c>
      <c r="K36">
        <v>30</v>
      </c>
      <c r="L36">
        <v>1.58</v>
      </c>
      <c r="M36" t="s">
        <v>2216</v>
      </c>
      <c r="N36">
        <v>27400</v>
      </c>
      <c r="O36" t="s">
        <v>2245</v>
      </c>
      <c r="P36" t="s">
        <v>2246</v>
      </c>
      <c r="R36">
        <v>6</v>
      </c>
    </row>
    <row r="37" spans="1:18" x14ac:dyDescent="0.55000000000000004">
      <c r="A37" t="s">
        <v>33</v>
      </c>
      <c r="B37">
        <v>7</v>
      </c>
      <c r="C37" t="s">
        <v>281</v>
      </c>
      <c r="D37">
        <v>18</v>
      </c>
      <c r="E37">
        <v>7</v>
      </c>
      <c r="F37">
        <v>6</v>
      </c>
      <c r="G37">
        <v>5</v>
      </c>
      <c r="H37">
        <v>30</v>
      </c>
      <c r="I37">
        <v>24</v>
      </c>
      <c r="J37">
        <v>6</v>
      </c>
      <c r="K37">
        <v>27</v>
      </c>
      <c r="L37">
        <v>1.5</v>
      </c>
      <c r="M37" t="s">
        <v>2247</v>
      </c>
      <c r="N37">
        <v>48689</v>
      </c>
      <c r="O37" t="s">
        <v>2248</v>
      </c>
      <c r="P37" t="s">
        <v>2249</v>
      </c>
      <c r="R37">
        <v>7</v>
      </c>
    </row>
    <row r="38" spans="1:18" x14ac:dyDescent="0.55000000000000004">
      <c r="A38" t="s">
        <v>33</v>
      </c>
      <c r="B38">
        <v>8</v>
      </c>
      <c r="C38" t="s">
        <v>362</v>
      </c>
      <c r="D38">
        <v>18</v>
      </c>
      <c r="E38">
        <v>6</v>
      </c>
      <c r="F38">
        <v>3</v>
      </c>
      <c r="G38">
        <v>9</v>
      </c>
      <c r="H38">
        <v>25</v>
      </c>
      <c r="I38">
        <v>30</v>
      </c>
      <c r="J38">
        <v>-5</v>
      </c>
      <c r="K38">
        <v>21</v>
      </c>
      <c r="L38">
        <v>1.17</v>
      </c>
      <c r="M38" t="s">
        <v>2250</v>
      </c>
      <c r="N38">
        <v>28082</v>
      </c>
      <c r="O38" t="s">
        <v>2251</v>
      </c>
      <c r="P38" t="s">
        <v>2252</v>
      </c>
      <c r="R38">
        <v>8</v>
      </c>
    </row>
    <row r="39" spans="1:18" x14ac:dyDescent="0.55000000000000004">
      <c r="A39" t="s">
        <v>33</v>
      </c>
      <c r="B39">
        <v>9</v>
      </c>
      <c r="C39" t="s">
        <v>296</v>
      </c>
      <c r="D39">
        <v>19</v>
      </c>
      <c r="E39">
        <v>7</v>
      </c>
      <c r="F39">
        <v>5</v>
      </c>
      <c r="G39">
        <v>7</v>
      </c>
      <c r="H39">
        <v>27</v>
      </c>
      <c r="I39">
        <v>32</v>
      </c>
      <c r="J39">
        <v>-5</v>
      </c>
      <c r="K39">
        <v>26</v>
      </c>
      <c r="L39">
        <v>1.37</v>
      </c>
      <c r="M39" t="s">
        <v>2253</v>
      </c>
      <c r="N39">
        <v>23933</v>
      </c>
      <c r="O39" t="s">
        <v>2254</v>
      </c>
      <c r="P39" t="s">
        <v>2255</v>
      </c>
      <c r="R39">
        <v>9</v>
      </c>
    </row>
    <row r="40" spans="1:18" x14ac:dyDescent="0.55000000000000004">
      <c r="A40" t="s">
        <v>33</v>
      </c>
      <c r="B40">
        <v>10</v>
      </c>
      <c r="C40" t="s">
        <v>282</v>
      </c>
      <c r="D40">
        <v>19</v>
      </c>
      <c r="E40">
        <v>6</v>
      </c>
      <c r="F40">
        <v>2</v>
      </c>
      <c r="G40">
        <v>11</v>
      </c>
      <c r="H40">
        <v>25</v>
      </c>
      <c r="I40">
        <v>33</v>
      </c>
      <c r="J40">
        <v>-8</v>
      </c>
      <c r="K40">
        <v>20</v>
      </c>
      <c r="L40">
        <v>1.05</v>
      </c>
      <c r="M40" t="s">
        <v>2256</v>
      </c>
      <c r="N40">
        <v>20437</v>
      </c>
      <c r="O40" t="s">
        <v>2257</v>
      </c>
      <c r="P40" t="s">
        <v>2258</v>
      </c>
      <c r="R40">
        <v>10</v>
      </c>
    </row>
    <row r="41" spans="1:18" x14ac:dyDescent="0.55000000000000004">
      <c r="A41" t="s">
        <v>33</v>
      </c>
      <c r="B41">
        <v>11</v>
      </c>
      <c r="C41" t="s">
        <v>360</v>
      </c>
      <c r="D41">
        <v>18</v>
      </c>
      <c r="E41">
        <v>8</v>
      </c>
      <c r="F41">
        <v>5</v>
      </c>
      <c r="G41">
        <v>5</v>
      </c>
      <c r="H41">
        <v>36</v>
      </c>
      <c r="I41">
        <v>29</v>
      </c>
      <c r="J41">
        <v>7</v>
      </c>
      <c r="K41">
        <v>29</v>
      </c>
      <c r="L41">
        <v>1.61</v>
      </c>
      <c r="M41" t="s">
        <v>2259</v>
      </c>
      <c r="N41">
        <v>41129</v>
      </c>
      <c r="O41" t="s">
        <v>2260</v>
      </c>
      <c r="P41" t="s">
        <v>2261</v>
      </c>
      <c r="R41">
        <v>11</v>
      </c>
    </row>
    <row r="42" spans="1:18" x14ac:dyDescent="0.55000000000000004">
      <c r="A42" t="s">
        <v>33</v>
      </c>
      <c r="B42">
        <v>12</v>
      </c>
      <c r="C42" t="s">
        <v>278</v>
      </c>
      <c r="D42">
        <v>18</v>
      </c>
      <c r="E42">
        <v>7</v>
      </c>
      <c r="F42">
        <v>3</v>
      </c>
      <c r="G42">
        <v>8</v>
      </c>
      <c r="H42">
        <v>23</v>
      </c>
      <c r="I42">
        <v>23</v>
      </c>
      <c r="J42">
        <v>0</v>
      </c>
      <c r="K42">
        <v>24</v>
      </c>
      <c r="L42">
        <v>1.33</v>
      </c>
      <c r="M42" t="s">
        <v>2262</v>
      </c>
      <c r="N42">
        <v>19136</v>
      </c>
      <c r="O42" t="s">
        <v>2263</v>
      </c>
      <c r="P42" t="s">
        <v>2264</v>
      </c>
      <c r="R42">
        <v>12</v>
      </c>
    </row>
    <row r="43" spans="1:18" x14ac:dyDescent="0.55000000000000004">
      <c r="A43" t="s">
        <v>33</v>
      </c>
      <c r="B43">
        <v>13</v>
      </c>
      <c r="C43" t="s">
        <v>288</v>
      </c>
      <c r="D43">
        <v>18</v>
      </c>
      <c r="E43">
        <v>5</v>
      </c>
      <c r="F43">
        <v>6</v>
      </c>
      <c r="G43">
        <v>7</v>
      </c>
      <c r="H43">
        <v>28</v>
      </c>
      <c r="I43">
        <v>26</v>
      </c>
      <c r="J43">
        <v>2</v>
      </c>
      <c r="K43">
        <v>21</v>
      </c>
      <c r="L43">
        <v>1.17</v>
      </c>
      <c r="M43" t="s">
        <v>2242</v>
      </c>
      <c r="N43">
        <v>19563</v>
      </c>
      <c r="O43" t="s">
        <v>2265</v>
      </c>
      <c r="P43" t="s">
        <v>2266</v>
      </c>
      <c r="R43">
        <v>13</v>
      </c>
    </row>
    <row r="44" spans="1:18" x14ac:dyDescent="0.55000000000000004">
      <c r="A44" t="s">
        <v>33</v>
      </c>
      <c r="B44">
        <v>14</v>
      </c>
      <c r="C44" t="s">
        <v>285</v>
      </c>
      <c r="D44">
        <v>19</v>
      </c>
      <c r="E44">
        <v>6</v>
      </c>
      <c r="F44">
        <v>3</v>
      </c>
      <c r="G44">
        <v>10</v>
      </c>
      <c r="H44">
        <v>30</v>
      </c>
      <c r="I44">
        <v>36</v>
      </c>
      <c r="J44">
        <v>-6</v>
      </c>
      <c r="K44">
        <v>21</v>
      </c>
      <c r="L44">
        <v>1.1100000000000001</v>
      </c>
      <c r="M44" t="s">
        <v>2267</v>
      </c>
      <c r="N44">
        <v>28469</v>
      </c>
      <c r="O44" t="s">
        <v>2268</v>
      </c>
      <c r="P44" t="s">
        <v>2269</v>
      </c>
      <c r="R44">
        <v>14</v>
      </c>
    </row>
    <row r="45" spans="1:18" x14ac:dyDescent="0.55000000000000004">
      <c r="A45" t="s">
        <v>33</v>
      </c>
      <c r="B45">
        <v>15</v>
      </c>
      <c r="C45" t="s">
        <v>299</v>
      </c>
      <c r="D45">
        <v>18</v>
      </c>
      <c r="E45">
        <v>5</v>
      </c>
      <c r="F45">
        <v>6</v>
      </c>
      <c r="G45">
        <v>7</v>
      </c>
      <c r="H45">
        <v>24</v>
      </c>
      <c r="I45">
        <v>22</v>
      </c>
      <c r="J45">
        <v>2</v>
      </c>
      <c r="K45">
        <v>21</v>
      </c>
      <c r="L45">
        <v>1.17</v>
      </c>
      <c r="M45" t="s">
        <v>2270</v>
      </c>
      <c r="N45">
        <v>24713</v>
      </c>
      <c r="O45" t="s">
        <v>2271</v>
      </c>
      <c r="P45" t="s">
        <v>2272</v>
      </c>
      <c r="R45">
        <v>15</v>
      </c>
    </row>
    <row r="46" spans="1:18" x14ac:dyDescent="0.55000000000000004">
      <c r="A46" t="s">
        <v>33</v>
      </c>
      <c r="B46">
        <v>16</v>
      </c>
      <c r="C46" t="s">
        <v>287</v>
      </c>
      <c r="D46">
        <v>18</v>
      </c>
      <c r="E46">
        <v>3</v>
      </c>
      <c r="F46">
        <v>7</v>
      </c>
      <c r="G46">
        <v>8</v>
      </c>
      <c r="H46">
        <v>26</v>
      </c>
      <c r="I46">
        <v>34</v>
      </c>
      <c r="J46">
        <v>-8</v>
      </c>
      <c r="K46">
        <v>16</v>
      </c>
      <c r="L46">
        <v>0.89</v>
      </c>
      <c r="M46" t="s">
        <v>2273</v>
      </c>
      <c r="N46">
        <v>19494</v>
      </c>
      <c r="O46" t="s">
        <v>2274</v>
      </c>
      <c r="P46" t="s">
        <v>2275</v>
      </c>
      <c r="R46">
        <v>16</v>
      </c>
    </row>
    <row r="47" spans="1:18" x14ac:dyDescent="0.55000000000000004">
      <c r="A47" t="s">
        <v>34</v>
      </c>
      <c r="B47">
        <v>1</v>
      </c>
      <c r="C47" t="s">
        <v>86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R47">
        <v>1</v>
      </c>
    </row>
    <row r="48" spans="1:18" x14ac:dyDescent="0.55000000000000004">
      <c r="A48" t="s">
        <v>34</v>
      </c>
      <c r="B48">
        <v>2</v>
      </c>
      <c r="C48" t="s">
        <v>99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R48">
        <v>2</v>
      </c>
    </row>
    <row r="49" spans="1:18" x14ac:dyDescent="0.55000000000000004">
      <c r="A49" t="s">
        <v>34</v>
      </c>
      <c r="B49">
        <v>3</v>
      </c>
      <c r="C49" t="s">
        <v>90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R49">
        <v>3</v>
      </c>
    </row>
    <row r="50" spans="1:18" x14ac:dyDescent="0.55000000000000004">
      <c r="A50" t="s">
        <v>34</v>
      </c>
      <c r="B50">
        <v>4</v>
      </c>
      <c r="C50" t="s">
        <v>101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R50">
        <v>4</v>
      </c>
    </row>
    <row r="51" spans="1:18" x14ac:dyDescent="0.55000000000000004">
      <c r="A51" t="s">
        <v>34</v>
      </c>
      <c r="B51">
        <v>5</v>
      </c>
      <c r="C51" t="s">
        <v>92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R51">
        <v>5</v>
      </c>
    </row>
    <row r="52" spans="1:18" x14ac:dyDescent="0.55000000000000004">
      <c r="A52" t="s">
        <v>34</v>
      </c>
      <c r="B52">
        <v>6</v>
      </c>
      <c r="C52" t="s">
        <v>89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R52">
        <v>6</v>
      </c>
    </row>
    <row r="53" spans="1:18" x14ac:dyDescent="0.55000000000000004">
      <c r="A53" t="s">
        <v>34</v>
      </c>
    </row>
    <row r="54" spans="1:18" x14ac:dyDescent="0.55000000000000004">
      <c r="A54" t="s">
        <v>34</v>
      </c>
      <c r="B54">
        <v>7</v>
      </c>
      <c r="C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R54">
        <v>7</v>
      </c>
    </row>
    <row r="55" spans="1:18" x14ac:dyDescent="0.55000000000000004">
      <c r="A55" t="s">
        <v>34</v>
      </c>
      <c r="B55">
        <v>8</v>
      </c>
      <c r="C55" t="s">
        <v>102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R55">
        <v>8</v>
      </c>
    </row>
    <row r="56" spans="1:18" x14ac:dyDescent="0.55000000000000004">
      <c r="A56" t="s">
        <v>34</v>
      </c>
      <c r="B56">
        <v>9</v>
      </c>
      <c r="C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R56">
        <v>9</v>
      </c>
    </row>
    <row r="57" spans="1:18" x14ac:dyDescent="0.55000000000000004">
      <c r="A57" t="s">
        <v>34</v>
      </c>
      <c r="B57">
        <v>10</v>
      </c>
      <c r="C57" t="s">
        <v>95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R57">
        <v>10</v>
      </c>
    </row>
    <row r="58" spans="1:18" x14ac:dyDescent="0.55000000000000004">
      <c r="A58" t="s">
        <v>34</v>
      </c>
      <c r="B58">
        <v>11</v>
      </c>
      <c r="C58" t="s">
        <v>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R58">
        <v>11</v>
      </c>
    </row>
    <row r="59" spans="1:18" x14ac:dyDescent="0.55000000000000004">
      <c r="A59" t="s">
        <v>34</v>
      </c>
      <c r="B59">
        <v>12</v>
      </c>
      <c r="C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R59">
        <v>12</v>
      </c>
    </row>
    <row r="60" spans="1:18" x14ac:dyDescent="0.55000000000000004">
      <c r="A60" t="s">
        <v>35</v>
      </c>
      <c r="B60">
        <v>1</v>
      </c>
      <c r="C60" t="s">
        <v>386</v>
      </c>
      <c r="D60">
        <v>15</v>
      </c>
      <c r="E60">
        <v>9</v>
      </c>
      <c r="F60">
        <v>4</v>
      </c>
      <c r="G60">
        <v>2</v>
      </c>
      <c r="H60">
        <v>26</v>
      </c>
      <c r="I60">
        <v>15</v>
      </c>
      <c r="J60">
        <v>11</v>
      </c>
      <c r="K60">
        <v>31</v>
      </c>
      <c r="L60">
        <v>2.0699999999999998</v>
      </c>
      <c r="M60" t="s">
        <v>2276</v>
      </c>
      <c r="N60">
        <v>5164</v>
      </c>
      <c r="O60" t="s">
        <v>2277</v>
      </c>
      <c r="P60" t="s">
        <v>2278</v>
      </c>
      <c r="R60">
        <v>1</v>
      </c>
    </row>
    <row r="61" spans="1:18" x14ac:dyDescent="0.55000000000000004">
      <c r="A61" t="s">
        <v>35</v>
      </c>
      <c r="B61">
        <v>2</v>
      </c>
      <c r="C61" t="s">
        <v>208</v>
      </c>
      <c r="D61">
        <v>12</v>
      </c>
      <c r="E61">
        <v>10</v>
      </c>
      <c r="F61">
        <v>0</v>
      </c>
      <c r="G61">
        <v>2</v>
      </c>
      <c r="H61">
        <v>31</v>
      </c>
      <c r="I61">
        <v>12</v>
      </c>
      <c r="J61">
        <v>19</v>
      </c>
      <c r="K61">
        <v>30</v>
      </c>
      <c r="L61">
        <v>2.5</v>
      </c>
      <c r="M61" t="s">
        <v>2279</v>
      </c>
      <c r="N61">
        <v>15821</v>
      </c>
      <c r="O61" t="s">
        <v>2280</v>
      </c>
      <c r="P61" t="s">
        <v>2281</v>
      </c>
      <c r="R61">
        <v>2</v>
      </c>
    </row>
    <row r="62" spans="1:18" x14ac:dyDescent="0.55000000000000004">
      <c r="A62" t="s">
        <v>35</v>
      </c>
      <c r="B62">
        <v>3</v>
      </c>
      <c r="C62" t="s">
        <v>204</v>
      </c>
      <c r="D62">
        <v>13</v>
      </c>
      <c r="E62">
        <v>9</v>
      </c>
      <c r="F62">
        <v>2</v>
      </c>
      <c r="G62">
        <v>2</v>
      </c>
      <c r="H62">
        <v>31</v>
      </c>
      <c r="I62">
        <v>11</v>
      </c>
      <c r="J62">
        <v>20</v>
      </c>
      <c r="K62">
        <v>29</v>
      </c>
      <c r="L62">
        <v>2.23</v>
      </c>
      <c r="M62" t="s">
        <v>2282</v>
      </c>
      <c r="N62">
        <v>6831</v>
      </c>
      <c r="O62" t="s">
        <v>2283</v>
      </c>
      <c r="P62" t="s">
        <v>2284</v>
      </c>
      <c r="R62">
        <v>3</v>
      </c>
    </row>
    <row r="63" spans="1:18" x14ac:dyDescent="0.55000000000000004">
      <c r="A63" t="s">
        <v>35</v>
      </c>
      <c r="B63">
        <v>4</v>
      </c>
      <c r="C63" t="s">
        <v>207</v>
      </c>
      <c r="D63">
        <v>13</v>
      </c>
      <c r="E63">
        <v>8</v>
      </c>
      <c r="F63">
        <v>1</v>
      </c>
      <c r="G63">
        <v>4</v>
      </c>
      <c r="H63">
        <v>21</v>
      </c>
      <c r="I63">
        <v>12</v>
      </c>
      <c r="J63">
        <v>9</v>
      </c>
      <c r="K63">
        <v>25</v>
      </c>
      <c r="L63">
        <v>1.92</v>
      </c>
      <c r="M63" t="s">
        <v>2195</v>
      </c>
      <c r="N63">
        <v>7830</v>
      </c>
      <c r="O63" t="s">
        <v>2285</v>
      </c>
      <c r="P63" t="s">
        <v>2286</v>
      </c>
      <c r="R63">
        <v>4</v>
      </c>
    </row>
    <row r="64" spans="1:18" x14ac:dyDescent="0.55000000000000004">
      <c r="A64" t="s">
        <v>35</v>
      </c>
      <c r="B64">
        <v>5</v>
      </c>
      <c r="C64" t="s">
        <v>383</v>
      </c>
      <c r="D64">
        <v>13</v>
      </c>
      <c r="E64">
        <v>6</v>
      </c>
      <c r="F64">
        <v>2</v>
      </c>
      <c r="G64">
        <v>5</v>
      </c>
      <c r="H64">
        <v>21</v>
      </c>
      <c r="I64">
        <v>17</v>
      </c>
      <c r="J64">
        <v>4</v>
      </c>
      <c r="K64">
        <v>20</v>
      </c>
      <c r="L64">
        <v>1.54</v>
      </c>
      <c r="M64" t="s">
        <v>2287</v>
      </c>
      <c r="N64">
        <v>6747</v>
      </c>
      <c r="O64" t="s">
        <v>2288</v>
      </c>
      <c r="P64" t="s">
        <v>2289</v>
      </c>
      <c r="R64">
        <v>5</v>
      </c>
    </row>
    <row r="65" spans="1:18" x14ac:dyDescent="0.55000000000000004">
      <c r="A65" t="s">
        <v>35</v>
      </c>
      <c r="B65">
        <v>6</v>
      </c>
      <c r="C65" t="s">
        <v>384</v>
      </c>
      <c r="D65">
        <v>14</v>
      </c>
      <c r="E65">
        <v>6</v>
      </c>
      <c r="F65">
        <v>1</v>
      </c>
      <c r="G65">
        <v>7</v>
      </c>
      <c r="H65">
        <v>28</v>
      </c>
      <c r="I65">
        <v>22</v>
      </c>
      <c r="J65">
        <v>6</v>
      </c>
      <c r="K65">
        <v>19</v>
      </c>
      <c r="L65">
        <v>1.36</v>
      </c>
      <c r="M65" t="s">
        <v>2186</v>
      </c>
      <c r="N65">
        <v>15690</v>
      </c>
      <c r="O65" t="s">
        <v>2290</v>
      </c>
      <c r="P65" t="s">
        <v>2291</v>
      </c>
      <c r="R65">
        <v>6</v>
      </c>
    </row>
    <row r="66" spans="1:18" x14ac:dyDescent="0.55000000000000004">
      <c r="A66" t="s">
        <v>35</v>
      </c>
      <c r="B66">
        <v>7</v>
      </c>
      <c r="C66" t="s">
        <v>205</v>
      </c>
      <c r="D66">
        <v>12</v>
      </c>
      <c r="E66">
        <v>5</v>
      </c>
      <c r="F66">
        <v>3</v>
      </c>
      <c r="G66">
        <v>4</v>
      </c>
      <c r="H66">
        <v>20</v>
      </c>
      <c r="I66">
        <v>22</v>
      </c>
      <c r="J66">
        <v>-2</v>
      </c>
      <c r="K66">
        <v>18</v>
      </c>
      <c r="L66">
        <v>1.5</v>
      </c>
      <c r="M66" t="s">
        <v>2292</v>
      </c>
      <c r="N66">
        <v>4594</v>
      </c>
      <c r="O66" t="s">
        <v>2293</v>
      </c>
      <c r="P66" t="s">
        <v>2294</v>
      </c>
      <c r="R66">
        <v>7</v>
      </c>
    </row>
    <row r="67" spans="1:18" x14ac:dyDescent="0.55000000000000004">
      <c r="A67" t="s">
        <v>35</v>
      </c>
      <c r="B67">
        <v>8</v>
      </c>
      <c r="C67" t="s">
        <v>213</v>
      </c>
      <c r="D67">
        <v>13</v>
      </c>
      <c r="E67">
        <v>5</v>
      </c>
      <c r="F67">
        <v>3</v>
      </c>
      <c r="G67">
        <v>5</v>
      </c>
      <c r="H67">
        <v>14</v>
      </c>
      <c r="I67">
        <v>16</v>
      </c>
      <c r="J67">
        <v>-2</v>
      </c>
      <c r="K67">
        <v>18</v>
      </c>
      <c r="L67">
        <v>1.38</v>
      </c>
      <c r="M67" t="s">
        <v>2247</v>
      </c>
      <c r="N67">
        <v>5786</v>
      </c>
      <c r="O67" t="s">
        <v>2295</v>
      </c>
      <c r="P67" t="s">
        <v>2296</v>
      </c>
      <c r="R67">
        <v>8</v>
      </c>
    </row>
    <row r="68" spans="1:18" x14ac:dyDescent="0.55000000000000004">
      <c r="A68" t="s">
        <v>35</v>
      </c>
      <c r="B68">
        <v>9</v>
      </c>
      <c r="C68" t="s">
        <v>214</v>
      </c>
      <c r="D68">
        <v>13</v>
      </c>
      <c r="E68">
        <v>5</v>
      </c>
      <c r="F68">
        <v>2</v>
      </c>
      <c r="G68">
        <v>6</v>
      </c>
      <c r="H68">
        <v>19</v>
      </c>
      <c r="I68">
        <v>22</v>
      </c>
      <c r="J68">
        <v>-3</v>
      </c>
      <c r="K68">
        <v>17</v>
      </c>
      <c r="L68">
        <v>1.31</v>
      </c>
      <c r="M68" t="s">
        <v>2297</v>
      </c>
      <c r="N68">
        <v>10482</v>
      </c>
      <c r="O68" t="s">
        <v>2298</v>
      </c>
      <c r="P68" t="s">
        <v>2299</v>
      </c>
      <c r="R68">
        <v>9</v>
      </c>
    </row>
    <row r="69" spans="1:18" x14ac:dyDescent="0.55000000000000004">
      <c r="A69" t="s">
        <v>35</v>
      </c>
      <c r="B69">
        <v>10</v>
      </c>
      <c r="C69" t="s">
        <v>210</v>
      </c>
      <c r="D69">
        <v>13</v>
      </c>
      <c r="E69">
        <v>4</v>
      </c>
      <c r="F69">
        <v>3</v>
      </c>
      <c r="G69">
        <v>6</v>
      </c>
      <c r="H69">
        <v>15</v>
      </c>
      <c r="I69">
        <v>18</v>
      </c>
      <c r="J69">
        <v>-3</v>
      </c>
      <c r="K69">
        <v>15</v>
      </c>
      <c r="L69">
        <v>1.1499999999999999</v>
      </c>
      <c r="M69" t="s">
        <v>2300</v>
      </c>
      <c r="N69">
        <v>13410</v>
      </c>
      <c r="O69" t="s">
        <v>2301</v>
      </c>
      <c r="P69" t="s">
        <v>2302</v>
      </c>
      <c r="R69">
        <v>10</v>
      </c>
    </row>
    <row r="70" spans="1:18" x14ac:dyDescent="0.55000000000000004">
      <c r="A70" t="s">
        <v>35</v>
      </c>
      <c r="B70">
        <v>11</v>
      </c>
      <c r="C70" t="s">
        <v>303</v>
      </c>
      <c r="D70">
        <v>13</v>
      </c>
      <c r="E70">
        <v>4</v>
      </c>
      <c r="F70">
        <v>3</v>
      </c>
      <c r="G70">
        <v>6</v>
      </c>
      <c r="H70">
        <v>13</v>
      </c>
      <c r="I70">
        <v>17</v>
      </c>
      <c r="J70">
        <v>-4</v>
      </c>
      <c r="K70">
        <v>15</v>
      </c>
      <c r="L70">
        <v>1.1499999999999999</v>
      </c>
      <c r="M70" t="s">
        <v>2303</v>
      </c>
      <c r="N70">
        <v>4153</v>
      </c>
      <c r="O70" t="s">
        <v>2304</v>
      </c>
      <c r="P70" t="s">
        <v>2305</v>
      </c>
      <c r="R70">
        <v>11</v>
      </c>
    </row>
    <row r="71" spans="1:18" x14ac:dyDescent="0.55000000000000004">
      <c r="A71" t="s">
        <v>35</v>
      </c>
      <c r="B71">
        <v>12</v>
      </c>
      <c r="C71" t="s">
        <v>211</v>
      </c>
      <c r="D71">
        <v>13</v>
      </c>
      <c r="E71">
        <v>4</v>
      </c>
      <c r="F71">
        <v>2</v>
      </c>
      <c r="G71">
        <v>7</v>
      </c>
      <c r="H71">
        <v>15</v>
      </c>
      <c r="I71">
        <v>23</v>
      </c>
      <c r="J71">
        <v>-8</v>
      </c>
      <c r="K71">
        <v>14</v>
      </c>
      <c r="L71">
        <v>1.08</v>
      </c>
      <c r="M71" t="s">
        <v>2192</v>
      </c>
      <c r="N71">
        <v>8721</v>
      </c>
      <c r="O71" t="s">
        <v>2306</v>
      </c>
      <c r="P71" t="s">
        <v>2307</v>
      </c>
      <c r="R71">
        <v>12</v>
      </c>
    </row>
    <row r="72" spans="1:18" x14ac:dyDescent="0.55000000000000004">
      <c r="A72" t="s">
        <v>35</v>
      </c>
      <c r="B72">
        <v>13</v>
      </c>
      <c r="C72" t="s">
        <v>304</v>
      </c>
      <c r="D72">
        <v>13</v>
      </c>
      <c r="E72">
        <v>3</v>
      </c>
      <c r="F72">
        <v>3</v>
      </c>
      <c r="G72">
        <v>7</v>
      </c>
      <c r="H72">
        <v>13</v>
      </c>
      <c r="I72">
        <v>21</v>
      </c>
      <c r="J72">
        <v>-8</v>
      </c>
      <c r="K72">
        <v>12</v>
      </c>
      <c r="L72">
        <v>0.92</v>
      </c>
      <c r="M72" t="s">
        <v>2267</v>
      </c>
      <c r="N72">
        <v>1940</v>
      </c>
      <c r="O72" t="s">
        <v>2308</v>
      </c>
      <c r="P72" t="s">
        <v>2309</v>
      </c>
      <c r="R72">
        <v>13</v>
      </c>
    </row>
    <row r="73" spans="1:18" x14ac:dyDescent="0.55000000000000004">
      <c r="A73" t="s">
        <v>35</v>
      </c>
      <c r="B73">
        <v>14</v>
      </c>
      <c r="C73" t="s">
        <v>306</v>
      </c>
      <c r="D73">
        <v>13</v>
      </c>
      <c r="E73">
        <v>2</v>
      </c>
      <c r="F73">
        <v>6</v>
      </c>
      <c r="G73">
        <v>5</v>
      </c>
      <c r="H73">
        <v>18</v>
      </c>
      <c r="I73">
        <v>28</v>
      </c>
      <c r="J73">
        <v>-10</v>
      </c>
      <c r="K73">
        <v>12</v>
      </c>
      <c r="L73">
        <v>0.92</v>
      </c>
      <c r="M73" t="s">
        <v>2310</v>
      </c>
      <c r="N73">
        <v>4365</v>
      </c>
      <c r="O73" t="s">
        <v>2311</v>
      </c>
      <c r="P73" t="s">
        <v>2312</v>
      </c>
      <c r="R73">
        <v>14</v>
      </c>
    </row>
    <row r="74" spans="1:18" x14ac:dyDescent="0.55000000000000004">
      <c r="A74" t="s">
        <v>35</v>
      </c>
      <c r="B74">
        <v>15</v>
      </c>
      <c r="C74" t="s">
        <v>377</v>
      </c>
      <c r="D74">
        <v>13</v>
      </c>
      <c r="E74">
        <v>3</v>
      </c>
      <c r="F74">
        <v>3</v>
      </c>
      <c r="G74">
        <v>7</v>
      </c>
      <c r="H74">
        <v>11</v>
      </c>
      <c r="I74">
        <v>21</v>
      </c>
      <c r="J74">
        <v>-10</v>
      </c>
      <c r="K74">
        <v>12</v>
      </c>
      <c r="L74">
        <v>0.92</v>
      </c>
      <c r="M74" t="s">
        <v>2313</v>
      </c>
      <c r="N74">
        <v>3088</v>
      </c>
      <c r="O74" t="s">
        <v>2314</v>
      </c>
      <c r="P74" t="s">
        <v>2315</v>
      </c>
      <c r="R74">
        <v>15</v>
      </c>
    </row>
    <row r="75" spans="1:18" x14ac:dyDescent="0.55000000000000004">
      <c r="A75" t="s">
        <v>35</v>
      </c>
      <c r="B75">
        <v>16</v>
      </c>
      <c r="C75" t="s">
        <v>307</v>
      </c>
      <c r="D75">
        <v>14</v>
      </c>
      <c r="E75">
        <v>1</v>
      </c>
      <c r="F75">
        <v>4</v>
      </c>
      <c r="G75">
        <v>9</v>
      </c>
      <c r="H75">
        <v>14</v>
      </c>
      <c r="I75">
        <v>33</v>
      </c>
      <c r="J75">
        <v>-19</v>
      </c>
      <c r="K75">
        <v>7</v>
      </c>
      <c r="L75">
        <v>0.5</v>
      </c>
      <c r="M75" t="s">
        <v>2316</v>
      </c>
      <c r="N75">
        <v>7720</v>
      </c>
      <c r="O75" t="s">
        <v>2317</v>
      </c>
      <c r="P75" t="s">
        <v>2318</v>
      </c>
      <c r="R75">
        <v>16</v>
      </c>
    </row>
    <row r="76" spans="1:18" x14ac:dyDescent="0.55000000000000004">
      <c r="A76" t="s">
        <v>37</v>
      </c>
      <c r="B76">
        <v>1</v>
      </c>
      <c r="C76" t="s">
        <v>319</v>
      </c>
      <c r="D76">
        <v>25</v>
      </c>
      <c r="E76">
        <v>15</v>
      </c>
      <c r="F76">
        <v>5</v>
      </c>
      <c r="G76">
        <v>5</v>
      </c>
      <c r="H76">
        <v>40</v>
      </c>
      <c r="I76">
        <v>22</v>
      </c>
      <c r="J76">
        <v>18</v>
      </c>
      <c r="K76">
        <v>50</v>
      </c>
      <c r="L76">
        <v>2</v>
      </c>
      <c r="M76" t="s">
        <v>2319</v>
      </c>
      <c r="N76">
        <v>5468</v>
      </c>
      <c r="O76" t="s">
        <v>2320</v>
      </c>
      <c r="P76" t="s">
        <v>2321</v>
      </c>
      <c r="R76">
        <v>1</v>
      </c>
    </row>
    <row r="77" spans="1:18" x14ac:dyDescent="0.55000000000000004">
      <c r="A77" t="s">
        <v>37</v>
      </c>
      <c r="B77">
        <v>2</v>
      </c>
      <c r="C77" t="s">
        <v>322</v>
      </c>
      <c r="D77">
        <v>25</v>
      </c>
      <c r="E77">
        <v>12</v>
      </c>
      <c r="F77">
        <v>7</v>
      </c>
      <c r="G77">
        <v>6</v>
      </c>
      <c r="H77">
        <v>40</v>
      </c>
      <c r="I77">
        <v>27</v>
      </c>
      <c r="J77">
        <v>13</v>
      </c>
      <c r="K77">
        <v>43</v>
      </c>
      <c r="L77">
        <v>1.72</v>
      </c>
      <c r="M77" t="s">
        <v>2198</v>
      </c>
      <c r="N77">
        <v>5795</v>
      </c>
      <c r="O77" t="s">
        <v>2322</v>
      </c>
      <c r="P77" t="s">
        <v>2323</v>
      </c>
      <c r="R77">
        <v>2</v>
      </c>
    </row>
    <row r="78" spans="1:18" x14ac:dyDescent="0.55000000000000004">
      <c r="A78" t="s">
        <v>37</v>
      </c>
      <c r="B78">
        <v>3</v>
      </c>
      <c r="C78" t="s">
        <v>312</v>
      </c>
      <c r="D78">
        <v>24</v>
      </c>
      <c r="E78">
        <v>12</v>
      </c>
      <c r="F78">
        <v>6</v>
      </c>
      <c r="G78">
        <v>6</v>
      </c>
      <c r="H78">
        <v>39</v>
      </c>
      <c r="I78">
        <v>20</v>
      </c>
      <c r="J78">
        <v>19</v>
      </c>
      <c r="K78">
        <v>42</v>
      </c>
      <c r="L78">
        <v>1.75</v>
      </c>
      <c r="M78" t="s">
        <v>2250</v>
      </c>
      <c r="N78">
        <v>4453</v>
      </c>
      <c r="O78" t="s">
        <v>2324</v>
      </c>
      <c r="P78" t="s">
        <v>2325</v>
      </c>
      <c r="R78">
        <v>3</v>
      </c>
    </row>
    <row r="79" spans="1:18" x14ac:dyDescent="0.55000000000000004">
      <c r="A79" t="s">
        <v>37</v>
      </c>
      <c r="B79">
        <v>4</v>
      </c>
      <c r="C79" t="s">
        <v>313</v>
      </c>
      <c r="D79">
        <v>24</v>
      </c>
      <c r="E79">
        <v>9</v>
      </c>
      <c r="F79">
        <v>8</v>
      </c>
      <c r="G79">
        <v>7</v>
      </c>
      <c r="H79">
        <v>38</v>
      </c>
      <c r="I79">
        <v>36</v>
      </c>
      <c r="J79">
        <v>2</v>
      </c>
      <c r="K79">
        <v>35</v>
      </c>
      <c r="L79">
        <v>1.46</v>
      </c>
      <c r="M79" t="s">
        <v>2326</v>
      </c>
      <c r="N79">
        <v>2829</v>
      </c>
      <c r="O79" t="s">
        <v>2327</v>
      </c>
      <c r="P79" t="s">
        <v>2328</v>
      </c>
      <c r="R79">
        <v>4</v>
      </c>
    </row>
    <row r="80" spans="1:18" x14ac:dyDescent="0.55000000000000004">
      <c r="A80" t="s">
        <v>37</v>
      </c>
      <c r="B80">
        <v>5</v>
      </c>
      <c r="C80" t="s">
        <v>328</v>
      </c>
      <c r="D80">
        <v>24</v>
      </c>
      <c r="E80">
        <v>8</v>
      </c>
      <c r="F80">
        <v>10</v>
      </c>
      <c r="G80">
        <v>6</v>
      </c>
      <c r="H80">
        <v>35</v>
      </c>
      <c r="I80">
        <v>35</v>
      </c>
      <c r="J80">
        <v>0</v>
      </c>
      <c r="K80">
        <v>34</v>
      </c>
      <c r="L80">
        <v>1.42</v>
      </c>
      <c r="M80" t="s">
        <v>2329</v>
      </c>
      <c r="N80">
        <v>4583</v>
      </c>
      <c r="O80" t="s">
        <v>2330</v>
      </c>
      <c r="P80" t="s">
        <v>2331</v>
      </c>
      <c r="R80">
        <v>5</v>
      </c>
    </row>
    <row r="81" spans="1:18" x14ac:dyDescent="0.55000000000000004">
      <c r="A81" t="s">
        <v>37</v>
      </c>
      <c r="B81">
        <v>6</v>
      </c>
      <c r="C81" t="s">
        <v>324</v>
      </c>
      <c r="D81">
        <v>25</v>
      </c>
      <c r="E81">
        <v>6</v>
      </c>
      <c r="F81">
        <v>11</v>
      </c>
      <c r="G81">
        <v>8</v>
      </c>
      <c r="H81">
        <v>32</v>
      </c>
      <c r="I81">
        <v>31</v>
      </c>
      <c r="J81">
        <v>1</v>
      </c>
      <c r="K81">
        <v>29</v>
      </c>
      <c r="L81">
        <v>1.1599999999999999</v>
      </c>
      <c r="M81" t="s">
        <v>2332</v>
      </c>
      <c r="N81">
        <v>3729</v>
      </c>
      <c r="O81" t="s">
        <v>2333</v>
      </c>
      <c r="P81" t="s">
        <v>2334</v>
      </c>
      <c r="R81">
        <v>6</v>
      </c>
    </row>
    <row r="82" spans="1:18" x14ac:dyDescent="0.55000000000000004">
      <c r="A82" t="s">
        <v>37</v>
      </c>
      <c r="B82">
        <v>7</v>
      </c>
      <c r="C82" t="s">
        <v>326</v>
      </c>
      <c r="D82">
        <v>23</v>
      </c>
      <c r="E82">
        <v>7</v>
      </c>
      <c r="F82">
        <v>6</v>
      </c>
      <c r="G82">
        <v>10</v>
      </c>
      <c r="H82">
        <v>32</v>
      </c>
      <c r="I82">
        <v>39</v>
      </c>
      <c r="J82">
        <v>-7</v>
      </c>
      <c r="K82">
        <v>27</v>
      </c>
      <c r="L82">
        <v>1.17</v>
      </c>
      <c r="M82" t="s">
        <v>2335</v>
      </c>
      <c r="N82">
        <v>2620</v>
      </c>
      <c r="O82" t="s">
        <v>2336</v>
      </c>
      <c r="P82" t="s">
        <v>2337</v>
      </c>
      <c r="R82">
        <v>7</v>
      </c>
    </row>
    <row r="83" spans="1:18" x14ac:dyDescent="0.55000000000000004">
      <c r="A83" t="s">
        <v>37</v>
      </c>
      <c r="B83">
        <v>8</v>
      </c>
      <c r="C83" t="s">
        <v>318</v>
      </c>
      <c r="D83">
        <v>24</v>
      </c>
      <c r="E83">
        <v>6</v>
      </c>
      <c r="F83">
        <v>7</v>
      </c>
      <c r="G83">
        <v>11</v>
      </c>
      <c r="H83">
        <v>29</v>
      </c>
      <c r="I83">
        <v>41</v>
      </c>
      <c r="J83">
        <v>-12</v>
      </c>
      <c r="K83">
        <v>25</v>
      </c>
      <c r="L83">
        <v>1.04</v>
      </c>
      <c r="M83" t="s">
        <v>2338</v>
      </c>
      <c r="N83">
        <v>2167</v>
      </c>
      <c r="O83" t="s">
        <v>2339</v>
      </c>
      <c r="P83" t="s">
        <v>2340</v>
      </c>
      <c r="R83">
        <v>8</v>
      </c>
    </row>
    <row r="84" spans="1:18" x14ac:dyDescent="0.55000000000000004">
      <c r="A84" t="s">
        <v>37</v>
      </c>
      <c r="B84">
        <v>9</v>
      </c>
      <c r="C84" t="s">
        <v>321</v>
      </c>
      <c r="D84">
        <v>24</v>
      </c>
      <c r="E84">
        <v>4</v>
      </c>
      <c r="F84">
        <v>9</v>
      </c>
      <c r="G84">
        <v>11</v>
      </c>
      <c r="H84">
        <v>33</v>
      </c>
      <c r="I84">
        <v>47</v>
      </c>
      <c r="J84">
        <v>-14</v>
      </c>
      <c r="K84">
        <v>21</v>
      </c>
      <c r="L84">
        <v>0.88</v>
      </c>
      <c r="M84" t="s">
        <v>2204</v>
      </c>
      <c r="N84">
        <v>2198</v>
      </c>
      <c r="O84" t="s">
        <v>2341</v>
      </c>
      <c r="P84" t="s">
        <v>2342</v>
      </c>
      <c r="R84">
        <v>9</v>
      </c>
    </row>
    <row r="85" spans="1:18" x14ac:dyDescent="0.55000000000000004">
      <c r="A85" t="s">
        <v>37</v>
      </c>
      <c r="B85">
        <v>10</v>
      </c>
      <c r="C85" t="s">
        <v>316</v>
      </c>
      <c r="D85">
        <v>24</v>
      </c>
      <c r="E85">
        <v>5</v>
      </c>
      <c r="F85">
        <v>5</v>
      </c>
      <c r="G85">
        <v>14</v>
      </c>
      <c r="H85">
        <v>20</v>
      </c>
      <c r="I85">
        <v>40</v>
      </c>
      <c r="J85">
        <v>-20</v>
      </c>
      <c r="K85">
        <v>20</v>
      </c>
      <c r="L85">
        <v>0.83</v>
      </c>
      <c r="M85" t="s">
        <v>2343</v>
      </c>
      <c r="N85">
        <v>2665</v>
      </c>
      <c r="O85" t="s">
        <v>2344</v>
      </c>
      <c r="P85" t="s">
        <v>2345</v>
      </c>
      <c r="R85">
        <v>10</v>
      </c>
    </row>
    <row r="86" spans="1:18" x14ac:dyDescent="0.55000000000000004">
      <c r="A86" t="s">
        <v>38</v>
      </c>
      <c r="B86">
        <v>1</v>
      </c>
      <c r="C86" t="s">
        <v>919</v>
      </c>
      <c r="D86">
        <v>38</v>
      </c>
      <c r="E86">
        <v>23</v>
      </c>
      <c r="F86">
        <v>7</v>
      </c>
      <c r="G86">
        <v>8</v>
      </c>
      <c r="H86">
        <v>58</v>
      </c>
      <c r="I86">
        <v>31</v>
      </c>
      <c r="J86">
        <v>27</v>
      </c>
      <c r="K86">
        <v>76</v>
      </c>
      <c r="L86">
        <v>2</v>
      </c>
      <c r="N86">
        <v>27401</v>
      </c>
      <c r="O86" t="s">
        <v>2346</v>
      </c>
      <c r="P86" t="s">
        <v>2347</v>
      </c>
      <c r="R86">
        <v>1</v>
      </c>
    </row>
    <row r="87" spans="1:18" x14ac:dyDescent="0.55000000000000004">
      <c r="A87" t="s">
        <v>38</v>
      </c>
      <c r="B87">
        <v>2</v>
      </c>
      <c r="C87" t="s">
        <v>904</v>
      </c>
      <c r="D87">
        <v>38</v>
      </c>
      <c r="E87">
        <v>21</v>
      </c>
      <c r="F87">
        <v>12</v>
      </c>
      <c r="G87">
        <v>5</v>
      </c>
      <c r="H87">
        <v>60</v>
      </c>
      <c r="I87">
        <v>34</v>
      </c>
      <c r="J87">
        <v>26</v>
      </c>
      <c r="K87">
        <v>75</v>
      </c>
      <c r="L87">
        <v>1.97</v>
      </c>
      <c r="N87">
        <v>13017</v>
      </c>
      <c r="O87" t="s">
        <v>2348</v>
      </c>
      <c r="P87" t="s">
        <v>2349</v>
      </c>
      <c r="R87">
        <v>2</v>
      </c>
    </row>
    <row r="88" spans="1:18" x14ac:dyDescent="0.55000000000000004">
      <c r="A88" t="s">
        <v>38</v>
      </c>
      <c r="B88">
        <v>3</v>
      </c>
      <c r="C88" t="s">
        <v>930</v>
      </c>
      <c r="D88">
        <v>38</v>
      </c>
      <c r="E88">
        <v>19</v>
      </c>
      <c r="F88">
        <v>11</v>
      </c>
      <c r="G88">
        <v>8</v>
      </c>
      <c r="H88">
        <v>62</v>
      </c>
      <c r="I88">
        <v>40</v>
      </c>
      <c r="J88">
        <v>22</v>
      </c>
      <c r="K88">
        <v>68</v>
      </c>
      <c r="L88">
        <v>1.79</v>
      </c>
      <c r="N88">
        <v>16538</v>
      </c>
      <c r="O88" t="s">
        <v>2350</v>
      </c>
      <c r="P88" t="s">
        <v>2351</v>
      </c>
      <c r="R88">
        <v>3</v>
      </c>
    </row>
    <row r="89" spans="1:18" x14ac:dyDescent="0.55000000000000004">
      <c r="A89" t="s">
        <v>38</v>
      </c>
      <c r="B89">
        <v>4</v>
      </c>
      <c r="C89" t="s">
        <v>908</v>
      </c>
      <c r="D89">
        <v>38</v>
      </c>
      <c r="E89">
        <v>20</v>
      </c>
      <c r="F89">
        <v>8</v>
      </c>
      <c r="G89">
        <v>10</v>
      </c>
      <c r="H89">
        <v>46</v>
      </c>
      <c r="I89">
        <v>28</v>
      </c>
      <c r="J89">
        <v>18</v>
      </c>
      <c r="K89">
        <v>68</v>
      </c>
      <c r="L89">
        <v>1.79</v>
      </c>
      <c r="N89">
        <v>25585</v>
      </c>
      <c r="O89" t="s">
        <v>2352</v>
      </c>
      <c r="P89" t="s">
        <v>2353</v>
      </c>
      <c r="R89">
        <v>4</v>
      </c>
    </row>
    <row r="90" spans="1:18" x14ac:dyDescent="0.55000000000000004">
      <c r="A90" t="s">
        <v>38</v>
      </c>
      <c r="B90">
        <v>5</v>
      </c>
      <c r="C90" t="s">
        <v>945</v>
      </c>
      <c r="D90">
        <v>38</v>
      </c>
      <c r="E90">
        <v>18</v>
      </c>
      <c r="F90">
        <v>10</v>
      </c>
      <c r="G90">
        <v>10</v>
      </c>
      <c r="H90">
        <v>46</v>
      </c>
      <c r="I90">
        <v>33</v>
      </c>
      <c r="J90">
        <v>13</v>
      </c>
      <c r="K90">
        <v>64</v>
      </c>
      <c r="L90">
        <v>1.68</v>
      </c>
      <c r="N90">
        <v>21099</v>
      </c>
      <c r="O90" t="s">
        <v>2354</v>
      </c>
      <c r="P90" t="s">
        <v>2355</v>
      </c>
      <c r="R90">
        <v>5</v>
      </c>
    </row>
    <row r="91" spans="1:18" x14ac:dyDescent="0.55000000000000004">
      <c r="A91" t="s">
        <v>38</v>
      </c>
      <c r="B91">
        <v>6</v>
      </c>
      <c r="C91" t="s">
        <v>925</v>
      </c>
      <c r="D91">
        <v>38</v>
      </c>
      <c r="E91">
        <v>17</v>
      </c>
      <c r="F91">
        <v>9</v>
      </c>
      <c r="G91">
        <v>12</v>
      </c>
      <c r="H91">
        <v>52</v>
      </c>
      <c r="I91">
        <v>38</v>
      </c>
      <c r="J91">
        <v>14</v>
      </c>
      <c r="K91">
        <v>60</v>
      </c>
      <c r="L91">
        <v>1.58</v>
      </c>
      <c r="N91">
        <v>14018</v>
      </c>
      <c r="O91" t="s">
        <v>2356</v>
      </c>
      <c r="P91" t="s">
        <v>2357</v>
      </c>
      <c r="R91">
        <v>6</v>
      </c>
    </row>
    <row r="92" spans="1:18" x14ac:dyDescent="0.55000000000000004">
      <c r="A92" t="s">
        <v>38</v>
      </c>
      <c r="B92">
        <v>7</v>
      </c>
      <c r="C92" t="s">
        <v>940</v>
      </c>
      <c r="D92">
        <v>38</v>
      </c>
      <c r="E92">
        <v>16</v>
      </c>
      <c r="F92">
        <v>11</v>
      </c>
      <c r="G92">
        <v>11</v>
      </c>
      <c r="H92">
        <v>45</v>
      </c>
      <c r="I92">
        <v>39</v>
      </c>
      <c r="J92">
        <v>6</v>
      </c>
      <c r="K92">
        <v>59</v>
      </c>
      <c r="L92">
        <v>1.55</v>
      </c>
      <c r="N92">
        <v>37350</v>
      </c>
      <c r="O92" t="s">
        <v>2358</v>
      </c>
      <c r="P92" t="s">
        <v>2359</v>
      </c>
      <c r="R92">
        <v>7</v>
      </c>
    </row>
    <row r="93" spans="1:18" x14ac:dyDescent="0.55000000000000004">
      <c r="A93" t="s">
        <v>38</v>
      </c>
      <c r="B93">
        <v>8</v>
      </c>
      <c r="C93" t="s">
        <v>979</v>
      </c>
      <c r="D93">
        <v>38</v>
      </c>
      <c r="E93">
        <v>15</v>
      </c>
      <c r="F93">
        <v>12</v>
      </c>
      <c r="G93">
        <v>11</v>
      </c>
      <c r="H93">
        <v>67</v>
      </c>
      <c r="I93">
        <v>57</v>
      </c>
      <c r="J93">
        <v>10</v>
      </c>
      <c r="K93">
        <v>57</v>
      </c>
      <c r="L93">
        <v>1.5</v>
      </c>
      <c r="N93">
        <v>22050</v>
      </c>
      <c r="O93" t="s">
        <v>2360</v>
      </c>
      <c r="P93" t="s">
        <v>2361</v>
      </c>
      <c r="R93">
        <v>8</v>
      </c>
    </row>
    <row r="94" spans="1:18" x14ac:dyDescent="0.55000000000000004">
      <c r="A94" t="s">
        <v>38</v>
      </c>
      <c r="B94">
        <v>9</v>
      </c>
      <c r="C94" t="s">
        <v>929</v>
      </c>
      <c r="D94">
        <v>38</v>
      </c>
      <c r="E94">
        <v>17</v>
      </c>
      <c r="F94">
        <v>6</v>
      </c>
      <c r="G94">
        <v>15</v>
      </c>
      <c r="H94">
        <v>53</v>
      </c>
      <c r="I94">
        <v>55</v>
      </c>
      <c r="J94">
        <v>-2</v>
      </c>
      <c r="K94">
        <v>57</v>
      </c>
      <c r="L94">
        <v>1.5</v>
      </c>
      <c r="N94">
        <v>29862</v>
      </c>
      <c r="O94" t="s">
        <v>2362</v>
      </c>
      <c r="P94" t="s">
        <v>2363</v>
      </c>
      <c r="R94">
        <v>9</v>
      </c>
    </row>
    <row r="95" spans="1:18" x14ac:dyDescent="0.55000000000000004">
      <c r="A95" t="s">
        <v>38</v>
      </c>
      <c r="B95">
        <v>10</v>
      </c>
      <c r="C95" t="s">
        <v>924</v>
      </c>
      <c r="D95">
        <v>38</v>
      </c>
      <c r="E95">
        <v>14</v>
      </c>
      <c r="F95">
        <v>10</v>
      </c>
      <c r="G95">
        <v>14</v>
      </c>
      <c r="H95">
        <v>60</v>
      </c>
      <c r="I95">
        <v>57</v>
      </c>
      <c r="J95">
        <v>3</v>
      </c>
      <c r="K95">
        <v>52</v>
      </c>
      <c r="L95">
        <v>1.37</v>
      </c>
      <c r="N95">
        <v>18654</v>
      </c>
      <c r="O95" t="s">
        <v>2364</v>
      </c>
      <c r="P95" t="s">
        <v>2365</v>
      </c>
      <c r="R95">
        <v>10</v>
      </c>
    </row>
    <row r="96" spans="1:18" x14ac:dyDescent="0.55000000000000004">
      <c r="A96" t="s">
        <v>38</v>
      </c>
      <c r="B96">
        <v>11</v>
      </c>
      <c r="C96" t="s">
        <v>898</v>
      </c>
      <c r="D96">
        <v>38</v>
      </c>
      <c r="E96">
        <v>13</v>
      </c>
      <c r="F96">
        <v>11</v>
      </c>
      <c r="G96">
        <v>14</v>
      </c>
      <c r="H96">
        <v>41</v>
      </c>
      <c r="I96">
        <v>48</v>
      </c>
      <c r="J96">
        <v>-7</v>
      </c>
      <c r="K96">
        <v>50</v>
      </c>
      <c r="L96">
        <v>1.32</v>
      </c>
      <c r="N96">
        <v>31590</v>
      </c>
      <c r="O96" t="s">
        <v>2366</v>
      </c>
      <c r="P96" t="s">
        <v>2367</v>
      </c>
      <c r="R96">
        <v>11</v>
      </c>
    </row>
    <row r="97" spans="1:18" x14ac:dyDescent="0.55000000000000004">
      <c r="A97" t="s">
        <v>38</v>
      </c>
      <c r="B97">
        <v>12</v>
      </c>
      <c r="C97" t="s">
        <v>935</v>
      </c>
      <c r="D97">
        <v>38</v>
      </c>
      <c r="E97">
        <v>12</v>
      </c>
      <c r="F97">
        <v>12</v>
      </c>
      <c r="G97">
        <v>14</v>
      </c>
      <c r="H97">
        <v>34</v>
      </c>
      <c r="I97">
        <v>38</v>
      </c>
      <c r="J97">
        <v>-4</v>
      </c>
      <c r="K97">
        <v>48</v>
      </c>
      <c r="L97">
        <v>1.26</v>
      </c>
      <c r="N97">
        <v>10031</v>
      </c>
      <c r="O97" t="s">
        <v>2368</v>
      </c>
      <c r="P97" t="s">
        <v>2369</v>
      </c>
      <c r="R97">
        <v>12</v>
      </c>
    </row>
    <row r="98" spans="1:18" x14ac:dyDescent="0.55000000000000004">
      <c r="A98" t="s">
        <v>38</v>
      </c>
      <c r="B98">
        <v>13</v>
      </c>
      <c r="C98" t="s">
        <v>913</v>
      </c>
      <c r="D98">
        <v>38</v>
      </c>
      <c r="E98">
        <v>12</v>
      </c>
      <c r="F98">
        <v>9</v>
      </c>
      <c r="G98">
        <v>17</v>
      </c>
      <c r="H98">
        <v>34</v>
      </c>
      <c r="I98">
        <v>43</v>
      </c>
      <c r="J98">
        <v>-9</v>
      </c>
      <c r="K98">
        <v>45</v>
      </c>
      <c r="L98">
        <v>1.18</v>
      </c>
      <c r="N98">
        <v>14587</v>
      </c>
      <c r="O98" t="s">
        <v>2370</v>
      </c>
      <c r="P98" t="s">
        <v>2371</v>
      </c>
      <c r="R98">
        <v>13</v>
      </c>
    </row>
    <row r="99" spans="1:18" x14ac:dyDescent="0.55000000000000004">
      <c r="A99" t="s">
        <v>38</v>
      </c>
      <c r="B99">
        <v>14</v>
      </c>
      <c r="C99" t="s">
        <v>899</v>
      </c>
      <c r="D99">
        <v>38</v>
      </c>
      <c r="E99">
        <v>11</v>
      </c>
      <c r="F99">
        <v>11</v>
      </c>
      <c r="G99">
        <v>16</v>
      </c>
      <c r="H99">
        <v>41</v>
      </c>
      <c r="I99">
        <v>51</v>
      </c>
      <c r="J99">
        <v>-10</v>
      </c>
      <c r="K99">
        <v>44</v>
      </c>
      <c r="L99">
        <v>1.1599999999999999</v>
      </c>
      <c r="N99">
        <v>18803</v>
      </c>
      <c r="O99" t="s">
        <v>2372</v>
      </c>
      <c r="P99" t="s">
        <v>2373</v>
      </c>
      <c r="R99">
        <v>14</v>
      </c>
    </row>
    <row r="100" spans="1:18" x14ac:dyDescent="0.55000000000000004">
      <c r="A100" t="s">
        <v>38</v>
      </c>
      <c r="B100">
        <v>15</v>
      </c>
      <c r="C100" t="s">
        <v>981</v>
      </c>
      <c r="D100">
        <v>38</v>
      </c>
      <c r="E100">
        <v>12</v>
      </c>
      <c r="F100">
        <v>7</v>
      </c>
      <c r="G100">
        <v>19</v>
      </c>
      <c r="H100">
        <v>46</v>
      </c>
      <c r="I100">
        <v>47</v>
      </c>
      <c r="J100">
        <v>-1</v>
      </c>
      <c r="K100">
        <v>43</v>
      </c>
      <c r="L100">
        <v>1.1299999999999999</v>
      </c>
      <c r="N100">
        <v>26578</v>
      </c>
      <c r="O100" t="s">
        <v>2374</v>
      </c>
      <c r="P100" t="s">
        <v>2375</v>
      </c>
      <c r="R100">
        <v>15</v>
      </c>
    </row>
    <row r="101" spans="1:18" x14ac:dyDescent="0.55000000000000004">
      <c r="A101" t="s">
        <v>38</v>
      </c>
      <c r="B101">
        <v>16</v>
      </c>
      <c r="C101" t="s">
        <v>903</v>
      </c>
      <c r="D101">
        <v>38</v>
      </c>
      <c r="E101">
        <v>11</v>
      </c>
      <c r="F101">
        <v>10</v>
      </c>
      <c r="G101">
        <v>17</v>
      </c>
      <c r="H101">
        <v>44</v>
      </c>
      <c r="I101">
        <v>56</v>
      </c>
      <c r="J101">
        <v>-12</v>
      </c>
      <c r="K101">
        <v>43</v>
      </c>
      <c r="L101">
        <v>1.1299999999999999</v>
      </c>
      <c r="N101">
        <v>32263</v>
      </c>
      <c r="O101" t="s">
        <v>2376</v>
      </c>
      <c r="P101" t="s">
        <v>2377</v>
      </c>
      <c r="R101">
        <v>16</v>
      </c>
    </row>
    <row r="102" spans="1:18" x14ac:dyDescent="0.55000000000000004">
      <c r="A102" t="s">
        <v>38</v>
      </c>
      <c r="B102">
        <v>17</v>
      </c>
      <c r="C102" t="s">
        <v>914</v>
      </c>
      <c r="D102">
        <v>38</v>
      </c>
      <c r="E102">
        <v>11</v>
      </c>
      <c r="F102">
        <v>10</v>
      </c>
      <c r="G102">
        <v>17</v>
      </c>
      <c r="H102">
        <v>23</v>
      </c>
      <c r="I102">
        <v>41</v>
      </c>
      <c r="J102">
        <v>-18</v>
      </c>
      <c r="K102">
        <v>43</v>
      </c>
      <c r="L102">
        <v>1.1299999999999999</v>
      </c>
      <c r="N102">
        <v>21121</v>
      </c>
      <c r="O102" t="s">
        <v>2378</v>
      </c>
      <c r="P102" t="s">
        <v>2379</v>
      </c>
      <c r="R102">
        <v>17</v>
      </c>
    </row>
    <row r="103" spans="1:18" x14ac:dyDescent="0.55000000000000004">
      <c r="A103" t="s">
        <v>38</v>
      </c>
      <c r="B103">
        <v>18</v>
      </c>
      <c r="C103" t="s">
        <v>918</v>
      </c>
      <c r="D103">
        <v>38</v>
      </c>
      <c r="E103">
        <v>9</v>
      </c>
      <c r="F103">
        <v>8</v>
      </c>
      <c r="G103">
        <v>21</v>
      </c>
      <c r="H103">
        <v>27</v>
      </c>
      <c r="I103">
        <v>45</v>
      </c>
      <c r="J103">
        <v>-18</v>
      </c>
      <c r="K103">
        <v>35</v>
      </c>
      <c r="L103">
        <v>0.92</v>
      </c>
      <c r="N103">
        <v>10159</v>
      </c>
      <c r="O103" t="s">
        <v>2380</v>
      </c>
      <c r="P103" t="s">
        <v>2381</v>
      </c>
      <c r="Q103" t="s">
        <v>2382</v>
      </c>
      <c r="R103">
        <v>18</v>
      </c>
    </row>
    <row r="104" spans="1:18" x14ac:dyDescent="0.55000000000000004">
      <c r="A104" t="s">
        <v>38</v>
      </c>
      <c r="B104">
        <v>19</v>
      </c>
      <c r="C104" t="s">
        <v>934</v>
      </c>
      <c r="D104">
        <v>38</v>
      </c>
      <c r="E104">
        <v>8</v>
      </c>
      <c r="F104">
        <v>8</v>
      </c>
      <c r="G104">
        <v>22</v>
      </c>
      <c r="H104">
        <v>36</v>
      </c>
      <c r="I104">
        <v>63</v>
      </c>
      <c r="J104">
        <v>-27</v>
      </c>
      <c r="K104">
        <v>32</v>
      </c>
      <c r="L104">
        <v>0.84</v>
      </c>
      <c r="N104">
        <v>11430</v>
      </c>
      <c r="O104" t="s">
        <v>2383</v>
      </c>
      <c r="P104" t="s">
        <v>2384</v>
      </c>
      <c r="Q104" t="s">
        <v>2382</v>
      </c>
      <c r="R104">
        <v>19</v>
      </c>
    </row>
    <row r="105" spans="1:18" x14ac:dyDescent="0.55000000000000004">
      <c r="A105" t="s">
        <v>38</v>
      </c>
      <c r="B105">
        <v>20</v>
      </c>
      <c r="C105" t="s">
        <v>909</v>
      </c>
      <c r="D105">
        <v>38</v>
      </c>
      <c r="E105">
        <v>4</v>
      </c>
      <c r="F105">
        <v>12</v>
      </c>
      <c r="G105">
        <v>22</v>
      </c>
      <c r="H105">
        <v>36</v>
      </c>
      <c r="I105">
        <v>67</v>
      </c>
      <c r="J105">
        <v>-31</v>
      </c>
      <c r="K105">
        <v>24</v>
      </c>
      <c r="L105">
        <v>0.63</v>
      </c>
      <c r="N105">
        <v>22601</v>
      </c>
      <c r="O105" t="s">
        <v>2385</v>
      </c>
      <c r="P105" t="s">
        <v>2386</v>
      </c>
      <c r="Q105" t="s">
        <v>2382</v>
      </c>
      <c r="R105">
        <v>20</v>
      </c>
    </row>
    <row r="106" spans="1:18" x14ac:dyDescent="0.55000000000000004">
      <c r="A106" t="s">
        <v>39</v>
      </c>
      <c r="B106">
        <v>1</v>
      </c>
      <c r="C106" t="s">
        <v>228</v>
      </c>
      <c r="D106">
        <v>17</v>
      </c>
      <c r="E106">
        <v>11</v>
      </c>
      <c r="F106">
        <v>3</v>
      </c>
      <c r="G106">
        <v>3</v>
      </c>
      <c r="H106">
        <v>28</v>
      </c>
      <c r="I106">
        <v>12</v>
      </c>
      <c r="J106">
        <v>16</v>
      </c>
      <c r="K106">
        <v>36</v>
      </c>
      <c r="L106">
        <v>2.12</v>
      </c>
      <c r="M106" t="s">
        <v>2247</v>
      </c>
      <c r="N106">
        <v>23686</v>
      </c>
      <c r="O106" t="s">
        <v>2387</v>
      </c>
      <c r="P106" t="s">
        <v>2388</v>
      </c>
      <c r="R106">
        <v>1</v>
      </c>
    </row>
    <row r="107" spans="1:18" x14ac:dyDescent="0.55000000000000004">
      <c r="A107" t="s">
        <v>39</v>
      </c>
      <c r="B107">
        <v>2</v>
      </c>
      <c r="C107" t="s">
        <v>220</v>
      </c>
      <c r="D107">
        <v>18</v>
      </c>
      <c r="E107">
        <v>8</v>
      </c>
      <c r="F107">
        <v>7</v>
      </c>
      <c r="G107">
        <v>3</v>
      </c>
      <c r="H107">
        <v>23</v>
      </c>
      <c r="I107">
        <v>11</v>
      </c>
      <c r="J107">
        <v>12</v>
      </c>
      <c r="K107">
        <v>31</v>
      </c>
      <c r="L107">
        <v>1.72</v>
      </c>
      <c r="M107" t="s">
        <v>2183</v>
      </c>
      <c r="N107">
        <v>6564</v>
      </c>
      <c r="O107" t="s">
        <v>2389</v>
      </c>
      <c r="P107" t="s">
        <v>2390</v>
      </c>
      <c r="R107">
        <v>2</v>
      </c>
    </row>
    <row r="108" spans="1:18" x14ac:dyDescent="0.55000000000000004">
      <c r="A108" t="s">
        <v>39</v>
      </c>
      <c r="B108">
        <v>3</v>
      </c>
      <c r="C108" t="s">
        <v>225</v>
      </c>
      <c r="D108">
        <v>18</v>
      </c>
      <c r="E108">
        <v>8</v>
      </c>
      <c r="F108">
        <v>5</v>
      </c>
      <c r="G108">
        <v>5</v>
      </c>
      <c r="H108">
        <v>25</v>
      </c>
      <c r="I108">
        <v>16</v>
      </c>
      <c r="J108">
        <v>9</v>
      </c>
      <c r="K108">
        <v>29</v>
      </c>
      <c r="L108">
        <v>1.61</v>
      </c>
      <c r="M108" t="s">
        <v>2391</v>
      </c>
      <c r="N108">
        <v>17225</v>
      </c>
      <c r="O108" t="s">
        <v>2392</v>
      </c>
      <c r="P108" t="s">
        <v>2393</v>
      </c>
      <c r="R108">
        <v>3</v>
      </c>
    </row>
    <row r="109" spans="1:18" x14ac:dyDescent="0.55000000000000004">
      <c r="A109" t="s">
        <v>39</v>
      </c>
      <c r="B109">
        <v>4</v>
      </c>
      <c r="C109" t="s">
        <v>222</v>
      </c>
      <c r="D109">
        <v>18</v>
      </c>
      <c r="E109">
        <v>8</v>
      </c>
      <c r="F109">
        <v>4</v>
      </c>
      <c r="G109">
        <v>6</v>
      </c>
      <c r="H109">
        <v>26</v>
      </c>
      <c r="I109">
        <v>26</v>
      </c>
      <c r="J109">
        <v>0</v>
      </c>
      <c r="K109">
        <v>28</v>
      </c>
      <c r="L109">
        <v>1.56</v>
      </c>
      <c r="M109" t="s">
        <v>2394</v>
      </c>
      <c r="N109">
        <v>12167</v>
      </c>
      <c r="O109" t="s">
        <v>2395</v>
      </c>
      <c r="P109" t="s">
        <v>2396</v>
      </c>
      <c r="R109">
        <v>4</v>
      </c>
    </row>
    <row r="110" spans="1:18" x14ac:dyDescent="0.55000000000000004">
      <c r="A110" t="s">
        <v>39</v>
      </c>
      <c r="B110">
        <v>5</v>
      </c>
      <c r="C110" t="s">
        <v>229</v>
      </c>
      <c r="D110">
        <v>18</v>
      </c>
      <c r="E110">
        <v>8</v>
      </c>
      <c r="F110">
        <v>4</v>
      </c>
      <c r="G110">
        <v>6</v>
      </c>
      <c r="H110">
        <v>19</v>
      </c>
      <c r="I110">
        <v>16</v>
      </c>
      <c r="J110">
        <v>3</v>
      </c>
      <c r="K110">
        <v>28</v>
      </c>
      <c r="L110">
        <v>1.56</v>
      </c>
      <c r="M110" t="s">
        <v>2397</v>
      </c>
      <c r="N110">
        <v>7309</v>
      </c>
      <c r="O110" t="s">
        <v>2398</v>
      </c>
      <c r="P110" t="s">
        <v>2399</v>
      </c>
      <c r="R110">
        <v>5</v>
      </c>
    </row>
    <row r="111" spans="1:18" x14ac:dyDescent="0.55000000000000004">
      <c r="A111" t="s">
        <v>39</v>
      </c>
      <c r="B111">
        <v>6</v>
      </c>
      <c r="C111" t="s">
        <v>223</v>
      </c>
      <c r="D111">
        <v>18</v>
      </c>
      <c r="E111">
        <v>7</v>
      </c>
      <c r="F111">
        <v>3</v>
      </c>
      <c r="G111">
        <v>8</v>
      </c>
      <c r="H111">
        <v>22</v>
      </c>
      <c r="I111">
        <v>19</v>
      </c>
      <c r="J111">
        <v>3</v>
      </c>
      <c r="K111">
        <v>24</v>
      </c>
      <c r="L111">
        <v>1.33</v>
      </c>
      <c r="M111" t="s">
        <v>2335</v>
      </c>
      <c r="N111">
        <v>10519</v>
      </c>
      <c r="O111" t="s">
        <v>2400</v>
      </c>
      <c r="P111" t="s">
        <v>2401</v>
      </c>
      <c r="R111">
        <v>6</v>
      </c>
    </row>
    <row r="112" spans="1:18" x14ac:dyDescent="0.55000000000000004">
      <c r="A112" t="s">
        <v>39</v>
      </c>
    </row>
    <row r="113" spans="1:18" x14ac:dyDescent="0.55000000000000004">
      <c r="A113" t="s">
        <v>39</v>
      </c>
      <c r="B113">
        <v>7</v>
      </c>
      <c r="C113" t="s">
        <v>235</v>
      </c>
      <c r="D113">
        <v>17</v>
      </c>
      <c r="E113">
        <v>5</v>
      </c>
      <c r="F113">
        <v>8</v>
      </c>
      <c r="G113">
        <v>4</v>
      </c>
      <c r="H113">
        <v>22</v>
      </c>
      <c r="I113">
        <v>19</v>
      </c>
      <c r="J113">
        <v>3</v>
      </c>
      <c r="K113">
        <v>23</v>
      </c>
      <c r="L113">
        <v>1.35</v>
      </c>
      <c r="M113" t="s">
        <v>2402</v>
      </c>
      <c r="N113">
        <v>8305</v>
      </c>
      <c r="O113" t="s">
        <v>2403</v>
      </c>
      <c r="P113" t="s">
        <v>2404</v>
      </c>
      <c r="R113">
        <v>7</v>
      </c>
    </row>
    <row r="114" spans="1:18" x14ac:dyDescent="0.55000000000000004">
      <c r="A114" t="s">
        <v>39</v>
      </c>
      <c r="B114">
        <v>8</v>
      </c>
      <c r="C114" t="s">
        <v>219</v>
      </c>
      <c r="D114">
        <v>18</v>
      </c>
      <c r="E114">
        <v>6</v>
      </c>
      <c r="F114">
        <v>5</v>
      </c>
      <c r="G114">
        <v>7</v>
      </c>
      <c r="H114">
        <v>16</v>
      </c>
      <c r="I114">
        <v>18</v>
      </c>
      <c r="J114">
        <v>-2</v>
      </c>
      <c r="K114">
        <v>23</v>
      </c>
      <c r="L114">
        <v>1.28</v>
      </c>
      <c r="M114" t="s">
        <v>2405</v>
      </c>
      <c r="N114">
        <v>5612</v>
      </c>
      <c r="O114" t="s">
        <v>2406</v>
      </c>
      <c r="P114" t="s">
        <v>2407</v>
      </c>
      <c r="R114">
        <v>8</v>
      </c>
    </row>
    <row r="115" spans="1:18" x14ac:dyDescent="0.55000000000000004">
      <c r="A115" t="s">
        <v>39</v>
      </c>
      <c r="B115">
        <v>9</v>
      </c>
      <c r="C115" t="s">
        <v>226</v>
      </c>
      <c r="D115">
        <v>18</v>
      </c>
      <c r="E115">
        <v>4</v>
      </c>
      <c r="F115">
        <v>7</v>
      </c>
      <c r="G115">
        <v>7</v>
      </c>
      <c r="H115">
        <v>21</v>
      </c>
      <c r="I115">
        <v>20</v>
      </c>
      <c r="J115">
        <v>1</v>
      </c>
      <c r="K115">
        <v>19</v>
      </c>
      <c r="L115">
        <v>1.06</v>
      </c>
      <c r="M115" t="s">
        <v>2408</v>
      </c>
      <c r="N115">
        <v>8968</v>
      </c>
      <c r="O115" t="s">
        <v>2409</v>
      </c>
      <c r="P115" t="s">
        <v>2410</v>
      </c>
      <c r="R115">
        <v>9</v>
      </c>
    </row>
    <row r="116" spans="1:18" x14ac:dyDescent="0.55000000000000004">
      <c r="A116" t="s">
        <v>39</v>
      </c>
      <c r="B116">
        <v>10</v>
      </c>
      <c r="C116" t="s">
        <v>234</v>
      </c>
      <c r="D116">
        <v>17</v>
      </c>
      <c r="E116">
        <v>4</v>
      </c>
      <c r="F116">
        <v>7</v>
      </c>
      <c r="G116">
        <v>6</v>
      </c>
      <c r="H116">
        <v>14</v>
      </c>
      <c r="I116">
        <v>18</v>
      </c>
      <c r="J116">
        <v>-4</v>
      </c>
      <c r="K116">
        <v>19</v>
      </c>
      <c r="L116">
        <v>1.1200000000000001</v>
      </c>
      <c r="M116" t="s">
        <v>2411</v>
      </c>
      <c r="N116">
        <v>7127</v>
      </c>
      <c r="O116" t="s">
        <v>2412</v>
      </c>
      <c r="P116" t="s">
        <v>2413</v>
      </c>
      <c r="R116">
        <v>10</v>
      </c>
    </row>
    <row r="117" spans="1:18" x14ac:dyDescent="0.55000000000000004">
      <c r="A117" t="s">
        <v>39</v>
      </c>
      <c r="B117">
        <v>11</v>
      </c>
      <c r="C117" t="s">
        <v>232</v>
      </c>
      <c r="D117">
        <v>18</v>
      </c>
      <c r="E117">
        <v>2</v>
      </c>
      <c r="F117">
        <v>10</v>
      </c>
      <c r="G117">
        <v>6</v>
      </c>
      <c r="H117">
        <v>17</v>
      </c>
      <c r="I117">
        <v>25</v>
      </c>
      <c r="J117">
        <v>-8</v>
      </c>
      <c r="K117">
        <v>16</v>
      </c>
      <c r="L117">
        <v>0.89</v>
      </c>
      <c r="M117" t="s">
        <v>2414</v>
      </c>
      <c r="N117">
        <v>2253</v>
      </c>
      <c r="O117" t="s">
        <v>2415</v>
      </c>
      <c r="P117" t="s">
        <v>2416</v>
      </c>
      <c r="Q117" t="s">
        <v>2417</v>
      </c>
      <c r="R117">
        <v>11</v>
      </c>
    </row>
    <row r="118" spans="1:18" x14ac:dyDescent="0.55000000000000004">
      <c r="A118" t="s">
        <v>39</v>
      </c>
      <c r="B118">
        <v>12</v>
      </c>
      <c r="C118" t="s">
        <v>231</v>
      </c>
      <c r="D118">
        <v>17</v>
      </c>
      <c r="E118">
        <v>1</v>
      </c>
      <c r="F118">
        <v>5</v>
      </c>
      <c r="G118">
        <v>11</v>
      </c>
      <c r="H118">
        <v>8</v>
      </c>
      <c r="I118">
        <v>41</v>
      </c>
      <c r="J118">
        <v>-33</v>
      </c>
      <c r="K118">
        <v>8</v>
      </c>
      <c r="L118">
        <v>0.47</v>
      </c>
      <c r="M118" t="s">
        <v>2418</v>
      </c>
      <c r="N118">
        <v>4264</v>
      </c>
      <c r="O118" t="s">
        <v>2419</v>
      </c>
      <c r="P118" t="s">
        <v>2420</v>
      </c>
      <c r="R118">
        <v>12</v>
      </c>
    </row>
    <row r="119" spans="1:18" x14ac:dyDescent="0.55000000000000004">
      <c r="A119" t="s">
        <v>40</v>
      </c>
      <c r="B119">
        <v>1</v>
      </c>
      <c r="C119" t="s">
        <v>261</v>
      </c>
      <c r="D119">
        <v>16</v>
      </c>
      <c r="E119">
        <v>9</v>
      </c>
      <c r="F119">
        <v>6</v>
      </c>
      <c r="G119">
        <v>1</v>
      </c>
      <c r="H119">
        <v>29</v>
      </c>
      <c r="I119">
        <v>15</v>
      </c>
      <c r="J119">
        <v>14</v>
      </c>
      <c r="K119">
        <v>33</v>
      </c>
      <c r="L119">
        <v>2.06</v>
      </c>
      <c r="M119" t="s">
        <v>2421</v>
      </c>
      <c r="N119">
        <v>3090</v>
      </c>
      <c r="O119" t="s">
        <v>2422</v>
      </c>
      <c r="P119" t="s">
        <v>2423</v>
      </c>
      <c r="R119">
        <v>1</v>
      </c>
    </row>
    <row r="120" spans="1:18" x14ac:dyDescent="0.55000000000000004">
      <c r="A120" t="s">
        <v>40</v>
      </c>
      <c r="B120">
        <v>2</v>
      </c>
      <c r="C120" t="s">
        <v>260</v>
      </c>
      <c r="D120">
        <v>15</v>
      </c>
      <c r="E120">
        <v>8</v>
      </c>
      <c r="F120">
        <v>6</v>
      </c>
      <c r="G120">
        <v>1</v>
      </c>
      <c r="H120">
        <v>23</v>
      </c>
      <c r="I120">
        <v>12</v>
      </c>
      <c r="J120">
        <v>11</v>
      </c>
      <c r="K120">
        <v>30</v>
      </c>
      <c r="L120">
        <v>2</v>
      </c>
      <c r="M120" t="s">
        <v>2424</v>
      </c>
      <c r="N120">
        <v>3553</v>
      </c>
      <c r="O120" t="s">
        <v>2425</v>
      </c>
      <c r="P120" t="s">
        <v>2426</v>
      </c>
      <c r="R120">
        <v>2</v>
      </c>
    </row>
    <row r="121" spans="1:18" x14ac:dyDescent="0.55000000000000004">
      <c r="A121" t="s">
        <v>40</v>
      </c>
      <c r="B121">
        <v>3</v>
      </c>
      <c r="C121" t="s">
        <v>263</v>
      </c>
      <c r="D121">
        <v>16</v>
      </c>
      <c r="E121">
        <v>7</v>
      </c>
      <c r="F121">
        <v>6</v>
      </c>
      <c r="G121">
        <v>3</v>
      </c>
      <c r="H121">
        <v>23</v>
      </c>
      <c r="I121">
        <v>13</v>
      </c>
      <c r="J121">
        <v>10</v>
      </c>
      <c r="K121">
        <v>27</v>
      </c>
      <c r="L121">
        <v>1.69</v>
      </c>
      <c r="M121" t="s">
        <v>2427</v>
      </c>
      <c r="N121">
        <v>3114</v>
      </c>
      <c r="O121" t="s">
        <v>2428</v>
      </c>
      <c r="P121" t="s">
        <v>2429</v>
      </c>
      <c r="R121">
        <v>3</v>
      </c>
    </row>
    <row r="122" spans="1:18" x14ac:dyDescent="0.55000000000000004">
      <c r="A122" t="s">
        <v>40</v>
      </c>
      <c r="B122">
        <v>4</v>
      </c>
      <c r="C122" t="s">
        <v>266</v>
      </c>
      <c r="D122">
        <v>16</v>
      </c>
      <c r="E122">
        <v>8</v>
      </c>
      <c r="F122">
        <v>2</v>
      </c>
      <c r="G122">
        <v>6</v>
      </c>
      <c r="H122">
        <v>20</v>
      </c>
      <c r="I122">
        <v>20</v>
      </c>
      <c r="J122">
        <v>0</v>
      </c>
      <c r="K122">
        <v>26</v>
      </c>
      <c r="L122">
        <v>1.63</v>
      </c>
      <c r="M122" t="s">
        <v>2430</v>
      </c>
      <c r="N122">
        <v>2100</v>
      </c>
      <c r="O122" t="s">
        <v>2431</v>
      </c>
      <c r="P122" t="s">
        <v>2432</v>
      </c>
      <c r="R122">
        <v>4</v>
      </c>
    </row>
    <row r="123" spans="1:18" x14ac:dyDescent="0.55000000000000004">
      <c r="A123" t="s">
        <v>40</v>
      </c>
      <c r="B123">
        <v>5</v>
      </c>
      <c r="C123" t="s">
        <v>256</v>
      </c>
      <c r="D123">
        <v>16</v>
      </c>
      <c r="E123">
        <v>7</v>
      </c>
      <c r="F123">
        <v>4</v>
      </c>
      <c r="G123">
        <v>5</v>
      </c>
      <c r="H123">
        <v>27</v>
      </c>
      <c r="I123">
        <v>20</v>
      </c>
      <c r="J123">
        <v>7</v>
      </c>
      <c r="K123">
        <v>25</v>
      </c>
      <c r="L123">
        <v>1.56</v>
      </c>
      <c r="M123" t="s">
        <v>2219</v>
      </c>
      <c r="N123">
        <v>5469</v>
      </c>
      <c r="O123" t="s">
        <v>2433</v>
      </c>
      <c r="P123" t="s">
        <v>2434</v>
      </c>
      <c r="R123">
        <v>5</v>
      </c>
    </row>
    <row r="124" spans="1:18" x14ac:dyDescent="0.55000000000000004">
      <c r="A124" t="s">
        <v>40</v>
      </c>
      <c r="B124">
        <v>6</v>
      </c>
      <c r="C124" t="s">
        <v>258</v>
      </c>
      <c r="D124">
        <v>16</v>
      </c>
      <c r="E124">
        <v>7</v>
      </c>
      <c r="F124">
        <v>4</v>
      </c>
      <c r="G124">
        <v>5</v>
      </c>
      <c r="H124">
        <v>25</v>
      </c>
      <c r="I124">
        <v>20</v>
      </c>
      <c r="J124">
        <v>5</v>
      </c>
      <c r="K124">
        <v>25</v>
      </c>
      <c r="L124">
        <v>1.56</v>
      </c>
      <c r="M124" t="s">
        <v>2435</v>
      </c>
      <c r="N124">
        <v>2169</v>
      </c>
      <c r="O124" t="s">
        <v>2436</v>
      </c>
      <c r="P124" t="s">
        <v>2437</v>
      </c>
      <c r="R124">
        <v>6</v>
      </c>
    </row>
    <row r="125" spans="1:18" x14ac:dyDescent="0.55000000000000004">
      <c r="A125" t="s">
        <v>40</v>
      </c>
    </row>
    <row r="126" spans="1:18" x14ac:dyDescent="0.55000000000000004">
      <c r="A126" t="s">
        <v>40</v>
      </c>
      <c r="B126">
        <v>7</v>
      </c>
      <c r="C126" t="s">
        <v>248</v>
      </c>
      <c r="D126">
        <v>15</v>
      </c>
      <c r="E126">
        <v>6</v>
      </c>
      <c r="F126">
        <v>4</v>
      </c>
      <c r="G126">
        <v>5</v>
      </c>
      <c r="H126">
        <v>19</v>
      </c>
      <c r="I126">
        <v>16</v>
      </c>
      <c r="J126">
        <v>3</v>
      </c>
      <c r="K126">
        <v>22</v>
      </c>
      <c r="L126">
        <v>1.47</v>
      </c>
      <c r="M126" t="s">
        <v>2438</v>
      </c>
      <c r="N126">
        <v>2638</v>
      </c>
      <c r="O126" t="s">
        <v>2439</v>
      </c>
      <c r="P126" t="s">
        <v>2440</v>
      </c>
      <c r="R126">
        <v>7</v>
      </c>
    </row>
    <row r="127" spans="1:18" x14ac:dyDescent="0.55000000000000004">
      <c r="A127" t="s">
        <v>40</v>
      </c>
      <c r="B127">
        <v>8</v>
      </c>
      <c r="C127" t="s">
        <v>253</v>
      </c>
      <c r="D127">
        <v>15</v>
      </c>
      <c r="E127">
        <v>5</v>
      </c>
      <c r="F127">
        <v>4</v>
      </c>
      <c r="G127">
        <v>6</v>
      </c>
      <c r="H127">
        <v>18</v>
      </c>
      <c r="I127">
        <v>15</v>
      </c>
      <c r="J127">
        <v>3</v>
      </c>
      <c r="K127">
        <v>19</v>
      </c>
      <c r="L127">
        <v>1.27</v>
      </c>
      <c r="M127" t="s">
        <v>2276</v>
      </c>
      <c r="N127">
        <v>2492</v>
      </c>
      <c r="O127" t="s">
        <v>2441</v>
      </c>
      <c r="P127" t="s">
        <v>2442</v>
      </c>
      <c r="R127">
        <v>8</v>
      </c>
    </row>
    <row r="128" spans="1:18" x14ac:dyDescent="0.55000000000000004">
      <c r="A128" t="s">
        <v>40</v>
      </c>
      <c r="B128">
        <v>9</v>
      </c>
      <c r="C128" t="s">
        <v>249</v>
      </c>
      <c r="D128">
        <v>15</v>
      </c>
      <c r="E128">
        <v>4</v>
      </c>
      <c r="F128">
        <v>4</v>
      </c>
      <c r="G128">
        <v>7</v>
      </c>
      <c r="H128">
        <v>25</v>
      </c>
      <c r="I128">
        <v>29</v>
      </c>
      <c r="J128">
        <v>-4</v>
      </c>
      <c r="K128">
        <v>16</v>
      </c>
      <c r="L128">
        <v>1.07</v>
      </c>
      <c r="M128" t="s">
        <v>2443</v>
      </c>
      <c r="N128">
        <v>4003</v>
      </c>
      <c r="O128" t="s">
        <v>2444</v>
      </c>
      <c r="P128" t="s">
        <v>2445</v>
      </c>
      <c r="R128">
        <v>9</v>
      </c>
    </row>
    <row r="129" spans="1:18" x14ac:dyDescent="0.55000000000000004">
      <c r="A129" t="s">
        <v>40</v>
      </c>
      <c r="B129">
        <v>10</v>
      </c>
      <c r="C129" t="s">
        <v>255</v>
      </c>
      <c r="D129">
        <v>16</v>
      </c>
      <c r="E129">
        <v>3</v>
      </c>
      <c r="F129">
        <v>5</v>
      </c>
      <c r="G129">
        <v>8</v>
      </c>
      <c r="H129">
        <v>18</v>
      </c>
      <c r="I129">
        <v>25</v>
      </c>
      <c r="J129">
        <v>-7</v>
      </c>
      <c r="K129">
        <v>14</v>
      </c>
      <c r="L129">
        <v>0.88</v>
      </c>
      <c r="M129" t="s">
        <v>2446</v>
      </c>
      <c r="N129">
        <v>3015</v>
      </c>
      <c r="O129" t="s">
        <v>2447</v>
      </c>
      <c r="P129" t="s">
        <v>2448</v>
      </c>
      <c r="R129">
        <v>10</v>
      </c>
    </row>
    <row r="130" spans="1:18" x14ac:dyDescent="0.55000000000000004">
      <c r="A130" t="s">
        <v>40</v>
      </c>
      <c r="B130">
        <v>11</v>
      </c>
      <c r="C130" t="s">
        <v>265</v>
      </c>
      <c r="D130">
        <v>15</v>
      </c>
      <c r="E130">
        <v>2</v>
      </c>
      <c r="F130">
        <v>5</v>
      </c>
      <c r="G130">
        <v>8</v>
      </c>
      <c r="H130">
        <v>15</v>
      </c>
      <c r="I130">
        <v>32</v>
      </c>
      <c r="J130">
        <v>-17</v>
      </c>
      <c r="K130">
        <v>11</v>
      </c>
      <c r="L130">
        <v>0.73</v>
      </c>
      <c r="M130" t="s">
        <v>2225</v>
      </c>
      <c r="N130">
        <v>2147</v>
      </c>
      <c r="O130" t="s">
        <v>2449</v>
      </c>
      <c r="P130" t="s">
        <v>2450</v>
      </c>
      <c r="R130">
        <v>11</v>
      </c>
    </row>
    <row r="131" spans="1:18" x14ac:dyDescent="0.55000000000000004">
      <c r="A131" t="s">
        <v>40</v>
      </c>
      <c r="B131">
        <v>12</v>
      </c>
      <c r="C131" t="s">
        <v>252</v>
      </c>
      <c r="D131">
        <v>15</v>
      </c>
      <c r="E131">
        <v>0</v>
      </c>
      <c r="F131">
        <v>4</v>
      </c>
      <c r="G131">
        <v>11</v>
      </c>
      <c r="H131">
        <v>8</v>
      </c>
      <c r="I131">
        <v>33</v>
      </c>
      <c r="J131">
        <v>-25</v>
      </c>
      <c r="K131">
        <v>4</v>
      </c>
      <c r="L131">
        <v>0.27</v>
      </c>
      <c r="M131" t="s">
        <v>2451</v>
      </c>
      <c r="N131">
        <v>1373</v>
      </c>
      <c r="O131" t="s">
        <v>2452</v>
      </c>
      <c r="P131" t="s">
        <v>2453</v>
      </c>
      <c r="R131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282AD-E5BB-40DA-A1CA-49CCAF6828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Palinsesto</vt:lpstr>
      <vt:lpstr>Partite</vt:lpstr>
      <vt:lpstr>Classifica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Gesualdo Sangiorgi</dc:creator>
  <cp:lastModifiedBy>Gesualdo Sangiorgi</cp:lastModifiedBy>
  <dcterms:created xsi:type="dcterms:W3CDTF">2026-07-20T03:18:37Z</dcterms:created>
  <dcterms:modified xsi:type="dcterms:W3CDTF">2026-07-22T15:21:57Z</dcterms:modified>
</cp:coreProperties>
</file>